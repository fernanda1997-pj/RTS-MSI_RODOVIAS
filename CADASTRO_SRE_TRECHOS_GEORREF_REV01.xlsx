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REGIÃO 1" sheetId="1" state="visible" r:id="rId1"/>
    <sheet xmlns:r="http://schemas.openxmlformats.org/officeDocument/2006/relationships" name="REGIÃO 2" sheetId="2" state="visible" r:id="rId2"/>
    <sheet xmlns:r="http://schemas.openxmlformats.org/officeDocument/2006/relationships" name="REGIÃO 3" sheetId="3" state="visible" r:id="rId3"/>
    <sheet xmlns:r="http://schemas.openxmlformats.org/officeDocument/2006/relationships" name="REGIÃO 11" sheetId="4" state="visible" r:id="rId4"/>
    <sheet xmlns:r="http://schemas.openxmlformats.org/officeDocument/2006/relationships" name="REGIÃO 12" sheetId="5" state="visible" r:id="rId5"/>
    <sheet xmlns:r="http://schemas.openxmlformats.org/officeDocument/2006/relationships" name="REGIÃO 13" sheetId="6" state="visible" r:id="rId6"/>
    <sheet xmlns:r="http://schemas.openxmlformats.org/officeDocument/2006/relationships" name="BASE CONSOLIDADA" sheetId="7" state="visible" r:id="rId7"/>
    <sheet xmlns:r="http://schemas.openxmlformats.org/officeDocument/2006/relationships" name="PAINEL RESUMO" sheetId="8" state="visible" r:id="rId8"/>
  </sheets>
  <definedNames>
    <definedName name="_xlnm._FilterDatabase" localSheetId="0" hidden="1">'REGIÃO 1'!$A$1:$K$214</definedName>
    <definedName name="_xlnm._FilterDatabase" localSheetId="1" hidden="1">'REGIÃO 2'!$A$1:$K$115</definedName>
    <definedName name="_xlnm._FilterDatabase" localSheetId="2" hidden="1">'REGIÃO 3'!$A$1:$K$77</definedName>
    <definedName name="_xlnm._FilterDatabase" localSheetId="3" hidden="1">'REGIÃO 11'!$A$1:$K$70</definedName>
    <definedName name="_xlnm._FilterDatabase" localSheetId="4" hidden="1">'REGIÃO 12'!$A$1:$K$73</definedName>
    <definedName name="_xlnm._FilterDatabase" localSheetId="5" hidden="1">'REGIÃO 13'!$A$1:$K$110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0.0%"/>
    <numFmt numFmtId="166" formatCode="#,##0.00;\(#,##0.00\);&quot;-&quot;"/>
  </numFmts>
  <fonts count="12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10"/>
    </font>
    <font>
      <name val="Times New Roman"/>
      <family val="1"/>
      <color rgb="FF000000"/>
      <sz val="11"/>
    </font>
    <font>
      <name val="Times New Roman"/>
      <family val="1"/>
      <b val="1"/>
      <color rgb="FFFFFFFF"/>
      <sz val="11"/>
    </font>
    <font>
      <name val="Arial"/>
      <b val="1"/>
      <color rgb="FF000000"/>
      <sz val="10"/>
      <scheme val="minor"/>
    </font>
    <font>
      <name val="Arial"/>
      <color rgb="FFC00000"/>
      <sz val="10"/>
      <scheme val="minor"/>
    </font>
    <font>
      <name val="Arial"/>
      <i val="1"/>
      <color rgb="FF000000"/>
      <sz val="10"/>
      <scheme val="minor"/>
    </font>
    <font>
      <name val="Arial"/>
      <b val="1"/>
      <color rgb="FFFFFFFF"/>
      <sz val="14"/>
      <scheme val="minor"/>
    </font>
    <font>
      <name val="Arial"/>
      <i val="1"/>
      <color rgb="FF595959"/>
      <sz val="10"/>
      <scheme val="minor"/>
    </font>
    <font>
      <name val="Arial"/>
      <b val="1"/>
      <color rgb="FF1F4E79"/>
      <sz val="11"/>
      <scheme val="minor"/>
    </font>
    <font>
      <name val="Arial"/>
      <b val="1"/>
      <color rgb="FFFFFFFF"/>
      <sz val="10"/>
      <scheme val="minor"/>
    </font>
  </fonts>
  <fills count="11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4E79"/>
      </bottom>
      <diagonal/>
    </border>
    <border>
      <left style="medium">
        <color rgb="FF1F4E79"/>
      </left>
      <right style="thin">
        <color rgb="FFBFBFBF"/>
      </right>
      <top style="medium">
        <color rgb="FF1F4E79"/>
      </top>
      <bottom style="thin">
        <color rgb="FFBFBFBF"/>
      </bottom>
      <diagonal/>
    </border>
    <border>
      <left style="medium">
        <color rgb="FF1F4E79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9"/>
      </left>
      <right style="thin">
        <color rgb="FFBFBFBF"/>
      </right>
      <top style="thin">
        <color rgb="FFBFBFBF"/>
      </top>
      <bottom style="medium">
        <color rgb="FF1F4E79"/>
      </bottom>
      <diagonal/>
    </border>
    <border>
      <left style="thin">
        <color rgb="FFBFBFBF"/>
      </left>
      <right style="medium">
        <color rgb="FF1F4E79"/>
      </right>
      <top style="medium">
        <color rgb="FF1F4E79"/>
      </top>
      <bottom style="thin">
        <color rgb="FFBFBFBF"/>
      </bottom>
      <diagonal/>
    </border>
    <border>
      <left style="thin">
        <color rgb="FFBFBFBF"/>
      </left>
      <right style="medium">
        <color rgb="FF1F4E79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4E79"/>
      </right>
      <top style="thin">
        <color rgb="FFBFBFBF"/>
      </top>
      <bottom style="medium">
        <color rgb="FF1F4E79"/>
      </bottom>
      <diagonal/>
    </border>
    <border>
      <left style="thin">
        <color rgb="FFBFBFBF"/>
      </left>
      <right/>
      <top/>
      <bottom/>
      <diagonal/>
    </border>
    <border>
      <left/>
      <right/>
      <top/>
      <bottom style="medium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1" fontId="3" fillId="4" borderId="5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8" applyAlignment="1" pivotButton="0" quotePrefix="0" xfId="0">
      <alignment horizontal="center" vertical="center" wrapText="1"/>
    </xf>
    <xf numFmtId="1" fontId="3" fillId="4" borderId="6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left" vertical="center" wrapText="1"/>
    </xf>
    <xf numFmtId="1" fontId="3" fillId="4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164" fontId="3" fillId="4" borderId="9" applyAlignment="1" pivotButton="0" quotePrefix="0" xfId="0">
      <alignment horizontal="center" vertical="center" wrapText="1"/>
    </xf>
    <xf numFmtId="1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8" applyAlignment="1" pivotButton="0" quotePrefix="0" xfId="0">
      <alignment horizontal="center" vertical="center" wrapText="1"/>
    </xf>
    <xf numFmtId="1" fontId="3" fillId="0" borderId="5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" fontId="3" fillId="0" borderId="1" applyAlignment="1" pivotButton="0" quotePrefix="0" xfId="0">
      <alignment horizontal="center" vertical="center" wrapText="1"/>
    </xf>
    <xf numFmtId="1" fontId="3" fillId="0" borderId="6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1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164" fontId="3" fillId="0" borderId="9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7" applyAlignment="1" pivotButton="0" quotePrefix="0" xfId="0">
      <alignment horizontal="center" vertical="center" wrapText="1"/>
    </xf>
    <xf numFmtId="0" fontId="0" fillId="6" borderId="0" pivotButton="0" quotePrefix="0" xfId="0"/>
    <xf numFmtId="0" fontId="4" fillId="6" borderId="10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0" borderId="0" pivotButton="0" quotePrefix="0" xfId="0"/>
    <xf numFmtId="0" fontId="10" fillId="7" borderId="11" applyAlignment="1" pivotButton="0" quotePrefix="0" xfId="0">
      <alignment vertical="center"/>
    </xf>
    <xf numFmtId="0" fontId="10" fillId="7" borderId="0" applyAlignment="1" pivotButton="0" quotePrefix="0" xfId="0">
      <alignment vertical="center"/>
    </xf>
    <xf numFmtId="0" fontId="10" fillId="7" borderId="0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/>
    </xf>
    <xf numFmtId="0" fontId="1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5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/>
    </xf>
    <xf numFmtId="166" fontId="5" fillId="0" borderId="1" applyAlignment="1" pivotButton="0" quotePrefix="0" xfId="0">
      <alignment horizontal="center"/>
    </xf>
    <xf numFmtId="166" fontId="0" fillId="0" borderId="1" pivotButton="0" quotePrefix="0" xfId="0"/>
    <xf numFmtId="3" fontId="0" fillId="0" borderId="1" pivotButton="0" quotePrefix="0" xfId="0"/>
    <xf numFmtId="1" fontId="0" fillId="0" borderId="1" pivotButton="0" quotePrefix="0" xfId="0"/>
    <xf numFmtId="0" fontId="0" fillId="0" borderId="12" applyAlignment="1" pivotButton="0" quotePrefix="0" xfId="0">
      <alignment horizontal="center"/>
    </xf>
    <xf numFmtId="0" fontId="0" fillId="0" borderId="12" applyAlignment="1" pivotButton="0" quotePrefix="0" xfId="0">
      <alignment horizontal="left"/>
    </xf>
    <xf numFmtId="3" fontId="0" fillId="0" borderId="12" applyAlignment="1" pivotButton="0" quotePrefix="0" xfId="0">
      <alignment horizontal="center"/>
    </xf>
    <xf numFmtId="166" fontId="0" fillId="0" borderId="12" applyAlignment="1" pivotButton="0" quotePrefix="0" xfId="0">
      <alignment horizontal="center"/>
    </xf>
    <xf numFmtId="165" fontId="0" fillId="0" borderId="12" applyAlignment="1" pivotButton="0" quotePrefix="0" xfId="0">
      <alignment horizontal="center"/>
    </xf>
    <xf numFmtId="0" fontId="5" fillId="8" borderId="2" applyAlignment="1" pivotButton="0" quotePrefix="0" xfId="0">
      <alignment horizontal="right"/>
    </xf>
    <xf numFmtId="0" fontId="5" fillId="8" borderId="2" applyAlignment="1" pivotButton="0" quotePrefix="0" xfId="0">
      <alignment horizontal="center"/>
    </xf>
    <xf numFmtId="3" fontId="5" fillId="8" borderId="2" applyAlignment="1" pivotButton="0" quotePrefix="0" xfId="0">
      <alignment horizontal="center"/>
    </xf>
    <xf numFmtId="166" fontId="5" fillId="8" borderId="2" applyAlignment="1" pivotButton="0" quotePrefix="0" xfId="0">
      <alignment horizontal="center"/>
    </xf>
    <xf numFmtId="165" fontId="5" fillId="8" borderId="2" applyAlignment="1" pivotButton="0" quotePrefix="0" xfId="0">
      <alignment horizontal="center"/>
    </xf>
    <xf numFmtId="0" fontId="0" fillId="0" borderId="12" applyAlignment="1" pivotButton="0" quotePrefix="0" xfId="0">
      <alignment horizontal="center" vertical="center"/>
    </xf>
    <xf numFmtId="0" fontId="5" fillId="8" borderId="2" applyAlignment="1" pivotButton="0" quotePrefix="0" xfId="0">
      <alignment horizontal="right" vertical="center"/>
    </xf>
    <xf numFmtId="166" fontId="5" fillId="0" borderId="12" applyAlignment="1" pivotButton="0" quotePrefix="0" xfId="0">
      <alignment horizontal="center"/>
    </xf>
    <xf numFmtId="0" fontId="6" fillId="0" borderId="12" applyAlignment="1" pivotButton="0" quotePrefix="0" xfId="0">
      <alignment horizontal="left"/>
    </xf>
    <xf numFmtId="3" fontId="0" fillId="0" borderId="12" pivotButton="0" quotePrefix="0" xfId="0"/>
    <xf numFmtId="166" fontId="0" fillId="0" borderId="12" pivotButton="0" quotePrefix="0" xfId="0"/>
    <xf numFmtId="165" fontId="0" fillId="0" borderId="12" pivotButton="0" quotePrefix="0" xfId="0"/>
    <xf numFmtId="0" fontId="0" fillId="0" borderId="12" pivotButton="0" quotePrefix="0" xfId="0"/>
    <xf numFmtId="0" fontId="5" fillId="8" borderId="2" pivotButton="0" quotePrefix="0" xfId="0"/>
    <xf numFmtId="3" fontId="5" fillId="8" borderId="2" pivotButton="0" quotePrefix="0" xfId="0"/>
    <xf numFmtId="166" fontId="5" fillId="8" borderId="2" pivotButton="0" quotePrefix="0" xfId="0"/>
    <xf numFmtId="165" fontId="5" fillId="8" borderId="2" pivotButton="0" quotePrefix="0" xfId="0"/>
    <xf numFmtId="0" fontId="8" fillId="3" borderId="0" applyAlignment="1" pivotButton="0" quotePrefix="0" xfId="0">
      <alignment horizontal="center" vertical="center"/>
    </xf>
    <xf numFmtId="1" fontId="3" fillId="9" borderId="5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1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164" fontId="3" fillId="9" borderId="8" applyAlignment="1" pivotButton="0" quotePrefix="0" xfId="0">
      <alignment horizontal="center" vertical="center" wrapText="1"/>
    </xf>
    <xf numFmtId="0" fontId="0" fillId="9" borderId="0" pivotButton="0" quotePrefix="0" xfId="0"/>
    <xf numFmtId="1" fontId="3" fillId="10" borderId="5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1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4" fontId="3" fillId="10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dxfs count="2">
    <dxf>
      <numFmt numFmtId="164" formatCode="#,##0.000"/>
    </dxf>
    <dxf>
      <font>
        <name val="Times New Roman"/>
        <family val="1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theme="4" tint="-0.499984740745262"/>
        </patternFill>
      </fill>
      <alignment horizontal="center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Extensão da rede por região (km)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'PAINEL RESUMO'!$O$14</f>
              <strCache>
                <ptCount val="1"/>
                <pt idx="0">
                  <v>EXTENSÃO (km)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'PAINEL RESUMO'!$N$15:$N$20</f>
              <strCache>
                <ptCount val="6"/>
                <pt idx="0">
                  <v>R1 - TOCANTINÓPOLIS</v>
                </pt>
                <pt idx="1">
                  <v>R2 - ARAGUAÍNA I</v>
                </pt>
                <pt idx="2">
                  <v>R3 - ARAGUAÍNA II</v>
                </pt>
                <pt idx="3">
                  <v>R11 - GURUPI</v>
                </pt>
                <pt idx="4">
                  <v>R12 - PEIXE</v>
                </pt>
                <pt idx="5">
                  <v>R13 - DIANÓPOLIS</v>
                </pt>
              </strCache>
            </strRef>
          </cat>
          <val>
            <numRef>
              <f>'PAINEL RESUMO'!$O$15:$O$20</f>
              <numCache>
                <formatCode>#,##0</formatCode>
                <ptCount val="6"/>
                <pt idx="0">
                  <v>1031.3534806024</v>
                </pt>
                <pt idx="1">
                  <v>1094.7582238833</v>
                </pt>
                <pt idx="2">
                  <v>995.6335303854004</v>
                </pt>
                <pt idx="3">
                  <v>1152.937895754703</v>
                </pt>
                <pt idx="4">
                  <v>1141.519029568</v>
                </pt>
                <pt idx="5">
                  <v>1233.68967925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554021736"/>
        <axId val="554018856"/>
      </barChart>
      <catAx>
        <axId val="5540217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554018856"/>
        <crosses val="autoZero"/>
        <auto val="1"/>
        <lblAlgn val="ctr"/>
        <lblOffset val="100"/>
        <noMultiLvlLbl val="0"/>
      </catAx>
      <valAx>
        <axId val="55401885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55402173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da extensão por situação (km)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pieChart>
        <varyColors val="1"/>
        <ser>
          <idx val="0"/>
          <order val="0"/>
          <tx>
            <strRef>
              <f>'PAINEL RESUMO'!$O$23</f>
              <strCache>
                <ptCount val="1"/>
                <pt idx="0">
                  <v>EXTENSÃO (km)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'PAINEL RESUMO'!$N$24:$N$29</f>
              <strCache>
                <ptCount val="6"/>
                <pt idx="0">
                  <v>PPS</v>
                </pt>
                <pt idx="1">
                  <v>PSU</v>
                </pt>
                <pt idx="2">
                  <v>PDU</v>
                </pt>
                <pt idx="3">
                  <v>DUP</v>
                </pt>
                <pt idx="4">
                  <v>LEN</v>
                </pt>
                <pt idx="5">
                  <v>EOP</v>
                </pt>
              </strCache>
            </strRef>
          </cat>
          <val>
            <numRef>
              <f>'PAINEL RESUMO'!$O$24:$O$29</f>
              <numCache>
                <formatCode>#,##0</formatCode>
                <ptCount val="6"/>
                <pt idx="0">
                  <v>3319.5098979762</v>
                </pt>
                <pt idx="1">
                  <v>147.3263150572448</v>
                </pt>
                <pt idx="2">
                  <v>102.132683821</v>
                </pt>
                <pt idx="3">
                  <v>23.872550997</v>
                </pt>
                <pt idx="4">
                  <v>2943.738370363358</v>
                </pt>
                <pt idx="5">
                  <v>113.312021229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FERNANDA</author>
  </authors>
  <commentList>
    <comment ref="A1" authorId="0" shapeId="0">
      <text>
        <t xml:space="preserve">FERNANDA:
</t>
      </text>
    </comment>
  </commentList>
</comments>
</file>

<file path=xl/comments/comment2.xml><?xml version="1.0" encoding="utf-8"?>
<comments xmlns="http://schemas.openxmlformats.org/spreadsheetml/2006/main">
  <authors>
    <author>FERNANDA</author>
  </authors>
  <commentList>
    <comment ref="A1" authorId="0" shapeId="0">
      <text>
        <t xml:space="preserve">FERNANDA:
</t>
      </text>
    </comment>
  </commentList>
</comments>
</file>

<file path=xl/comments/comment3.xml><?xml version="1.0" encoding="utf-8"?>
<comments xmlns="http://schemas.openxmlformats.org/spreadsheetml/2006/main">
  <authors>
    <author>FERNANDA</author>
  </authors>
  <commentList>
    <comment ref="A1" authorId="0" shapeId="0">
      <text>
        <t xml:space="preserve">FERNANDA:
</t>
      </text>
    </comment>
  </commentList>
</comments>
</file>

<file path=xl/comments/comment4.xml><?xml version="1.0" encoding="utf-8"?>
<comments xmlns="http://schemas.openxmlformats.org/spreadsheetml/2006/main">
  <authors>
    <author>FERNANDA</author>
  </authors>
  <commentList>
    <comment ref="A1" authorId="0" shapeId="0">
      <text>
        <t xml:space="preserve">FERNANDA:
</t>
      </text>
    </comment>
  </commentList>
</comments>
</file>

<file path=xl/comments/comment5.xml><?xml version="1.0" encoding="utf-8"?>
<comments xmlns="http://schemas.openxmlformats.org/spreadsheetml/2006/main">
  <authors>
    <author>FERNANDA</author>
  </authors>
  <commentList>
    <comment ref="A1" authorId="0" shapeId="0">
      <text>
        <t xml:space="preserve">FERNANDA: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0</colOff>
      <row>119</row>
      <rowOff>0</rowOff>
    </from>
    <to>
      <col>6</col>
      <colOff>0</colOff>
      <row>136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0</colOff>
      <row>119</row>
      <rowOff>0</rowOff>
    </from>
    <to>
      <col>13</col>
      <colOff>0</colOff>
      <row>136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BASE" displayName="BASE" ref="A1:L653" headerRowCount="1" totalsRowShown="0" headerRowDxfId="1">
  <autoFilter ref="A1:L653"/>
  <tableColumns count="12">
    <tableColumn id="1" name="REGIÃO"/>
    <tableColumn id="2" name="CIDADE"/>
    <tableColumn id="3" name="NÚMERO DO TRECHO"/>
    <tableColumn id="4" name="RODOVIA"/>
    <tableColumn id="5" name="TRECHO"/>
    <tableColumn id="6" name="SRE"/>
    <tableColumn id="7" name="SEGMENTO"/>
    <tableColumn id="8" name="SITUAÇÃO"/>
    <tableColumn id="9" name="COORDENADA INICIAL"/>
    <tableColumn id="10" name="COORDENADA FINAL"/>
    <tableColumn id="11" name="EXTENSÃO REAL (km)" dataDxfId="0"/>
    <tableColumn id="12" name="ABA ORIGE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K996"/>
  <sheetViews>
    <sheetView tabSelected="1" topLeftCell="F1" workbookViewId="0">
      <pane ySplit="1" topLeftCell="A141" activePane="bottomLeft" state="frozen"/>
      <selection pane="bottomLeft" activeCell="I147" sqref="I147"/>
    </sheetView>
  </sheetViews>
  <sheetFormatPr baseColWidth="8" defaultColWidth="17.140625" defaultRowHeight="12.75"/>
  <cols>
    <col width="10.42578125" customWidth="1" min="1" max="1"/>
    <col width="22.85546875" customWidth="1" min="2" max="2"/>
    <col width="18.140625" customWidth="1" min="3" max="3"/>
    <col width="13.28515625" customWidth="1" min="4" max="4"/>
    <col width="57.140625" customWidth="1" min="5" max="5"/>
    <col width="18.140625" customWidth="1" min="6" max="6"/>
    <col width="61" customWidth="1" min="7" max="7"/>
    <col width="15.28515625" customWidth="1" min="8" max="8"/>
    <col width="31.42578125" customWidth="1" min="9" max="10"/>
    <col width="18.140625" customWidth="1" min="11" max="11"/>
  </cols>
  <sheetData>
    <row r="1" ht="28.5" customFormat="1" customHeight="1" s="33">
      <c r="A1" s="30" t="inlineStr">
        <is>
          <t>REGIÃO</t>
        </is>
      </c>
      <c r="B1" s="31" t="inlineStr">
        <is>
          <t>CIDADE</t>
        </is>
      </c>
      <c r="C1" s="31" t="inlineStr">
        <is>
          <t>NÚMERO DO TRECHO</t>
        </is>
      </c>
      <c r="D1" s="31" t="inlineStr">
        <is>
          <t>RODOVIA</t>
        </is>
      </c>
      <c r="E1" s="31" t="inlineStr">
        <is>
          <t>TRECHO</t>
        </is>
      </c>
      <c r="F1" s="31" t="inlineStr">
        <is>
          <t>SRE</t>
        </is>
      </c>
      <c r="G1" s="31" t="inlineStr">
        <is>
          <t>SEGMENTO</t>
        </is>
      </c>
      <c r="H1" s="31" t="inlineStr">
        <is>
          <t>SITUAÇÃO</t>
        </is>
      </c>
      <c r="I1" s="31" t="inlineStr">
        <is>
          <t>COORDENADA INICIAL</t>
        </is>
      </c>
      <c r="J1" s="31" t="inlineStr">
        <is>
          <t>COORDENADA FINAL</t>
        </is>
      </c>
      <c r="K1" s="32" t="inlineStr">
        <is>
          <t>EXTENSÃO REAL (km)</t>
        </is>
      </c>
    </row>
    <row r="2" ht="30" customHeight="1">
      <c r="A2" s="20" t="n">
        <v>1</v>
      </c>
      <c r="B2" s="21" t="inlineStr">
        <is>
          <t>TOCANTINÓPOLIS</t>
        </is>
      </c>
      <c r="C2" s="22" t="n">
        <v>1</v>
      </c>
      <c r="D2" s="18" t="inlineStr">
        <is>
          <t>TO-010</t>
        </is>
      </c>
      <c r="E2" s="21" t="inlineStr">
        <is>
          <t>RODOVIA TO-010 - TRECHO ANANÁS - ENTR. BR-230</t>
        </is>
      </c>
      <c r="F2" s="18" t="inlineStr">
        <is>
          <t>010ETO0512D</t>
        </is>
      </c>
      <c r="G2" s="21" t="inlineStr">
        <is>
          <t>ENTR. TO-210(PU ANANÁS) - FIM DUPLICAÇÃO(PU ANANÁS)</t>
        </is>
      </c>
      <c r="H2" s="18" t="inlineStr">
        <is>
          <t>PDU</t>
        </is>
      </c>
      <c r="I2" s="18" t="inlineStr">
        <is>
          <t>-48.06889555, -6.372561004</t>
        </is>
      </c>
      <c r="J2" s="18" t="inlineStr">
        <is>
          <t>-48.073498298, -6.362406329</t>
        </is>
      </c>
      <c r="K2" s="19" t="n">
        <v>1.453403108</v>
      </c>
    </row>
    <row r="3" ht="30" customHeight="1">
      <c r="A3" s="20" t="n">
        <v>1</v>
      </c>
      <c r="B3" s="21" t="inlineStr">
        <is>
          <t>TOCANTINÓPOLIS</t>
        </is>
      </c>
      <c r="C3" s="22" t="n">
        <v>1</v>
      </c>
      <c r="D3" s="18" t="inlineStr">
        <is>
          <t>TO-010</t>
        </is>
      </c>
      <c r="E3" s="21" t="inlineStr">
        <is>
          <t>RODOVIA TO-010 - TRECHO ANANÁS - ENTR. BR-230</t>
        </is>
      </c>
      <c r="F3" s="18" t="inlineStr">
        <is>
          <t>010ETO0512E</t>
        </is>
      </c>
      <c r="G3" s="21" t="inlineStr">
        <is>
          <t>ENTR. TO-210(PU ANANÁS) - FIM DUPLICAÇÃO(PU ANANÁS)</t>
        </is>
      </c>
      <c r="H3" s="18" t="inlineStr">
        <is>
          <t>PDU</t>
        </is>
      </c>
      <c r="I3" s="18" t="inlineStr">
        <is>
          <t>-48.073406977, -6.362537882</t>
        </is>
      </c>
      <c r="J3" s="18" t="inlineStr">
        <is>
          <t>-48.068827289, -6.372451746</t>
        </is>
      </c>
      <c r="K3" s="19" t="n">
        <v>1.418639419</v>
      </c>
    </row>
    <row r="4" ht="15" customHeight="1">
      <c r="A4" s="20" t="n">
        <v>1</v>
      </c>
      <c r="B4" s="21" t="inlineStr">
        <is>
          <t>TOCANTINÓPOLIS</t>
        </is>
      </c>
      <c r="C4" s="22" t="n">
        <v>1</v>
      </c>
      <c r="D4" s="18" t="inlineStr">
        <is>
          <t>TO-010</t>
        </is>
      </c>
      <c r="E4" s="21" t="inlineStr">
        <is>
          <t>RODOVIA TO-010 - TRECHO ANANÁS - ENTR. BR-230</t>
        </is>
      </c>
      <c r="F4" s="18" t="inlineStr">
        <is>
          <t>010ETO0522</t>
        </is>
      </c>
      <c r="G4" s="21" t="inlineStr">
        <is>
          <t>FIM DUPLICAÇÃO(PU ANANÁS) - FIM PU ANANÁS</t>
        </is>
      </c>
      <c r="H4" s="18" t="inlineStr">
        <is>
          <t>PPS</t>
        </is>
      </c>
      <c r="I4" s="18" t="inlineStr">
        <is>
          <t>-48.076141, -6.358384</t>
        </is>
      </c>
      <c r="J4" s="18" t="inlineStr">
        <is>
          <t>-48.073406977, -6.362537882</t>
        </is>
      </c>
      <c r="K4" s="19" t="n">
        <v>0.550645037</v>
      </c>
    </row>
    <row r="5" ht="15" customHeight="1">
      <c r="A5" s="20" t="n">
        <v>1</v>
      </c>
      <c r="B5" s="21" t="inlineStr">
        <is>
          <t>TOCANTINÓPOLIS</t>
        </is>
      </c>
      <c r="C5" s="22" t="n">
        <v>1</v>
      </c>
      <c r="D5" s="18" t="inlineStr">
        <is>
          <t>TO-010</t>
        </is>
      </c>
      <c r="E5" s="21" t="inlineStr">
        <is>
          <t>RODOVIA TO-010 - TRECHO ANANÁS - ENTR. BR-230</t>
        </is>
      </c>
      <c r="F5" s="18" t="inlineStr">
        <is>
          <t>010ETO0540</t>
        </is>
      </c>
      <c r="G5" s="21" t="inlineStr">
        <is>
          <t>FIM PU ANANÁS - FIM PAVIMENTAÇÃO</t>
        </is>
      </c>
      <c r="H5" s="18" t="inlineStr">
        <is>
          <t>PPS</t>
        </is>
      </c>
      <c r="I5" s="18" t="inlineStr">
        <is>
          <t>-48.088389, -6.328514</t>
        </is>
      </c>
      <c r="J5" s="18" t="inlineStr">
        <is>
          <t>-48.076141, -6.358384</t>
        </is>
      </c>
      <c r="K5" s="19" t="n">
        <v>3.717785411</v>
      </c>
    </row>
    <row r="6" ht="15" customHeight="1">
      <c r="A6" s="20" t="n">
        <v>1</v>
      </c>
      <c r="B6" s="21" t="inlineStr">
        <is>
          <t>TOCANTINÓPOLIS</t>
        </is>
      </c>
      <c r="C6" s="22" t="n">
        <v>1</v>
      </c>
      <c r="D6" s="18" t="inlineStr">
        <is>
          <t>TO-010</t>
        </is>
      </c>
      <c r="E6" s="21" t="inlineStr">
        <is>
          <t>RODOVIA TO-010 - TRECHO ANANÁS - ENTR. BR-230</t>
        </is>
      </c>
      <c r="F6" s="18" t="inlineStr">
        <is>
          <t>010ETO0542</t>
        </is>
      </c>
      <c r="G6" s="21" t="inlineStr">
        <is>
          <t>FIM PAVIMENTAÇÃO - ENTR. TO-414(TAPUIO)</t>
        </is>
      </c>
      <c r="H6" s="18" t="inlineStr">
        <is>
          <t>EOP</t>
        </is>
      </c>
      <c r="I6" s="18" t="inlineStr">
        <is>
          <t>-48.088782, -6.327772</t>
        </is>
      </c>
      <c r="J6" s="18" t="inlineStr">
        <is>
          <t>-48.088389, -6.328514</t>
        </is>
      </c>
      <c r="K6" s="19" t="n">
        <v>0.093164237</v>
      </c>
    </row>
    <row r="7" ht="15" customHeight="1">
      <c r="A7" s="20" t="n">
        <v>1</v>
      </c>
      <c r="B7" s="21" t="inlineStr">
        <is>
          <t>TOCANTINÓPOLIS</t>
        </is>
      </c>
      <c r="C7" s="22" t="n">
        <v>1</v>
      </c>
      <c r="D7" s="18" t="inlineStr">
        <is>
          <t>TO-010</t>
        </is>
      </c>
      <c r="E7" s="21" t="inlineStr">
        <is>
          <t>RODOVIA TO-010 - TRECHO ANANÁS - ENTR. BR-230</t>
        </is>
      </c>
      <c r="F7" s="18" t="inlineStr">
        <is>
          <t>010ETO0543</t>
        </is>
      </c>
      <c r="G7" s="21" t="inlineStr">
        <is>
          <t>ENTR. TO-414(TAPUIO) - INÍCIO PAVIMENTAÇÃO</t>
        </is>
      </c>
      <c r="H7" s="18" t="inlineStr">
        <is>
          <t>EOP</t>
        </is>
      </c>
      <c r="I7" s="18" t="inlineStr">
        <is>
          <t>-48.089781, -6.325908</t>
        </is>
      </c>
      <c r="J7" s="18" t="inlineStr">
        <is>
          <t>-48.088782, -6.327772</t>
        </is>
      </c>
      <c r="K7" s="19" t="n">
        <v>0.234146378</v>
      </c>
    </row>
    <row r="8" ht="15" customHeight="1">
      <c r="A8" s="20" t="n">
        <v>1</v>
      </c>
      <c r="B8" s="21" t="inlineStr">
        <is>
          <t>TOCANTINÓPOLIS</t>
        </is>
      </c>
      <c r="C8" s="22" t="n">
        <v>1</v>
      </c>
      <c r="D8" s="18" t="inlineStr">
        <is>
          <t>TO-010</t>
        </is>
      </c>
      <c r="E8" s="21" t="inlineStr">
        <is>
          <t>RODOVIA TO-010 - TRECHO ANANÁS - ENTR. BR-230</t>
        </is>
      </c>
      <c r="F8" s="18" t="inlineStr">
        <is>
          <t>010ETO0550</t>
        </is>
      </c>
      <c r="G8" s="21" t="inlineStr">
        <is>
          <t>INÍCIO PAVIMENTAÇÃO - ENTR. TO-210</t>
        </is>
      </c>
      <c r="H8" s="18" t="inlineStr">
        <is>
          <t>PPS</t>
        </is>
      </c>
      <c r="I8" s="18" t="inlineStr">
        <is>
          <t>-48.096642, -6.314958</t>
        </is>
      </c>
      <c r="J8" s="18" t="inlineStr">
        <is>
          <t>-48.089781, -6.325908</t>
        </is>
      </c>
      <c r="K8" s="19" t="n">
        <v>1.430723455</v>
      </c>
    </row>
    <row r="9" ht="15" customHeight="1">
      <c r="A9" s="20" t="n">
        <v>1</v>
      </c>
      <c r="B9" s="21" t="inlineStr">
        <is>
          <t>TOCANTINÓPOLIS</t>
        </is>
      </c>
      <c r="C9" s="22" t="n">
        <v>1</v>
      </c>
      <c r="D9" s="18" t="inlineStr">
        <is>
          <t>TO-010</t>
        </is>
      </c>
      <c r="E9" s="21" t="inlineStr">
        <is>
          <t>RODOVIA TO-010 - TRECHO ANANÁS - ENTR. BR-230</t>
        </is>
      </c>
      <c r="F9" s="18" t="inlineStr">
        <is>
          <t>010ETO0555</t>
        </is>
      </c>
      <c r="G9" s="21" t="inlineStr">
        <is>
          <t>ENTR. TO-210 - FIM PAVIMENTAÇÃO</t>
        </is>
      </c>
      <c r="H9" s="18" t="inlineStr">
        <is>
          <t>PPS</t>
        </is>
      </c>
      <c r="I9" s="18" t="inlineStr">
        <is>
          <t>-48.100065, -6.303139</t>
        </is>
      </c>
      <c r="J9" s="18" t="inlineStr">
        <is>
          <t>-48.096642, -6.314958</t>
        </is>
      </c>
      <c r="K9" s="19" t="n">
        <v>1.397607195</v>
      </c>
    </row>
    <row r="10" ht="15" customHeight="1">
      <c r="A10" s="20" t="n">
        <v>1</v>
      </c>
      <c r="B10" s="21" t="inlineStr">
        <is>
          <t>TOCANTINÓPOLIS</t>
        </is>
      </c>
      <c r="C10" s="22" t="n">
        <v>1</v>
      </c>
      <c r="D10" s="18" t="inlineStr">
        <is>
          <t>TO-010</t>
        </is>
      </c>
      <c r="E10" s="21" t="inlineStr">
        <is>
          <t>RODOVIA TO-010 - TRECHO ANANÁS - ENTR. BR-230</t>
        </is>
      </c>
      <c r="F10" s="18" t="inlineStr">
        <is>
          <t>010ETO0560</t>
        </is>
      </c>
      <c r="G10" s="21" t="inlineStr">
        <is>
          <t>FIM PAVIMENTACAO - ENTR. TO-205</t>
        </is>
      </c>
      <c r="H10" s="18" t="inlineStr">
        <is>
          <t>EOP</t>
        </is>
      </c>
      <c r="I10" s="18" t="inlineStr">
        <is>
          <t>-48.123409, -6.058179</t>
        </is>
      </c>
      <c r="J10" s="18" t="inlineStr">
        <is>
          <t>-48.100065, -6.303139</t>
        </is>
      </c>
      <c r="K10" s="19" t="n">
        <v>32.133935637</v>
      </c>
    </row>
    <row r="11" ht="15" customHeight="1">
      <c r="A11" s="20" t="n">
        <v>1</v>
      </c>
      <c r="B11" s="21" t="inlineStr">
        <is>
          <t>TOCANTINÓPOLIS</t>
        </is>
      </c>
      <c r="C11" s="22" t="n">
        <v>1</v>
      </c>
      <c r="D11" s="18" t="inlineStr">
        <is>
          <t>TO-010</t>
        </is>
      </c>
      <c r="E11" s="21" t="inlineStr">
        <is>
          <t>RODOVIA TO-010 - TRECHO ANANÁS - ENTR. BR-230</t>
        </is>
      </c>
      <c r="F11" s="18" t="inlineStr">
        <is>
          <t>010ETO0570</t>
        </is>
      </c>
      <c r="G11" s="21" t="inlineStr">
        <is>
          <t>ENTR. TO-205 - INÍCIO DUPLICAÇÃO(RONCA)</t>
        </is>
      </c>
      <c r="H11" s="18" t="inlineStr">
        <is>
          <t>EOP</t>
        </is>
      </c>
      <c r="I11" s="18" t="inlineStr">
        <is>
          <t>-48.146615944, -6.027752893</t>
        </is>
      </c>
      <c r="J11" s="18" t="inlineStr">
        <is>
          <t>-48.123409, -6.058179</t>
        </is>
      </c>
      <c r="K11" s="19" t="n">
        <v>4.979028443</v>
      </c>
    </row>
    <row r="12" ht="30" customHeight="1">
      <c r="A12" s="20" t="n">
        <v>1</v>
      </c>
      <c r="B12" s="21" t="inlineStr">
        <is>
          <t>TOCANTINÓPOLIS</t>
        </is>
      </c>
      <c r="C12" s="22" t="n">
        <v>1</v>
      </c>
      <c r="D12" s="18" t="inlineStr">
        <is>
          <t>TO-010</t>
        </is>
      </c>
      <c r="E12" s="21" t="inlineStr">
        <is>
          <t>RODOVIA TO-010 - TRECHO ANANÁS - ENTR. BR-230</t>
        </is>
      </c>
      <c r="F12" s="18" t="inlineStr">
        <is>
          <t>010ETO0572D</t>
        </is>
      </c>
      <c r="G12" s="21" t="inlineStr">
        <is>
          <t>INÍCIO DUPLICAÇÃO(RONCA) - FIM DUPLICAÇÃO(FIM PU RONCA)</t>
        </is>
      </c>
      <c r="H12" s="18" t="inlineStr">
        <is>
          <t>PDU</t>
        </is>
      </c>
      <c r="I12" s="18" t="inlineStr">
        <is>
          <t>-48.148290217, -6.023744825</t>
        </is>
      </c>
      <c r="J12" s="18" t="inlineStr">
        <is>
          <t>-48.146615944, -6.027752893</t>
        </is>
      </c>
      <c r="K12" s="19" t="n">
        <v>0.482974611</v>
      </c>
    </row>
    <row r="13" ht="30" customHeight="1">
      <c r="A13" s="20" t="n">
        <v>1</v>
      </c>
      <c r="B13" s="21" t="inlineStr">
        <is>
          <t>TOCANTINÓPOLIS</t>
        </is>
      </c>
      <c r="C13" s="22" t="n">
        <v>1</v>
      </c>
      <c r="D13" s="18" t="inlineStr">
        <is>
          <t>TO-010</t>
        </is>
      </c>
      <c r="E13" s="21" t="inlineStr">
        <is>
          <t>RODOVIA TO-010 - TRECHO ANANÁS - ENTR. BR-230</t>
        </is>
      </c>
      <c r="F13" s="18" t="inlineStr">
        <is>
          <t>010ETO0572E</t>
        </is>
      </c>
      <c r="G13" s="21" t="inlineStr">
        <is>
          <t>INÍCIO DUPLICAÇÃO(RONCA) - FIM DUPLICAÇÃO(FIM PU RONCA)</t>
        </is>
      </c>
      <c r="H13" s="18" t="inlineStr">
        <is>
          <t>PDU</t>
        </is>
      </c>
      <c r="I13" s="18" t="inlineStr">
        <is>
          <t>-48.146615944, -6.027752893</t>
        </is>
      </c>
      <c r="J13" s="18" t="inlineStr">
        <is>
          <t>-48.148290217, -6.023744825</t>
        </is>
      </c>
      <c r="K13" s="19" t="n">
        <v>0.486790765</v>
      </c>
    </row>
    <row r="14" ht="15" customHeight="1">
      <c r="A14" s="20" t="n">
        <v>1</v>
      </c>
      <c r="B14" s="21" t="inlineStr">
        <is>
          <t>TOCANTINÓPOLIS</t>
        </is>
      </c>
      <c r="C14" s="22" t="n">
        <v>1</v>
      </c>
      <c r="D14" s="18" t="inlineStr">
        <is>
          <t>TO-010</t>
        </is>
      </c>
      <c r="E14" s="21" t="inlineStr">
        <is>
          <t>RODOVIA TO-010 - TRECHO ANANÁS - ENTR. BR-230</t>
        </is>
      </c>
      <c r="F14" s="18" t="inlineStr">
        <is>
          <t>010ETO0580</t>
        </is>
      </c>
      <c r="G14" s="21" t="inlineStr">
        <is>
          <t>FIM PU RONCA - NATAL</t>
        </is>
      </c>
      <c r="H14" s="18" t="inlineStr">
        <is>
          <t>EOP</t>
        </is>
      </c>
      <c r="I14" s="18" t="inlineStr">
        <is>
          <t>-48.148290217, -6.023744825</t>
        </is>
      </c>
      <c r="J14" s="18" t="inlineStr">
        <is>
          <t>-48.159514, -5.884126</t>
        </is>
      </c>
      <c r="K14" s="19" t="n">
        <v>15.92358854</v>
      </c>
    </row>
    <row r="15" ht="15" customHeight="1">
      <c r="A15" s="20" t="n">
        <v>1</v>
      </c>
      <c r="B15" s="21" t="inlineStr">
        <is>
          <t>TOCANTINÓPOLIS</t>
        </is>
      </c>
      <c r="C15" s="22" t="n">
        <v>1</v>
      </c>
      <c r="D15" s="18" t="inlineStr">
        <is>
          <t>TO-010</t>
        </is>
      </c>
      <c r="E15" s="21" t="inlineStr">
        <is>
          <t>RODOVIA TO-010 - TRECHO ANANÁS - ENTR. BR-230</t>
        </is>
      </c>
      <c r="F15" s="18" t="inlineStr">
        <is>
          <t>010ETO0590</t>
        </is>
      </c>
      <c r="G15" s="21" t="inlineStr">
        <is>
          <t>NATAL - ESPERANCA VIVA</t>
        </is>
      </c>
      <c r="H15" s="18" t="inlineStr">
        <is>
          <t>EOP</t>
        </is>
      </c>
      <c r="I15" s="18" t="inlineStr">
        <is>
          <t>-48.16351, -5.8728</t>
        </is>
      </c>
      <c r="J15" s="18" t="inlineStr">
        <is>
          <t>-48.159514, -5.884126</t>
        </is>
      </c>
      <c r="K15" s="19" t="n">
        <v>1.34607752</v>
      </c>
    </row>
    <row r="16" ht="15" customHeight="1">
      <c r="A16" s="20" t="n">
        <v>1</v>
      </c>
      <c r="B16" s="21" t="inlineStr">
        <is>
          <t>TOCANTINÓPOLIS</t>
        </is>
      </c>
      <c r="C16" s="22" t="n">
        <v>1</v>
      </c>
      <c r="D16" s="18" t="inlineStr">
        <is>
          <t>TO-010</t>
        </is>
      </c>
      <c r="E16" s="21" t="inlineStr">
        <is>
          <t>RODOVIA TO-010 - TRECHO ANANÁS - ENTR. BR-230</t>
        </is>
      </c>
      <c r="F16" s="18" t="inlineStr">
        <is>
          <t>010ETO0600</t>
        </is>
      </c>
      <c r="G16" s="21" t="inlineStr">
        <is>
          <t>ESPERANCA VIVA - VILA NOVA</t>
        </is>
      </c>
      <c r="H16" s="18" t="inlineStr">
        <is>
          <t>EOP</t>
        </is>
      </c>
      <c r="I16" s="18" t="inlineStr">
        <is>
          <t>-48.185423, -5.817651</t>
        </is>
      </c>
      <c r="J16" s="18" t="inlineStr">
        <is>
          <t>-48.16351, -5.8728</t>
        </is>
      </c>
      <c r="K16" s="19" t="n">
        <v>7.190882422</v>
      </c>
    </row>
    <row r="17" ht="15" customHeight="1">
      <c r="A17" s="20" t="n">
        <v>1</v>
      </c>
      <c r="B17" s="21" t="inlineStr">
        <is>
          <t>TOCANTINÓPOLIS</t>
        </is>
      </c>
      <c r="C17" s="22" t="n">
        <v>1</v>
      </c>
      <c r="D17" s="18" t="inlineStr">
        <is>
          <t>TO-010</t>
        </is>
      </c>
      <c r="E17" s="21" t="inlineStr">
        <is>
          <t>RODOVIA TO-010 - TRECHO ANANÁS - ENTR. BR-230</t>
        </is>
      </c>
      <c r="F17" s="18" t="inlineStr">
        <is>
          <t>010ETO0610</t>
        </is>
      </c>
      <c r="G17" s="21" t="inlineStr">
        <is>
          <t>VILA NOVA - TAQUARI</t>
        </is>
      </c>
      <c r="H17" s="18" t="inlineStr">
        <is>
          <t>EOP</t>
        </is>
      </c>
      <c r="I17" s="18" t="inlineStr">
        <is>
          <t>-48.176099, -5.787644</t>
        </is>
      </c>
      <c r="J17" s="18" t="inlineStr">
        <is>
          <t>-48.185423, -5.817651</t>
        </is>
      </c>
      <c r="K17" s="19" t="n">
        <v>3.848013682</v>
      </c>
    </row>
    <row r="18" ht="15" customHeight="1">
      <c r="A18" s="20" t="n">
        <v>1</v>
      </c>
      <c r="B18" s="21" t="inlineStr">
        <is>
          <t>TOCANTINÓPOLIS</t>
        </is>
      </c>
      <c r="C18" s="22" t="n">
        <v>1</v>
      </c>
      <c r="D18" s="18" t="inlineStr">
        <is>
          <t>TO-010</t>
        </is>
      </c>
      <c r="E18" s="21" t="inlineStr">
        <is>
          <t>RODOVIA TO-010 - TRECHO ANANÁS - ENTR. BR-230</t>
        </is>
      </c>
      <c r="F18" s="18" t="inlineStr">
        <is>
          <t>010ETO0620</t>
        </is>
      </c>
      <c r="G18" s="21" t="inlineStr">
        <is>
          <t>TAQUARI - ENTR. BR-230</t>
        </is>
      </c>
      <c r="H18" s="18" t="inlineStr">
        <is>
          <t>EOP</t>
        </is>
      </c>
      <c r="I18" s="18" t="inlineStr">
        <is>
          <t>-48.15656, -5.717301</t>
        </is>
      </c>
      <c r="J18" s="18" t="inlineStr">
        <is>
          <t>-48.176099, -5.787644</t>
        </is>
      </c>
      <c r="K18" s="19" t="n">
        <v>9.34601947</v>
      </c>
    </row>
    <row r="19" ht="30" customHeight="1">
      <c r="A19" s="20" t="n">
        <v>1</v>
      </c>
      <c r="B19" s="21" t="inlineStr">
        <is>
          <t>TOCANTINÓPOLIS</t>
        </is>
      </c>
      <c r="C19" s="22" t="n">
        <v>2</v>
      </c>
      <c r="D19" s="18" t="inlineStr">
        <is>
          <t>TO-010</t>
        </is>
      </c>
      <c r="E19" s="21" t="inlineStr">
        <is>
          <t>RODOVIA TO-010 - TRECHO ENTR. BR-230 - ARAGUATINS</t>
        </is>
      </c>
      <c r="F19" s="18" t="inlineStr">
        <is>
          <t>010ETO0630</t>
        </is>
      </c>
      <c r="G19" s="21" t="inlineStr">
        <is>
          <t>ENTR. BR-230 (PU TRANSARAGUAIA) - FIM PU TRANSARAGUAIA</t>
        </is>
      </c>
      <c r="H19" s="18" t="inlineStr">
        <is>
          <t>PPS</t>
        </is>
      </c>
      <c r="I19" s="18" t="inlineStr">
        <is>
          <t>-48.147525833, -5.719515396</t>
        </is>
      </c>
      <c r="J19" s="18" t="inlineStr">
        <is>
          <t>-48.146858, -5.717331</t>
        </is>
      </c>
      <c r="K19" s="19" t="n">
        <v>0.252935442</v>
      </c>
    </row>
    <row r="20" ht="30" customHeight="1">
      <c r="A20" s="20" t="n">
        <v>1</v>
      </c>
      <c r="B20" s="21" t="inlineStr">
        <is>
          <t>TOCANTINÓPOLIS</t>
        </is>
      </c>
      <c r="C20" s="22" t="n">
        <v>2</v>
      </c>
      <c r="D20" s="18" t="inlineStr">
        <is>
          <t>TO-010</t>
        </is>
      </c>
      <c r="E20" s="21" t="inlineStr">
        <is>
          <t>RODOVIA TO-010 - TRECHO ENTR. BR-230 - ARAGUATINS</t>
        </is>
      </c>
      <c r="F20" s="18" t="inlineStr">
        <is>
          <t>010ETO0640</t>
        </is>
      </c>
      <c r="G20" s="21" t="inlineStr">
        <is>
          <t>ENTR. BR-230(TRANSARAGUAIA) - INÍCIO PU ARAGUATINS</t>
        </is>
      </c>
      <c r="H20" s="18" t="inlineStr">
        <is>
          <t>PPS</t>
        </is>
      </c>
      <c r="I20" s="18" t="inlineStr">
        <is>
          <t>-48.146858, -5.717331</t>
        </is>
      </c>
      <c r="J20" s="18" t="inlineStr">
        <is>
          <t>-48.121912, -5.656907</t>
        </is>
      </c>
      <c r="K20" s="19" t="n">
        <v>7.556098645</v>
      </c>
    </row>
    <row r="21" ht="30" customHeight="1">
      <c r="A21" s="20" t="n">
        <v>1</v>
      </c>
      <c r="B21" s="21" t="inlineStr">
        <is>
          <t>TOCANTINÓPOLIS</t>
        </is>
      </c>
      <c r="C21" s="22" t="n">
        <v>2</v>
      </c>
      <c r="D21" s="18" t="inlineStr">
        <is>
          <t>TO-010</t>
        </is>
      </c>
      <c r="E21" s="21" t="inlineStr">
        <is>
          <t>RODOVIA TO-010 - TRECHO ENTR. BR-230 - ARAGUATINS</t>
        </is>
      </c>
      <c r="F21" s="18" t="inlineStr">
        <is>
          <t>010ETO0642</t>
        </is>
      </c>
      <c r="G21" s="21" t="inlineStr">
        <is>
          <t>INÍCIO PU ARAGUATINS - INÍCIO DUPLICAÇÃO(PU ARAGUATINS)</t>
        </is>
      </c>
      <c r="H21" s="18" t="inlineStr">
        <is>
          <t>PSU</t>
        </is>
      </c>
      <c r="I21" s="18" t="inlineStr">
        <is>
          <t>-48.121912, -5.656907</t>
        </is>
      </c>
      <c r="J21" s="18" t="inlineStr">
        <is>
          <t>-48.121321, -5.654996</t>
        </is>
      </c>
      <c r="K21" s="19" t="n">
        <v>0.221476731</v>
      </c>
    </row>
    <row r="22" ht="30" customHeight="1">
      <c r="A22" s="20" t="n">
        <v>1</v>
      </c>
      <c r="B22" s="21" t="inlineStr">
        <is>
          <t>TOCANTINÓPOLIS</t>
        </is>
      </c>
      <c r="C22" s="22" t="n">
        <v>2</v>
      </c>
      <c r="D22" s="18" t="inlineStr">
        <is>
          <t>TO-010</t>
        </is>
      </c>
      <c r="E22" s="21" t="inlineStr">
        <is>
          <t>RODOVIA TO-010 - TRECHO ENTR. BR-230 - ARAGUATINS</t>
        </is>
      </c>
      <c r="F22" s="18" t="inlineStr">
        <is>
          <t>010ETO0643D</t>
        </is>
      </c>
      <c r="G22" s="21" t="inlineStr">
        <is>
          <t>INÍCIO DUPLICAÇÃO(PU ARAGUATINS) - FIM DUPLICAÇÃO(PU ARAGUATINS)</t>
        </is>
      </c>
      <c r="H22" s="18" t="inlineStr">
        <is>
          <t>PDU</t>
        </is>
      </c>
      <c r="I22" s="18" t="inlineStr">
        <is>
          <t>-48.121321, -5.654996</t>
        </is>
      </c>
      <c r="J22" s="18" t="inlineStr">
        <is>
          <t>-48.120812, -5.653188</t>
        </is>
      </c>
      <c r="K22" s="19" t="n">
        <v>0.226309617</v>
      </c>
    </row>
    <row r="23" ht="30" customHeight="1">
      <c r="A23" s="20" t="n">
        <v>1</v>
      </c>
      <c r="B23" s="21" t="inlineStr">
        <is>
          <t>TOCANTINÓPOLIS</t>
        </is>
      </c>
      <c r="C23" s="22" t="n">
        <v>2</v>
      </c>
      <c r="D23" s="18" t="inlineStr">
        <is>
          <t>TO-010</t>
        </is>
      </c>
      <c r="E23" s="21" t="inlineStr">
        <is>
          <t>RODOVIA TO-010 - TRECHO ENTR. BR-230 - ARAGUATINS</t>
        </is>
      </c>
      <c r="F23" s="18" t="inlineStr">
        <is>
          <t>010ETO0643E</t>
        </is>
      </c>
      <c r="G23" s="21" t="inlineStr">
        <is>
          <t>INÍCIO DUPLICAÇÃO(PU ARAGUATINS) - FIM DUPLICAÇÃO(PU ARAGUATINS)</t>
        </is>
      </c>
      <c r="H23" s="18" t="inlineStr">
        <is>
          <t>PDU</t>
        </is>
      </c>
      <c r="I23" s="18" t="inlineStr">
        <is>
          <t>-48.121321, -5.654996</t>
        </is>
      </c>
      <c r="J23" s="18" t="inlineStr">
        <is>
          <t>-48.120812, -5.653188</t>
        </is>
      </c>
      <c r="K23" s="19" t="n">
        <v>0.217521766</v>
      </c>
    </row>
    <row r="24" ht="30" customHeight="1">
      <c r="A24" s="20" t="n">
        <v>1</v>
      </c>
      <c r="B24" s="21" t="inlineStr">
        <is>
          <t>TOCANTINÓPOLIS</t>
        </is>
      </c>
      <c r="C24" s="22" t="n">
        <v>2</v>
      </c>
      <c r="D24" s="18" t="inlineStr">
        <is>
          <t>TO-010</t>
        </is>
      </c>
      <c r="E24" s="21" t="inlineStr">
        <is>
          <t>RODOVIA TO-010 - TRECHO ENTR. BR-230 - ARAGUATINS</t>
        </is>
      </c>
      <c r="F24" s="18" t="inlineStr">
        <is>
          <t>010ETO0644</t>
        </is>
      </c>
      <c r="G24" s="21" t="inlineStr">
        <is>
          <t>FIM DUPLICAÇÃO(PU ARAGUATINS) - FIM PU ARAGUATINS</t>
        </is>
      </c>
      <c r="H24" s="18" t="inlineStr">
        <is>
          <t>PSU</t>
        </is>
      </c>
      <c r="I24" s="18" t="inlineStr">
        <is>
          <t>-48.120812, -5.653188</t>
        </is>
      </c>
      <c r="J24" s="18" t="inlineStr">
        <is>
          <t>-48.10469, -5.637677</t>
        </is>
      </c>
      <c r="K24" s="19" t="n">
        <v>2.624849804</v>
      </c>
    </row>
    <row r="25" ht="30" customHeight="1">
      <c r="A25" s="20" t="n">
        <v>1</v>
      </c>
      <c r="B25" s="21" t="inlineStr">
        <is>
          <t>TOCANTINÓPOLIS</t>
        </is>
      </c>
      <c r="C25" s="22" t="n">
        <v>3</v>
      </c>
      <c r="D25" s="18" t="inlineStr">
        <is>
          <t>TO-010</t>
        </is>
      </c>
      <c r="E25" s="21" t="inlineStr">
        <is>
          <t>RODOVIA TO-010 - TRECHO ARAGUATINS - ENTR. TO-201</t>
        </is>
      </c>
      <c r="F25" s="18" t="inlineStr">
        <is>
          <t>010ETO0650</t>
        </is>
      </c>
      <c r="G25" s="21" t="inlineStr">
        <is>
          <t>FIM PU ARAGUATINS - ENTR. TO-404</t>
        </is>
      </c>
      <c r="H25" s="18" t="inlineStr">
        <is>
          <t>PPS</t>
        </is>
      </c>
      <c r="I25" s="18" t="inlineStr">
        <is>
          <t>-48.10469, -5.637677</t>
        </is>
      </c>
      <c r="J25" s="18" t="inlineStr">
        <is>
          <t>-48.079338, -5.597599</t>
        </is>
      </c>
      <c r="K25" s="19" t="n">
        <v>5.433581391</v>
      </c>
    </row>
    <row r="26" ht="30" customHeight="1">
      <c r="A26" s="20" t="n">
        <v>1</v>
      </c>
      <c r="B26" s="21" t="inlineStr">
        <is>
          <t>TOCANTINÓPOLIS</t>
        </is>
      </c>
      <c r="C26" s="22" t="n">
        <v>3</v>
      </c>
      <c r="D26" s="18" t="inlineStr">
        <is>
          <t>TO-010</t>
        </is>
      </c>
      <c r="E26" s="21" t="inlineStr">
        <is>
          <t>RODOVIA TO-010 - TRECHO ARAGUATINS - ENTR. TO-201</t>
        </is>
      </c>
      <c r="F26" s="18" t="inlineStr">
        <is>
          <t>010ETO0665</t>
        </is>
      </c>
      <c r="G26" s="21" t="inlineStr">
        <is>
          <t>ENTR. TO-404 - ENTR. ACESSO POV. CANAÃ</t>
        </is>
      </c>
      <c r="H26" s="18" t="inlineStr">
        <is>
          <t>PPS</t>
        </is>
      </c>
      <c r="I26" s="18" t="inlineStr">
        <is>
          <t>-48.079338, -5.597599</t>
        </is>
      </c>
      <c r="J26" s="18" t="inlineStr">
        <is>
          <t>-48.177872, -5.368274</t>
        </is>
      </c>
      <c r="K26" s="19" t="n">
        <v>28.0407677473</v>
      </c>
    </row>
    <row r="27" ht="30" customHeight="1">
      <c r="A27" s="20" t="n">
        <v>1</v>
      </c>
      <c r="B27" s="21" t="inlineStr">
        <is>
          <t>TOCANTINÓPOLIS</t>
        </is>
      </c>
      <c r="C27" s="22" t="n">
        <v>3</v>
      </c>
      <c r="D27" s="18" t="inlineStr">
        <is>
          <t>TO-010</t>
        </is>
      </c>
      <c r="E27" s="21" t="inlineStr">
        <is>
          <t>RODOVIA TO-010 - TRECHO ARAGUATINS - ENTR. TO-201</t>
        </is>
      </c>
      <c r="F27" s="18" t="inlineStr">
        <is>
          <t>010ETO0670</t>
        </is>
      </c>
      <c r="G27" s="21" t="inlineStr">
        <is>
          <t>ENTR. ACESSO POV. CANAÃ - INÍCIO PU VILA UNIÃO</t>
        </is>
      </c>
      <c r="H27" s="18" t="inlineStr">
        <is>
          <t>PPS</t>
        </is>
      </c>
      <c r="I27" s="18" t="inlineStr">
        <is>
          <t>-48.177872, -5.368274</t>
        </is>
      </c>
      <c r="J27" s="18" t="inlineStr">
        <is>
          <t>-48.185428, -5.347303</t>
        </is>
      </c>
      <c r="K27" s="19" t="n">
        <v>2.468453305</v>
      </c>
    </row>
    <row r="28" ht="30" customHeight="1">
      <c r="A28" s="20" t="n">
        <v>1</v>
      </c>
      <c r="B28" s="21" t="inlineStr">
        <is>
          <t>TOCANTINÓPOLIS</t>
        </is>
      </c>
      <c r="C28" s="22" t="n">
        <v>3</v>
      </c>
      <c r="D28" s="18" t="inlineStr">
        <is>
          <t>TO-010</t>
        </is>
      </c>
      <c r="E28" s="21" t="inlineStr">
        <is>
          <t>RODOVIA TO-010 - TRECHO ARAGUATINS - ENTR. TO-201</t>
        </is>
      </c>
      <c r="F28" s="18" t="inlineStr">
        <is>
          <t>010ETO0672</t>
        </is>
      </c>
      <c r="G28" s="21" t="inlineStr">
        <is>
          <t>INICIO PU VILA UNIÃO - FIM PU VILA UNIÃO</t>
        </is>
      </c>
      <c r="H28" s="18" t="inlineStr">
        <is>
          <t>PSU</t>
        </is>
      </c>
      <c r="I28" s="18" t="inlineStr">
        <is>
          <t>-48.185428, -5.347303</t>
        </is>
      </c>
      <c r="J28" s="18" t="inlineStr">
        <is>
          <t>-48.187541, -5.341171</t>
        </is>
      </c>
      <c r="K28" s="19" t="n">
        <v>0.718227014</v>
      </c>
    </row>
    <row r="29" ht="30" customHeight="1">
      <c r="A29" s="20" t="n">
        <v>1</v>
      </c>
      <c r="B29" s="21" t="inlineStr">
        <is>
          <t>TOCANTINÓPOLIS</t>
        </is>
      </c>
      <c r="C29" s="22" t="n">
        <v>3</v>
      </c>
      <c r="D29" s="18" t="inlineStr">
        <is>
          <t>TO-010</t>
        </is>
      </c>
      <c r="E29" s="21" t="inlineStr">
        <is>
          <t>RODOVIA TO-010 - TRECHO ARAGUATINS - ENTR. TO-201</t>
        </is>
      </c>
      <c r="F29" s="18" t="inlineStr">
        <is>
          <t>010ETO0680</t>
        </is>
      </c>
      <c r="G29" s="21" t="inlineStr">
        <is>
          <t>FIM PU VILA UNIÃO - ENTR. TO-201</t>
        </is>
      </c>
      <c r="H29" s="18" t="inlineStr">
        <is>
          <t>PPS</t>
        </is>
      </c>
      <c r="I29" s="18" t="inlineStr">
        <is>
          <t>-48.187541, -5.341171</t>
        </is>
      </c>
      <c r="J29" s="18" t="inlineStr">
        <is>
          <t>-48.194133, -5.318513</t>
        </is>
      </c>
      <c r="K29" s="19" t="n">
        <v>2.61908939</v>
      </c>
    </row>
    <row r="30" ht="30" customHeight="1">
      <c r="A30" s="20" t="n">
        <v>1</v>
      </c>
      <c r="B30" s="21" t="inlineStr">
        <is>
          <t>TOCANTINÓPOLIS</t>
        </is>
      </c>
      <c r="C30" s="22" t="n">
        <v>4</v>
      </c>
      <c r="D30" s="18" t="inlineStr">
        <is>
          <t>TO-010</t>
        </is>
      </c>
      <c r="E30" s="21" t="inlineStr">
        <is>
          <t>RODOVIA TO-010 - TRECHO BURITI DO TOCANTINS (ENTR. TO-201) - SÃO SEBASTIÃO DO TOCANTINS</t>
        </is>
      </c>
      <c r="F30" s="18" t="inlineStr">
        <is>
          <t>010ETO0690</t>
        </is>
      </c>
      <c r="G30" s="21" t="inlineStr">
        <is>
          <t>ENTR. TO-201(A) - INÍCIO PU BURITI DO TOCANTINS</t>
        </is>
      </c>
      <c r="H30" s="18" t="inlineStr">
        <is>
          <t>PPS</t>
        </is>
      </c>
      <c r="I30" s="18" t="inlineStr">
        <is>
          <t>-48.194133, -5.318513</t>
        </is>
      </c>
      <c r="J30" s="18" t="inlineStr">
        <is>
          <t>-48.220837, -5.322484</t>
        </is>
      </c>
      <c r="K30" s="19" t="n">
        <v>2.995883592</v>
      </c>
    </row>
    <row r="31" ht="30" customHeight="1">
      <c r="A31" s="20" t="n">
        <v>1</v>
      </c>
      <c r="B31" s="21" t="inlineStr">
        <is>
          <t>TOCANTINÓPOLIS</t>
        </is>
      </c>
      <c r="C31" s="22" t="n">
        <v>4</v>
      </c>
      <c r="D31" s="18" t="inlineStr">
        <is>
          <t>TO-010</t>
        </is>
      </c>
      <c r="E31" s="21" t="inlineStr">
        <is>
          <t>RODOVIA TO-010 - TRECHO BURITI DO TOCANTINS (ENTR. TO-201) - SÃO SEBASTIÃO DO TOCANTINS</t>
        </is>
      </c>
      <c r="F31" s="18" t="inlineStr">
        <is>
          <t>010ETO0691</t>
        </is>
      </c>
      <c r="G31" s="21" t="inlineStr">
        <is>
          <t>INÍCIO PU BURITI DO TOCANTINS - ENTR. TO-201(B)(PU BURITI DO TOCANTINS)</t>
        </is>
      </c>
      <c r="H31" s="18" t="inlineStr">
        <is>
          <t>PSU</t>
        </is>
      </c>
      <c r="I31" s="18" t="inlineStr">
        <is>
          <t>-48.220837, -5.322484</t>
        </is>
      </c>
      <c r="J31" s="18" t="inlineStr">
        <is>
          <t>-48.226803, -5.32273</t>
        </is>
      </c>
      <c r="K31" s="19" t="n">
        <v>0.666305136</v>
      </c>
    </row>
    <row r="32" ht="30" customHeight="1">
      <c r="A32" s="20" t="n">
        <v>1</v>
      </c>
      <c r="B32" s="21" t="inlineStr">
        <is>
          <t>TOCANTINÓPOLIS</t>
        </is>
      </c>
      <c r="C32" s="22" t="n">
        <v>4</v>
      </c>
      <c r="D32" s="18" t="inlineStr">
        <is>
          <t>TO-010</t>
        </is>
      </c>
      <c r="E32" s="21" t="inlineStr">
        <is>
          <t>RODOVIA TO-010 - TRECHO BURITI DO TOCANTINS (ENTR. TO-201) - SÃO SEBASTIÃO DO TOCANTINS</t>
        </is>
      </c>
      <c r="F32" s="18" t="inlineStr">
        <is>
          <t>010ETO0692</t>
        </is>
      </c>
      <c r="G32" s="21" t="inlineStr">
        <is>
          <t>ENTR. TO-201(B)(PU BURITI DO TOCANTINS) - INÍCIO DUPLICAÇÃO(PU BURITI DO TOCANTINS)</t>
        </is>
      </c>
      <c r="H32" s="18" t="inlineStr">
        <is>
          <t>PSU</t>
        </is>
      </c>
      <c r="I32" s="18" t="inlineStr">
        <is>
          <t>-48.226763561, -5.321561813</t>
        </is>
      </c>
      <c r="J32" s="18" t="inlineStr">
        <is>
          <t>-48.226803, -5.32273</t>
        </is>
      </c>
      <c r="K32" s="19" t="n">
        <v>0.129409599</v>
      </c>
    </row>
    <row r="33" ht="30" customHeight="1">
      <c r="A33" s="20" t="n">
        <v>1</v>
      </c>
      <c r="B33" s="21" t="inlineStr">
        <is>
          <t>TOCANTINÓPOLIS</t>
        </is>
      </c>
      <c r="C33" s="22" t="n">
        <v>4</v>
      </c>
      <c r="D33" s="18" t="inlineStr">
        <is>
          <t>TO-010</t>
        </is>
      </c>
      <c r="E33" s="21" t="inlineStr">
        <is>
          <t>RODOVIA TO-010 - TRECHO BURITI DO TOCANTINS (ENTR. TO-201) - SÃO SEBASTIÃO DO TOCANTINS</t>
        </is>
      </c>
      <c r="F33" s="18" t="inlineStr">
        <is>
          <t>010ETO0693D</t>
        </is>
      </c>
      <c r="G33" s="21" t="inlineStr">
        <is>
          <t>ENTR. TO-201(B)(PU BURITI DO TOCANTINS) - INÍCIO DUPLICAÇÃO(PU BURITI DO TOCANTINS)</t>
        </is>
      </c>
      <c r="H33" s="18" t="inlineStr">
        <is>
          <t>PDU</t>
        </is>
      </c>
      <c r="I33" s="18" t="inlineStr">
        <is>
          <t>-48.226763561, -5.321561813</t>
        </is>
      </c>
      <c r="J33" s="18" t="inlineStr">
        <is>
          <t>-48.226315, -5.314391</t>
        </is>
      </c>
      <c r="K33" s="19" t="n">
        <v>0.860651334</v>
      </c>
    </row>
    <row r="34" ht="30" customHeight="1">
      <c r="A34" s="20" t="n">
        <v>1</v>
      </c>
      <c r="B34" s="21" t="inlineStr">
        <is>
          <t>TOCANTINÓPOLIS</t>
        </is>
      </c>
      <c r="C34" s="22" t="n">
        <v>4</v>
      </c>
      <c r="D34" s="18" t="inlineStr">
        <is>
          <t>TO-010</t>
        </is>
      </c>
      <c r="E34" s="21" t="inlineStr">
        <is>
          <t>RODOVIA TO-010 - TRECHO BURITI DO TOCANTINS (ENTR. TO-201) - SÃO SEBASTIÃO DO TOCANTINS</t>
        </is>
      </c>
      <c r="F34" s="18" t="inlineStr">
        <is>
          <t>010ETO0693E</t>
        </is>
      </c>
      <c r="G34" s="21" t="inlineStr">
        <is>
          <t>ENTR. TO-201(B)(PU BURITI DO TOCANTINS) - INÍCIO DUPLICAÇÃO(PU BURITI DO TOCANTINS)</t>
        </is>
      </c>
      <c r="H34" s="18" t="inlineStr">
        <is>
          <t>PDU</t>
        </is>
      </c>
      <c r="I34" s="18" t="inlineStr">
        <is>
          <t>-48.226763561, -5.321561813</t>
        </is>
      </c>
      <c r="J34" s="18" t="inlineStr">
        <is>
          <t>-48.226315, -5.314391</t>
        </is>
      </c>
      <c r="K34" s="19" t="n">
        <v>0.799301179</v>
      </c>
    </row>
    <row r="35" ht="30" customHeight="1">
      <c r="A35" s="20" t="n">
        <v>1</v>
      </c>
      <c r="B35" s="21" t="inlineStr">
        <is>
          <t>TOCANTINÓPOLIS</t>
        </is>
      </c>
      <c r="C35" s="22" t="n">
        <v>4</v>
      </c>
      <c r="D35" s="18" t="inlineStr">
        <is>
          <t>TO-010</t>
        </is>
      </c>
      <c r="E35" s="21" t="inlineStr">
        <is>
          <t>RODOVIA TO-010 - TRECHO BURITI DO TOCANTINS (ENTR. TO-201) - SÃO SEBASTIÃO DO TOCANTINS</t>
        </is>
      </c>
      <c r="F35" s="18" t="inlineStr">
        <is>
          <t>010ETO0694</t>
        </is>
      </c>
      <c r="G35" s="21" t="inlineStr">
        <is>
          <t>FIM DUPLICAÇÃO(PU BURITI DO TOCANTINS) - INÍCIO DUPLICAÇÃO (PU BURITI DO TOCANTINS)</t>
        </is>
      </c>
      <c r="H35" s="18" t="inlineStr">
        <is>
          <t>PSU</t>
        </is>
      </c>
      <c r="I35" s="18" t="inlineStr">
        <is>
          <t>-48.226031, -5.305989</t>
        </is>
      </c>
      <c r="J35" s="18" t="inlineStr">
        <is>
          <t>-48.226315, -5.314391</t>
        </is>
      </c>
      <c r="K35" s="19" t="n">
        <v>0.991692941</v>
      </c>
    </row>
    <row r="36" ht="30" customHeight="1">
      <c r="A36" s="20" t="n">
        <v>1</v>
      </c>
      <c r="B36" s="21" t="inlineStr">
        <is>
          <t>TOCANTINÓPOLIS</t>
        </is>
      </c>
      <c r="C36" s="22" t="n">
        <v>4</v>
      </c>
      <c r="D36" s="18" t="inlineStr">
        <is>
          <t>TO-010</t>
        </is>
      </c>
      <c r="E36" s="21" t="inlineStr">
        <is>
          <t>RODOVIA TO-010 - TRECHO BURITI DO TOCANTINS (ENTR. TO-201) - SÃO SEBASTIÃO DO TOCANTINS</t>
        </is>
      </c>
      <c r="F36" s="18" t="inlineStr">
        <is>
          <t>010ETO0695D</t>
        </is>
      </c>
      <c r="G36" s="21" t="inlineStr">
        <is>
          <t>INÍCIO DUPLICAÇÃO (PU BURITI DO TOCANTINS) - FIM PU BURITI DO TOCANTINS</t>
        </is>
      </c>
      <c r="H36" s="18" t="inlineStr">
        <is>
          <t>PDU</t>
        </is>
      </c>
      <c r="I36" s="18" t="inlineStr">
        <is>
          <t>-48.227554384, -5.304241356</t>
        </is>
      </c>
      <c r="J36" s="18" t="inlineStr">
        <is>
          <t>-48.226031, -5.305989</t>
        </is>
      </c>
      <c r="K36" s="19" t="n">
        <v>0.264170437</v>
      </c>
    </row>
    <row r="37" ht="30" customHeight="1">
      <c r="A37" s="20" t="n">
        <v>1</v>
      </c>
      <c r="B37" s="21" t="inlineStr">
        <is>
          <t>TOCANTINÓPOLIS</t>
        </is>
      </c>
      <c r="C37" s="22" t="n">
        <v>4</v>
      </c>
      <c r="D37" s="18" t="inlineStr">
        <is>
          <t>TO-010</t>
        </is>
      </c>
      <c r="E37" s="21" t="inlineStr">
        <is>
          <t>RODOVIA TO-010 - TRECHO BURITI DO TOCANTINS (ENTR. TO-201) - SÃO SEBASTIÃO DO TOCANTINS</t>
        </is>
      </c>
      <c r="F37" s="18" t="inlineStr">
        <is>
          <t>010ETO0695E</t>
        </is>
      </c>
      <c r="G37" s="21" t="inlineStr">
        <is>
          <t>INÍCIO DUPLICAÇÃO (PU BURITI DO TOCANTINS) - FIM PU BURITI DO TOCANTINS</t>
        </is>
      </c>
      <c r="H37" s="18" t="inlineStr">
        <is>
          <t>PDU</t>
        </is>
      </c>
      <c r="I37" s="18" t="inlineStr">
        <is>
          <t>-48.227565246, -5.304300399</t>
        </is>
      </c>
      <c r="J37" s="18" t="inlineStr">
        <is>
          <t>-48.226031, -5.305989</t>
        </is>
      </c>
      <c r="K37" s="19" t="n">
        <v>0.25572352</v>
      </c>
    </row>
    <row r="38" ht="30" customHeight="1">
      <c r="A38" s="20" t="n">
        <v>1</v>
      </c>
      <c r="B38" s="21" t="inlineStr">
        <is>
          <t>TOCANTINÓPOLIS</t>
        </is>
      </c>
      <c r="C38" s="22" t="n">
        <v>4</v>
      </c>
      <c r="D38" s="18" t="inlineStr">
        <is>
          <t>TO-010</t>
        </is>
      </c>
      <c r="E38" s="21" t="inlineStr">
        <is>
          <t>RODOVIA TO-010 - TRECHO BURITI DO TOCANTINS (ENTR. TO-201) - SÃO SEBASTIÃO DO TOCANTINS</t>
        </is>
      </c>
      <c r="F38" s="18" t="inlineStr">
        <is>
          <t>010ETO0710D</t>
        </is>
      </c>
      <c r="G38" s="21" t="inlineStr">
        <is>
          <t>FIM PU BURITI DO TOCANTINS - INÍCIO PU SÃO SEBASTIÃO DO TOCANTINS</t>
        </is>
      </c>
      <c r="H38" s="18" t="inlineStr">
        <is>
          <t>DUP</t>
        </is>
      </c>
      <c r="I38" s="18" t="inlineStr">
        <is>
          <t>-48.212151, -5.261622</t>
        </is>
      </c>
      <c r="J38" s="18" t="inlineStr">
        <is>
          <t>-48.227554384, -5.304241356</t>
        </is>
      </c>
      <c r="K38" s="19" t="n">
        <v>5.220391189</v>
      </c>
    </row>
    <row r="39" ht="30" customHeight="1">
      <c r="A39" s="20" t="n">
        <v>1</v>
      </c>
      <c r="B39" s="21" t="inlineStr">
        <is>
          <t>TOCANTINÓPOLIS</t>
        </is>
      </c>
      <c r="C39" s="22" t="n">
        <v>4</v>
      </c>
      <c r="D39" s="18" t="inlineStr">
        <is>
          <t>TO-010</t>
        </is>
      </c>
      <c r="E39" s="21" t="inlineStr">
        <is>
          <t>RODOVIA TO-010 - TRECHO BURITI DO TOCANTINS (ENTR. TO-201) - SÃO SEBASTIÃO DO TOCANTINS</t>
        </is>
      </c>
      <c r="F39" s="18" t="inlineStr">
        <is>
          <t>010ETO0710E</t>
        </is>
      </c>
      <c r="G39" s="21" t="inlineStr">
        <is>
          <t>FIM PU BURITI DO TOCANTINS - INÍCIO PU SÃO SEBASTIÃO DO TOCANTINS</t>
        </is>
      </c>
      <c r="H39" s="18" t="inlineStr">
        <is>
          <t>DUP</t>
        </is>
      </c>
      <c r="I39" s="18" t="inlineStr">
        <is>
          <t>-48.227565246, -5.304300399</t>
        </is>
      </c>
      <c r="J39" s="18" t="inlineStr">
        <is>
          <t>-48.212246403, -5.261564256</t>
        </is>
      </c>
      <c r="K39" s="19" t="n">
        <v>5.243724413</v>
      </c>
    </row>
    <row r="40" ht="30" customHeight="1">
      <c r="A40" s="20" t="n">
        <v>1</v>
      </c>
      <c r="B40" s="21" t="inlineStr">
        <is>
          <t>TOCANTINÓPOLIS</t>
        </is>
      </c>
      <c r="C40" s="22" t="n">
        <v>4</v>
      </c>
      <c r="D40" s="18" t="inlineStr">
        <is>
          <t>TO-010</t>
        </is>
      </c>
      <c r="E40" s="21" t="inlineStr">
        <is>
          <t>RODOVIA TO-010 - TRECHO BURITI DO TOCANTINS (ENTR. TO-201) - SÃO SEBASTIÃO DO TOCANTINS</t>
        </is>
      </c>
      <c r="F40" s="18" t="inlineStr">
        <is>
          <t>010ETO0712D</t>
        </is>
      </c>
      <c r="G40" s="21" t="inlineStr">
        <is>
          <t>INÍCIO PU SÃO SEBASTIÃO DO TOCANTINS - FIM DUPLICAÇÃO(PU BURITI DO TOCANTINS)</t>
        </is>
      </c>
      <c r="H40" s="18" t="inlineStr">
        <is>
          <t>PDU</t>
        </is>
      </c>
      <c r="I40" s="18" t="inlineStr">
        <is>
          <t>-48.212246403, -5.261564256</t>
        </is>
      </c>
      <c r="J40" s="18" t="inlineStr">
        <is>
          <t>-48.204036446, -5.258328232</t>
        </is>
      </c>
      <c r="K40" s="19" t="n">
        <v>1.355386312</v>
      </c>
    </row>
    <row r="41" ht="30" customHeight="1">
      <c r="A41" s="20" t="n">
        <v>1</v>
      </c>
      <c r="B41" s="21" t="inlineStr">
        <is>
          <t>TOCANTINÓPOLIS</t>
        </is>
      </c>
      <c r="C41" s="22" t="n">
        <v>4</v>
      </c>
      <c r="D41" s="18" t="inlineStr">
        <is>
          <t>TO-010</t>
        </is>
      </c>
      <c r="E41" s="21" t="inlineStr">
        <is>
          <t>RODOVIA TO-010 - TRECHO BURITI DO TOCANTINS (ENTR. TO-201) - SÃO SEBASTIÃO DO TOCANTINS</t>
        </is>
      </c>
      <c r="F41" s="18" t="inlineStr">
        <is>
          <t>010ETO0712E</t>
        </is>
      </c>
      <c r="G41" s="21" t="inlineStr">
        <is>
          <t>INÍCIO PU SÃO SEBASTIÃO DO TOCANTINS - FIM DUPLICAÇÃO(PU BURITI DO TOCANTINS)</t>
        </is>
      </c>
      <c r="H41" s="18" t="inlineStr">
        <is>
          <t>PDU</t>
        </is>
      </c>
      <c r="I41" s="18" t="inlineStr">
        <is>
          <t>-48.212151, -5.261622</t>
        </is>
      </c>
      <c r="J41" s="18" t="inlineStr">
        <is>
          <t>-48.20395088, -5.25837886</t>
        </is>
      </c>
      <c r="K41" s="19" t="n">
        <v>1.361778955</v>
      </c>
    </row>
    <row r="42" ht="30" customHeight="1">
      <c r="A42" s="20" t="n">
        <v>1</v>
      </c>
      <c r="B42" s="21" t="inlineStr">
        <is>
          <t>TOCANTINÓPOLIS</t>
        </is>
      </c>
      <c r="C42" s="22" t="n">
        <v>4</v>
      </c>
      <c r="D42" s="18" t="inlineStr">
        <is>
          <t>TO-010</t>
        </is>
      </c>
      <c r="E42" s="21" t="inlineStr">
        <is>
          <t>RODOVIA TO-010 - TRECHO BURITI DO TOCANTINS (ENTR. TO-201) - SÃO SEBASTIÃO DO TOCANTINS</t>
        </is>
      </c>
      <c r="F42" s="18" t="inlineStr">
        <is>
          <t>010ETO0713</t>
        </is>
      </c>
      <c r="G42" s="21" t="inlineStr">
        <is>
          <t>FIM DUPLICAÇÃO(PU BURITI DO TOCANTINS) - RIO TOCANTINS(PU BURITI DO TOCANTINS)</t>
        </is>
      </c>
      <c r="H42" s="18" t="inlineStr">
        <is>
          <t>PDU</t>
        </is>
      </c>
      <c r="I42" s="18" t="inlineStr">
        <is>
          <t>-48.204036446, -5.258328232</t>
        </is>
      </c>
      <c r="J42" s="18" t="inlineStr">
        <is>
          <t>-48.200286161, -5.254325346</t>
        </is>
      </c>
      <c r="K42" s="19" t="n">
        <v>0.743456533</v>
      </c>
    </row>
    <row r="43" ht="30" customHeight="1">
      <c r="A43" s="20" t="n">
        <v>1</v>
      </c>
      <c r="B43" s="21" t="inlineStr">
        <is>
          <t>TOCANTINÓPOLIS</t>
        </is>
      </c>
      <c r="C43" s="22" t="n">
        <v>9</v>
      </c>
      <c r="D43" s="18" t="inlineStr">
        <is>
          <t>TO-126</t>
        </is>
      </c>
      <c r="E43" s="21" t="inlineStr">
        <is>
          <t>RODOVIA TO-126 - TRECHO SUMAUMA - SÍTIO NOVO DO TOCANTINS</t>
        </is>
      </c>
      <c r="F43" s="18" t="inlineStr">
        <is>
          <t>126ETO0042</t>
        </is>
      </c>
      <c r="G43" s="21" t="inlineStr">
        <is>
          <t>INÍCIO PU SUMAUMA - FIM PU SUMAUMA</t>
        </is>
      </c>
      <c r="H43" s="18" t="inlineStr">
        <is>
          <t>PSU</t>
        </is>
      </c>
      <c r="I43" s="18" t="inlineStr">
        <is>
          <t>-47.693547, -5.530449</t>
        </is>
      </c>
      <c r="J43" s="18" t="inlineStr">
        <is>
          <t>-47.686401105, -5.528824657</t>
        </is>
      </c>
      <c r="K43" s="19" t="n">
        <v>0.988843201</v>
      </c>
    </row>
    <row r="44" ht="30" customHeight="1">
      <c r="A44" s="20" t="n">
        <v>1</v>
      </c>
      <c r="B44" s="21" t="inlineStr">
        <is>
          <t>TOCANTINÓPOLIS</t>
        </is>
      </c>
      <c r="C44" s="22" t="n">
        <v>9</v>
      </c>
      <c r="D44" s="18" t="inlineStr">
        <is>
          <t>TO-126</t>
        </is>
      </c>
      <c r="E44" s="21" t="inlineStr">
        <is>
          <t>RODOVIA TO-126 - TRECHO SUMAUMA - SÍTIO NOVO DO TOCANTINS</t>
        </is>
      </c>
      <c r="F44" s="18" t="inlineStr">
        <is>
          <t>126ETO0050</t>
        </is>
      </c>
      <c r="G44" s="21" t="inlineStr">
        <is>
          <t>SUMAUMA *TRECHO URBANO* - SÃO PEDRO</t>
        </is>
      </c>
      <c r="H44" s="18" t="inlineStr">
        <is>
          <t>PPS</t>
        </is>
      </c>
      <c r="I44" s="18" t="inlineStr">
        <is>
          <t>-47.636832074, -5.547252827</t>
        </is>
      </c>
      <c r="J44" s="18" t="inlineStr">
        <is>
          <t>-47.686401105, -5.528824657</t>
        </is>
      </c>
      <c r="K44" s="19" t="n">
        <v>7.551052127</v>
      </c>
    </row>
    <row r="45" ht="30" customHeight="1">
      <c r="A45" s="20" t="n">
        <v>1</v>
      </c>
      <c r="B45" s="21" t="inlineStr">
        <is>
          <t>TOCANTINÓPOLIS</t>
        </is>
      </c>
      <c r="C45" s="22" t="n">
        <v>9</v>
      </c>
      <c r="D45" s="18" t="inlineStr">
        <is>
          <t>TO-126</t>
        </is>
      </c>
      <c r="E45" s="21" t="inlineStr">
        <is>
          <t>RODOVIA TO-126 - TRECHO SUMAUMA - SÍTIO NOVO DO TOCANTINS</t>
        </is>
      </c>
      <c r="F45" s="18" t="inlineStr">
        <is>
          <t>126ETO0060</t>
        </is>
      </c>
      <c r="G45" s="21" t="inlineStr">
        <is>
          <t>SÃO PEDRO - INÍCIO PU SITÍO NOVO DO TOCANTINS</t>
        </is>
      </c>
      <c r="H45" s="18" t="inlineStr">
        <is>
          <t>PPS</t>
        </is>
      </c>
      <c r="I45" s="18" t="inlineStr">
        <is>
          <t>-47.634119689, -5.588945583</t>
        </is>
      </c>
      <c r="J45" s="18" t="inlineStr">
        <is>
          <t>-47.636832074, -5.547252827</t>
        </is>
      </c>
      <c r="K45" s="19" t="n">
        <v>4.979596966</v>
      </c>
    </row>
    <row r="46" ht="30" customHeight="1">
      <c r="A46" s="20" t="n">
        <v>1</v>
      </c>
      <c r="B46" s="21" t="inlineStr">
        <is>
          <t>TOCANTINÓPOLIS</t>
        </is>
      </c>
      <c r="C46" s="22" t="n">
        <v>9</v>
      </c>
      <c r="D46" s="18" t="inlineStr">
        <is>
          <t>TO-126</t>
        </is>
      </c>
      <c r="E46" s="21" t="inlineStr">
        <is>
          <t>RODOVIA TO-126 - TRECHO SUMAUMA - SÍTIO NOVO DO TOCANTINS</t>
        </is>
      </c>
      <c r="F46" s="18" t="inlineStr">
        <is>
          <t>126ETO0062</t>
        </is>
      </c>
      <c r="G46" s="21" t="inlineStr">
        <is>
          <t>INÍCIO PU SÍTIO NOVO DO TOCANTINS - FIM PU SÍTIO NOVO DO TOCANTINS</t>
        </is>
      </c>
      <c r="H46" s="18" t="inlineStr">
        <is>
          <t>PSU</t>
        </is>
      </c>
      <c r="I46" s="18" t="inlineStr">
        <is>
          <t>-47.627814784, -5.595116339</t>
        </is>
      </c>
      <c r="J46" s="18" t="inlineStr">
        <is>
          <t>-47.634119689, -5.588945583</t>
        </is>
      </c>
      <c r="K46" s="19" t="n">
        <v>1.052525108</v>
      </c>
    </row>
    <row r="47" ht="30" customHeight="1">
      <c r="A47" s="20" t="n">
        <v>1</v>
      </c>
      <c r="B47" s="21" t="inlineStr">
        <is>
          <t>TOCANTINÓPOLIS</t>
        </is>
      </c>
      <c r="C47" s="22" t="n">
        <v>9</v>
      </c>
      <c r="D47" s="18" t="inlineStr">
        <is>
          <t>TO-126</t>
        </is>
      </c>
      <c r="E47" s="21" t="inlineStr">
        <is>
          <t>RODOVIA TO-126 - TRECHO SUMAUMA - SÍTIO NOVO DO TOCANTINS</t>
        </is>
      </c>
      <c r="F47" s="18" t="inlineStr">
        <is>
          <t>126ETO0063</t>
        </is>
      </c>
      <c r="G47" s="21" t="inlineStr">
        <is>
          <t>FIM PU SÍTIO NOVO DO TOCANTINS - ENTR. TO-201(A)</t>
        </is>
      </c>
      <c r="H47" s="18" t="inlineStr">
        <is>
          <t>PPS</t>
        </is>
      </c>
      <c r="I47" s="18" t="inlineStr">
        <is>
          <t>-47.623012228, -5.595908924</t>
        </is>
      </c>
      <c r="J47" s="18" t="inlineStr">
        <is>
          <t>-47.627814784, -5.595116339</t>
        </is>
      </c>
      <c r="K47" s="19" t="n">
        <v>0.539612376</v>
      </c>
    </row>
    <row r="48" ht="30" customHeight="1">
      <c r="A48" s="20" t="n">
        <v>1</v>
      </c>
      <c r="B48" s="21" t="inlineStr">
        <is>
          <t>TOCANTINÓPOLIS</t>
        </is>
      </c>
      <c r="C48" s="22" t="n">
        <v>9</v>
      </c>
      <c r="D48" s="18" t="inlineStr">
        <is>
          <t>TO-126</t>
        </is>
      </c>
      <c r="E48" s="21" t="inlineStr">
        <is>
          <t>RODOVIA TO-126 - TRECHO SUMAUMA - SÍTIO NOVO DO TOCANTINS</t>
        </is>
      </c>
      <c r="F48" s="18" t="inlineStr">
        <is>
          <t>126ETO0080</t>
        </is>
      </c>
      <c r="G48" s="21" t="inlineStr">
        <is>
          <t>ENTR. TO-201(A) - INÍCIO PU SÍTIO NOVO DO TOCANTINS</t>
        </is>
      </c>
      <c r="H48" s="18" t="inlineStr">
        <is>
          <t>PPS</t>
        </is>
      </c>
      <c r="I48" s="18" t="inlineStr">
        <is>
          <t>-47.62301557, -5.59590557</t>
        </is>
      </c>
      <c r="J48" s="18" t="inlineStr">
        <is>
          <t>-47.629139, -5.601949</t>
        </is>
      </c>
      <c r="K48" s="19" t="n">
        <v>0.953031835</v>
      </c>
    </row>
    <row r="49" ht="30" customHeight="1">
      <c r="A49" s="20" t="n">
        <v>1</v>
      </c>
      <c r="B49" s="21" t="inlineStr">
        <is>
          <t>TOCANTINÓPOLIS</t>
        </is>
      </c>
      <c r="C49" s="22" t="n">
        <v>9</v>
      </c>
      <c r="D49" s="18" t="inlineStr">
        <is>
          <t>TO-126</t>
        </is>
      </c>
      <c r="E49" s="21" t="inlineStr">
        <is>
          <t>RODOVIA TO-126 - TRECHO SUMAUMA - SÍTIO NOVO DO TOCANTINS</t>
        </is>
      </c>
      <c r="F49" s="18" t="inlineStr">
        <is>
          <t>126ETO0082</t>
        </is>
      </c>
      <c r="G49" s="21" t="inlineStr">
        <is>
          <t>INÍCIO PU SÍTIO NOVO DO TOCANTINS - ENTR. TO-201(B)(PU SÍTIO NOVO DO TOCANTINS)</t>
        </is>
      </c>
      <c r="H49" s="18" t="inlineStr">
        <is>
          <t>PSU</t>
        </is>
      </c>
      <c r="I49" s="18" t="inlineStr">
        <is>
          <t>-47.629139, -5.601949</t>
        </is>
      </c>
      <c r="J49" s="18" t="inlineStr">
        <is>
          <t>-47.638596, -5.608328</t>
        </is>
      </c>
      <c r="K49" s="19" t="n">
        <v>1.294828204</v>
      </c>
    </row>
    <row r="50" ht="30" customHeight="1">
      <c r="A50" s="20" t="n">
        <v>1</v>
      </c>
      <c r="B50" s="21" t="inlineStr">
        <is>
          <t>TOCANTINÓPOLIS</t>
        </is>
      </c>
      <c r="C50" s="22" t="n">
        <v>8</v>
      </c>
      <c r="D50" s="18" t="inlineStr">
        <is>
          <t>TO-126</t>
        </is>
      </c>
      <c r="E50" s="21" t="inlineStr">
        <is>
          <t>RODOVIA TO-126 - TRECHO SÍTIO NOVO DO TOCANTINS - ITAGUATINS</t>
        </is>
      </c>
      <c r="F50" s="18" t="inlineStr">
        <is>
          <t>126ETO0090</t>
        </is>
      </c>
      <c r="G50" s="21" t="inlineStr">
        <is>
          <t>ENTR. TO-201(B)(PU SÍTIO NOVO DO TOCANTINS) - INÍCIO PU CASTANHEIRO</t>
        </is>
      </c>
      <c r="H50" s="18" t="inlineStr">
        <is>
          <t>PPS</t>
        </is>
      </c>
      <c r="I50" s="18" t="inlineStr">
        <is>
          <t>-47.56967115, -5.677964733</t>
        </is>
      </c>
      <c r="J50" s="18" t="inlineStr">
        <is>
          <t>-47.638596, -5.608328</t>
        </is>
      </c>
      <c r="K50" s="19" t="n">
        <v>11.1408387001</v>
      </c>
    </row>
    <row r="51" ht="30" customHeight="1">
      <c r="A51" s="20" t="n">
        <v>1</v>
      </c>
      <c r="B51" s="21" t="inlineStr">
        <is>
          <t>TOCANTINÓPOLIS</t>
        </is>
      </c>
      <c r="C51" s="22" t="n">
        <v>8</v>
      </c>
      <c r="D51" s="18" t="inlineStr">
        <is>
          <t>TO-126</t>
        </is>
      </c>
      <c r="E51" s="21" t="inlineStr">
        <is>
          <t>RODOVIA TO-126 - TRECHO SÍTIO NOVO DO TOCANTINS - ITAGUATINS</t>
        </is>
      </c>
      <c r="F51" s="18" t="inlineStr">
        <is>
          <t>126ETO0092</t>
        </is>
      </c>
      <c r="G51" s="21" t="inlineStr">
        <is>
          <t>INÍCIO PU CASTANHEIRO - FIM PU CASTANHEIRO</t>
        </is>
      </c>
      <c r="H51" s="18" t="inlineStr">
        <is>
          <t>PPS</t>
        </is>
      </c>
      <c r="I51" s="18" t="inlineStr">
        <is>
          <t>-47.563474, -5.683588</t>
        </is>
      </c>
      <c r="J51" s="18" t="inlineStr">
        <is>
          <t>-47.56967115, -5.677964733</t>
        </is>
      </c>
      <c r="K51" s="19" t="n">
        <v>0.928686192</v>
      </c>
    </row>
    <row r="52" ht="30" customHeight="1">
      <c r="A52" s="20" t="n">
        <v>1</v>
      </c>
      <c r="B52" s="21" t="inlineStr">
        <is>
          <t>TOCANTINÓPOLIS</t>
        </is>
      </c>
      <c r="C52" s="22" t="n">
        <v>8</v>
      </c>
      <c r="D52" s="18" t="inlineStr">
        <is>
          <t>TO-126</t>
        </is>
      </c>
      <c r="E52" s="21" t="inlineStr">
        <is>
          <t>RODOVIA TO-126 - TRECHO SÍTIO NOVO DO TOCANTINS - ITAGUATINS</t>
        </is>
      </c>
      <c r="F52" s="18" t="inlineStr">
        <is>
          <t>126ETO0100</t>
        </is>
      </c>
      <c r="G52" s="21" t="inlineStr">
        <is>
          <t>FIM PU CASTANHEIRO - INÍCIO PU ITAGUATINS</t>
        </is>
      </c>
      <c r="H52" s="18" t="inlineStr">
        <is>
          <t>PPS</t>
        </is>
      </c>
      <c r="I52" s="18" t="inlineStr">
        <is>
          <t>-47.484204, -5.769306</t>
        </is>
      </c>
      <c r="J52" s="18" t="inlineStr">
        <is>
          <t>-47.563474, -5.683588</t>
        </is>
      </c>
      <c r="K52" s="19" t="n">
        <v>13.306424</v>
      </c>
    </row>
    <row r="53" ht="30" customHeight="1">
      <c r="A53" s="20" t="n">
        <v>1</v>
      </c>
      <c r="B53" s="21" t="inlineStr">
        <is>
          <t>TOCANTINÓPOLIS</t>
        </is>
      </c>
      <c r="C53" s="22" t="n">
        <v>7</v>
      </c>
      <c r="D53" s="18" t="inlineStr">
        <is>
          <t>TO-126</t>
        </is>
      </c>
      <c r="E53" s="21" t="inlineStr">
        <is>
          <t>RODOVIA TO-126 - TRECHO ITAGUATINS - MAURILÂNDIA DO TOCANTINS</t>
        </is>
      </c>
      <c r="F53" s="18" t="inlineStr">
        <is>
          <t>126ETO0101</t>
        </is>
      </c>
      <c r="G53" s="21" t="inlineStr">
        <is>
          <t>INÍCIO PU ITAGUATINS - FIM PU ITAGUATINS</t>
        </is>
      </c>
      <c r="H53" s="18" t="inlineStr">
        <is>
          <t>PSU</t>
        </is>
      </c>
      <c r="I53" s="18" t="inlineStr">
        <is>
          <t>-47.483003, -5.779403</t>
        </is>
      </c>
      <c r="J53" s="18" t="inlineStr">
        <is>
          <t>-47.484204, -5.769306</t>
        </is>
      </c>
      <c r="K53" s="19" t="n">
        <v>1.388191046</v>
      </c>
    </row>
    <row r="54" ht="30" customHeight="1">
      <c r="A54" s="20" t="n">
        <v>1</v>
      </c>
      <c r="B54" s="21" t="inlineStr">
        <is>
          <t>TOCANTINÓPOLIS</t>
        </is>
      </c>
      <c r="C54" s="22" t="n">
        <v>7</v>
      </c>
      <c r="D54" s="18" t="inlineStr">
        <is>
          <t>TO-126</t>
        </is>
      </c>
      <c r="E54" s="21" t="inlineStr">
        <is>
          <t>RODOVIA TO-126 - TRECHO ITAGUATINS - MAURILÂNDIA DO TOCANTINS</t>
        </is>
      </c>
      <c r="F54" s="18" t="inlineStr">
        <is>
          <t>126ETO0120</t>
        </is>
      </c>
      <c r="G54" s="21" t="inlineStr">
        <is>
          <t>FIM PU ITAGUATINS - INÍCIO PU MAURILÂNDIA DO TOCANTINS</t>
        </is>
      </c>
      <c r="H54" s="18" t="inlineStr">
        <is>
          <t>PPS</t>
        </is>
      </c>
      <c r="I54" s="18" t="inlineStr">
        <is>
          <t>-47.508653, -5.946912</t>
        </is>
      </c>
      <c r="J54" s="18" t="inlineStr">
        <is>
          <t>-47.483003, -5.779403</t>
        </is>
      </c>
      <c r="K54" s="19" t="n">
        <v>19.571981427</v>
      </c>
    </row>
    <row r="55" ht="45" customHeight="1">
      <c r="A55" s="20" t="n">
        <v>1</v>
      </c>
      <c r="B55" s="21" t="inlineStr">
        <is>
          <t>TOCANTINÓPOLIS</t>
        </is>
      </c>
      <c r="C55" s="22" t="n">
        <v>7</v>
      </c>
      <c r="D55" s="18" t="inlineStr">
        <is>
          <t>TO-126</t>
        </is>
      </c>
      <c r="E55" s="21" t="inlineStr">
        <is>
          <t>RODOVIA TO-126 - TRECHO ITAGUATINS - MAURILÂNDIA DO TOCANTINS</t>
        </is>
      </c>
      <c r="F55" s="18" t="inlineStr">
        <is>
          <t>126ETO0122</t>
        </is>
      </c>
      <c r="G55" s="21" t="inlineStr">
        <is>
          <t>INÍCIO PU MAURILÂNDIA DO TOCANTINS - ENTR. TO-409(INÍCIO DUPLICAÇÃO PU MAURILÂNDIA DO TOCANTINS)</t>
        </is>
      </c>
      <c r="H55" s="18" t="inlineStr">
        <is>
          <t>PSU</t>
        </is>
      </c>
      <c r="I55" s="18" t="inlineStr">
        <is>
          <t>-47.50832903, -5.952978975</t>
        </is>
      </c>
      <c r="J55" s="18" t="inlineStr">
        <is>
          <t>-47.508653, -5.946912</t>
        </is>
      </c>
      <c r="K55" s="19" t="n">
        <v>0.67225477</v>
      </c>
    </row>
    <row r="56" ht="45" customHeight="1">
      <c r="A56" s="20" t="n">
        <v>1</v>
      </c>
      <c r="B56" s="21" t="inlineStr">
        <is>
          <t>TOCANTINÓPOLIS</t>
        </is>
      </c>
      <c r="C56" s="22" t="n">
        <v>7</v>
      </c>
      <c r="D56" s="18" t="inlineStr">
        <is>
          <t>TO-126</t>
        </is>
      </c>
      <c r="E56" s="21" t="inlineStr">
        <is>
          <t>RODOVIA TO-126 - TRECHO ITAGUATINS - MAURILÂNDIA DO TOCANTINS</t>
        </is>
      </c>
      <c r="F56" s="18" t="inlineStr">
        <is>
          <t>126ETO0123D</t>
        </is>
      </c>
      <c r="G56" s="21" t="inlineStr">
        <is>
          <t>ENTR. TO-409(INÍCIO DUPLICAÇÃO PU MAURILÂNDIA DO TOCANTINS) - FIM DUPLICAÇÃO PU MAURILÂNDIA DO TOCANTINS)</t>
        </is>
      </c>
      <c r="H56" s="18" t="inlineStr">
        <is>
          <t>PDU</t>
        </is>
      </c>
      <c r="I56" s="18" t="inlineStr">
        <is>
          <t>-47.50844931, -5.953169728</t>
        </is>
      </c>
      <c r="J56" s="18" t="inlineStr">
        <is>
          <t>-47.505276, -5.956307</t>
        </is>
      </c>
      <c r="K56" s="19" t="n">
        <v>0.499251847</v>
      </c>
    </row>
    <row r="57" ht="45" customHeight="1">
      <c r="A57" s="20" t="n">
        <v>1</v>
      </c>
      <c r="B57" s="21" t="inlineStr">
        <is>
          <t>TOCANTINÓPOLIS</t>
        </is>
      </c>
      <c r="C57" s="22" t="n">
        <v>7</v>
      </c>
      <c r="D57" s="18" t="inlineStr">
        <is>
          <t>TO-126</t>
        </is>
      </c>
      <c r="E57" s="21" t="inlineStr">
        <is>
          <t>RODOVIA TO-126 - TRECHO ITAGUATINS - MAURILÂNDIA DO TOCANTINS</t>
        </is>
      </c>
      <c r="F57" s="18" t="inlineStr">
        <is>
          <t>126ETO0123E</t>
        </is>
      </c>
      <c r="G57" s="21" t="inlineStr">
        <is>
          <t>ENTR. TO-409(INÍCIO DUPLICAÇÃO PU MAURILÂNDIA DO TOCANTINS) - FIM DUPLICAÇÃO PU MAURILÂNDIA DO TOCANTINS)</t>
        </is>
      </c>
      <c r="H57" s="18" t="inlineStr">
        <is>
          <t>PDU</t>
        </is>
      </c>
      <c r="I57" s="18" t="inlineStr">
        <is>
          <t>-47.505276, -5.956307</t>
        </is>
      </c>
      <c r="J57" s="18" t="inlineStr">
        <is>
          <t>-47.508416247, -5.952965563</t>
        </is>
      </c>
      <c r="K57" s="19" t="n">
        <v>0.51147226</v>
      </c>
    </row>
    <row r="58" ht="30" customHeight="1">
      <c r="A58" s="20" t="n">
        <v>1</v>
      </c>
      <c r="B58" s="21" t="inlineStr">
        <is>
          <t>TOCANTINÓPOLIS</t>
        </is>
      </c>
      <c r="C58" s="22" t="n">
        <v>6</v>
      </c>
      <c r="D58" s="18" t="inlineStr">
        <is>
          <t>TO-126</t>
        </is>
      </c>
      <c r="E58" s="21" t="inlineStr">
        <is>
          <t>RODOVIA TO-126 - TRECHO MAURILÂNDIA - TOCANTINÓPOLIS</t>
        </is>
      </c>
      <c r="F58" s="18" t="inlineStr">
        <is>
          <t>126ETO0130</t>
        </is>
      </c>
      <c r="G58" s="21" t="inlineStr">
        <is>
          <t>FIM DUPLICAÇÃO PU MAURILÂNDIA DO TOCANTINS) - INÍCIO PAVIMENTAÇÃO PU RIBEIRÃO GRANDE</t>
        </is>
      </c>
      <c r="H58" s="18" t="inlineStr">
        <is>
          <t>LEN</t>
        </is>
      </c>
      <c r="I58" s="18" t="inlineStr">
        <is>
          <t>-47.463245056, -6.251085049</t>
        </is>
      </c>
      <c r="J58" s="18" t="inlineStr">
        <is>
          <t>-47.505276, -5.956307</t>
        </is>
      </c>
      <c r="K58" s="19" t="n">
        <v>34.85629757</v>
      </c>
    </row>
    <row r="59" ht="30" customHeight="1">
      <c r="A59" s="20" t="n">
        <v>1</v>
      </c>
      <c r="B59" s="21" t="inlineStr">
        <is>
          <t>TOCANTINÓPOLIS</t>
        </is>
      </c>
      <c r="C59" s="22" t="n">
        <v>6</v>
      </c>
      <c r="D59" s="18" t="inlineStr">
        <is>
          <t>TO-126</t>
        </is>
      </c>
      <c r="E59" s="21" t="inlineStr">
        <is>
          <t>RODOVIA TO-126 - TRECHO MAURILÂNDIA - TOCANTINÓPOLIS</t>
        </is>
      </c>
      <c r="F59" s="18" t="inlineStr">
        <is>
          <t>126ETO0132</t>
        </is>
      </c>
      <c r="G59" s="21" t="inlineStr">
        <is>
          <t>INÍCIO PAVIMENTAÇÃO PU RIBEIRÃO GRANDE - FIM PU RIBEIRÃO GRANDE</t>
        </is>
      </c>
      <c r="H59" s="18" t="inlineStr">
        <is>
          <t>PSU</t>
        </is>
      </c>
      <c r="I59" s="18" t="inlineStr">
        <is>
          <t>-47.460821, -6.259847</t>
        </is>
      </c>
      <c r="J59" s="18" t="inlineStr">
        <is>
          <t>-47.463245056, -6.251085049</t>
        </is>
      </c>
      <c r="K59" s="19" t="n">
        <v>1.053394817</v>
      </c>
    </row>
    <row r="60" ht="30" customHeight="1">
      <c r="A60" s="20" t="n">
        <v>1</v>
      </c>
      <c r="B60" s="21" t="inlineStr">
        <is>
          <t>TOCANTINÓPOLIS</t>
        </is>
      </c>
      <c r="C60" s="22" t="n">
        <v>6</v>
      </c>
      <c r="D60" s="18" t="inlineStr">
        <is>
          <t>TO-126</t>
        </is>
      </c>
      <c r="E60" s="21" t="inlineStr">
        <is>
          <t>RODOVIA TO-126 - TRECHO MAURILÂNDIA - TOCANTINÓPOLIS</t>
        </is>
      </c>
      <c r="F60" s="18" t="inlineStr">
        <is>
          <t>126ETO0140</t>
        </is>
      </c>
      <c r="G60" s="21" t="inlineStr">
        <is>
          <t>FIM PU RIBEIRÃO GRANDE - INÍCIO PU FOLHA GROSSA</t>
        </is>
      </c>
      <c r="H60" s="18" t="inlineStr">
        <is>
          <t>PPS</t>
        </is>
      </c>
      <c r="I60" s="18" t="inlineStr">
        <is>
          <t>-47.445939101, -6.287410961</t>
        </is>
      </c>
      <c r="J60" s="18" t="inlineStr">
        <is>
          <t>-47.460821, -6.259847</t>
        </is>
      </c>
      <c r="K60" s="19" t="n">
        <v>3.617408046</v>
      </c>
    </row>
    <row r="61" ht="30" customHeight="1">
      <c r="A61" s="20" t="n">
        <v>1</v>
      </c>
      <c r="B61" s="21" t="inlineStr">
        <is>
          <t>TOCANTINÓPOLIS</t>
        </is>
      </c>
      <c r="C61" s="22" t="n">
        <v>6</v>
      </c>
      <c r="D61" s="18" t="inlineStr">
        <is>
          <t>TO-126</t>
        </is>
      </c>
      <c r="E61" s="21" t="inlineStr">
        <is>
          <t>RODOVIA TO-126 - TRECHO MAURILÂNDIA - TOCANTINÓPOLIS</t>
        </is>
      </c>
      <c r="F61" s="18" t="inlineStr">
        <is>
          <t>126ETO0142</t>
        </is>
      </c>
      <c r="G61" s="21" t="inlineStr">
        <is>
          <t>INÍCIO PU FOLHA GROSSA - FIM PU FOLHA GROSSA</t>
        </is>
      </c>
      <c r="H61" s="18" t="inlineStr">
        <is>
          <t>PSU</t>
        </is>
      </c>
      <c r="I61" s="18" t="inlineStr">
        <is>
          <t>-47.440934, -6.297776</t>
        </is>
      </c>
      <c r="J61" s="18" t="inlineStr">
        <is>
          <t>-47.445939101, -6.287410961</t>
        </is>
      </c>
      <c r="K61" s="19" t="n">
        <v>1.276806835</v>
      </c>
    </row>
    <row r="62" ht="30" customHeight="1">
      <c r="A62" s="20" t="n">
        <v>1</v>
      </c>
      <c r="B62" s="21" t="inlineStr">
        <is>
          <t>TOCANTINÓPOLIS</t>
        </is>
      </c>
      <c r="C62" s="22" t="n">
        <v>6</v>
      </c>
      <c r="D62" s="18" t="inlineStr">
        <is>
          <t>TO-126</t>
        </is>
      </c>
      <c r="E62" s="21" t="inlineStr">
        <is>
          <t>RODOVIA TO-126 - TRECHO MAURILÂNDIA - TOCANTINÓPOLIS</t>
        </is>
      </c>
      <c r="F62" s="18" t="inlineStr">
        <is>
          <t>126ETO0150</t>
        </is>
      </c>
      <c r="G62" s="21" t="inlineStr">
        <is>
          <t>FIM PU FOLHA GROSSA - INÍCIO PU TOCANTINÓPOLIS</t>
        </is>
      </c>
      <c r="H62" s="18" t="inlineStr">
        <is>
          <t>PPS</t>
        </is>
      </c>
      <c r="I62" s="18" t="inlineStr">
        <is>
          <t>-47.426775, -6.309502</t>
        </is>
      </c>
      <c r="J62" s="18" t="inlineStr">
        <is>
          <t>-47.440934, -6.297776</t>
        </is>
      </c>
      <c r="K62" s="19" t="n">
        <v>2.11389581</v>
      </c>
    </row>
    <row r="63" ht="30" customHeight="1">
      <c r="A63" s="20" t="n">
        <v>1</v>
      </c>
      <c r="B63" s="21" t="inlineStr">
        <is>
          <t>TOCANTINÓPOLIS</t>
        </is>
      </c>
      <c r="C63" s="22" t="n">
        <v>5</v>
      </c>
      <c r="D63" s="18" t="inlineStr">
        <is>
          <t>TO-126</t>
        </is>
      </c>
      <c r="E63" s="21" t="inlineStr">
        <is>
          <t>RODOVIA TO-126 - TRECHO TOCANTINÓPOLIS - ENTR. BR-230 (AGUIARNÓPOLIS)</t>
        </is>
      </c>
      <c r="F63" s="18" t="inlineStr">
        <is>
          <t>126ETO0151</t>
        </is>
      </c>
      <c r="G63" s="21" t="inlineStr">
        <is>
          <t>INÍCIO PU TOCANTINÓPOLIS - ENTR. TO-210(A)(PU TOCANTINÓPOLIS)</t>
        </is>
      </c>
      <c r="H63" s="18" t="inlineStr">
        <is>
          <t>PSU</t>
        </is>
      </c>
      <c r="I63" s="18" t="inlineStr">
        <is>
          <t>-47.427304, -6.325162</t>
        </is>
      </c>
      <c r="J63" s="18" t="inlineStr">
        <is>
          <t>-47.426775, -6.309502</t>
        </is>
      </c>
      <c r="K63" s="19" t="n">
        <v>1.817576422</v>
      </c>
    </row>
    <row r="64" ht="30" customHeight="1">
      <c r="A64" s="20" t="n">
        <v>1</v>
      </c>
      <c r="B64" s="21" t="inlineStr">
        <is>
          <t>TOCANTINÓPOLIS</t>
        </is>
      </c>
      <c r="C64" s="22" t="n">
        <v>5</v>
      </c>
      <c r="D64" s="18" t="inlineStr">
        <is>
          <t>TO-126</t>
        </is>
      </c>
      <c r="E64" s="21" t="inlineStr">
        <is>
          <t>RODOVIA TO-126 - TRECHO TOCANTINÓPOLIS - ENTR. BR-230 (AGUIARNÓPOLIS)</t>
        </is>
      </c>
      <c r="F64" s="18" t="inlineStr">
        <is>
          <t>126ETO0152D</t>
        </is>
      </c>
      <c r="G64" s="21" t="inlineStr">
        <is>
          <t>ENTR. TO-210(A)(PU TOCANTINÓPOLIS) - ENTR. TO-210(B)(TOCANTINÓPOLIS)</t>
        </is>
      </c>
      <c r="H64" s="18" t="inlineStr">
        <is>
          <t>PDU</t>
        </is>
      </c>
      <c r="I64" s="18" t="inlineStr">
        <is>
          <t>-47.430506778, -6.324562642</t>
        </is>
      </c>
      <c r="J64" s="18" t="inlineStr">
        <is>
          <t>-47.427304, -6.325162</t>
        </is>
      </c>
      <c r="K64" s="19" t="n">
        <v>0.361116405</v>
      </c>
    </row>
    <row r="65" ht="30" customHeight="1">
      <c r="A65" s="20" t="n">
        <v>1</v>
      </c>
      <c r="B65" s="21" t="inlineStr">
        <is>
          <t>TOCANTINÓPOLIS</t>
        </is>
      </c>
      <c r="C65" s="22" t="n">
        <v>5</v>
      </c>
      <c r="D65" s="18" t="inlineStr">
        <is>
          <t>TO-126</t>
        </is>
      </c>
      <c r="E65" s="21" t="inlineStr">
        <is>
          <t>RODOVIA TO-126 - TRECHO TOCANTINÓPOLIS - ENTR. BR-230 (AGUIARNÓPOLIS)</t>
        </is>
      </c>
      <c r="F65" s="18" t="inlineStr">
        <is>
          <t>126ETO0152E</t>
        </is>
      </c>
      <c r="G65" s="21" t="inlineStr">
        <is>
          <t>ENTR. TO-210(A)(PU TOCANTINÓPOLIS) - ENTR. TO-210(B)(TOCANTINÓPOLIS)</t>
        </is>
      </c>
      <c r="H65" s="18" t="inlineStr">
        <is>
          <t>PDU</t>
        </is>
      </c>
      <c r="I65" s="18" t="inlineStr">
        <is>
          <t>-47.427304, -6.325162</t>
        </is>
      </c>
      <c r="J65" s="18" t="inlineStr">
        <is>
          <t>-47.430544188, -6.324672109</t>
        </is>
      </c>
      <c r="K65" s="19" t="n">
        <v>0.379232643</v>
      </c>
    </row>
    <row r="66" ht="30" customHeight="1">
      <c r="A66" s="20" t="n">
        <v>1</v>
      </c>
      <c r="B66" s="21" t="inlineStr">
        <is>
          <t>TOCANTINÓPOLIS</t>
        </is>
      </c>
      <c r="C66" s="22" t="n">
        <v>5</v>
      </c>
      <c r="D66" s="18" t="inlineStr">
        <is>
          <t>TO-126</t>
        </is>
      </c>
      <c r="E66" s="21" t="inlineStr">
        <is>
          <t>RODOVIA TO-126 - TRECHO TOCANTINÓPOLIS - ENTR. BR-230 (AGUIARNÓPOLIS)</t>
        </is>
      </c>
      <c r="F66" s="18" t="inlineStr">
        <is>
          <t>126ETO0153</t>
        </is>
      </c>
      <c r="G66" s="21" t="inlineStr">
        <is>
          <t>ENTR. TO-210(B)(TOCANTINÓPOLIS) - INÍCIO DUPLICAÇÃO(PU TOCANTINÓPOLIS)</t>
        </is>
      </c>
      <c r="H66" s="18" t="inlineStr">
        <is>
          <t>PSU</t>
        </is>
      </c>
      <c r="I66" s="18" t="inlineStr">
        <is>
          <t>-47.430544188, -6.324672109</t>
        </is>
      </c>
      <c r="J66" s="18" t="inlineStr">
        <is>
          <t>-47.431429012, -6.326873477</t>
        </is>
      </c>
      <c r="K66" s="19" t="n">
        <v>0.262524876</v>
      </c>
    </row>
    <row r="67" ht="30" customHeight="1">
      <c r="A67" s="20" t="n">
        <v>1</v>
      </c>
      <c r="B67" s="21" t="inlineStr">
        <is>
          <t>TOCANTINÓPOLIS</t>
        </is>
      </c>
      <c r="C67" s="22" t="n">
        <v>5</v>
      </c>
      <c r="D67" s="18" t="inlineStr">
        <is>
          <t>TO-126</t>
        </is>
      </c>
      <c r="E67" s="21" t="inlineStr">
        <is>
          <t>RODOVIA TO-126 - TRECHO TOCANTINÓPOLIS - ENTR. BR-230 (AGUIARNÓPOLIS)</t>
        </is>
      </c>
      <c r="F67" s="18" t="inlineStr">
        <is>
          <t>126ETO0154D</t>
        </is>
      </c>
      <c r="G67" s="21" t="inlineStr">
        <is>
          <t>INÍCIO DUPLICAÇÃO(PU TOCANTINÓPOLIS) - FIM DUPLICAÇÃO(PU TOCANTINÓPOLIS)</t>
        </is>
      </c>
      <c r="H67" s="18" t="inlineStr">
        <is>
          <t>PDU</t>
        </is>
      </c>
      <c r="I67" s="18" t="inlineStr">
        <is>
          <t>-47.426665, -6.345863</t>
        </is>
      </c>
      <c r="J67" s="18" t="inlineStr">
        <is>
          <t>-47.431429012, -6.326873477</t>
        </is>
      </c>
      <c r="K67" s="19" t="n">
        <v>2.18404768</v>
      </c>
    </row>
    <row r="68" ht="30" customHeight="1">
      <c r="A68" s="20" t="n">
        <v>1</v>
      </c>
      <c r="B68" s="21" t="inlineStr">
        <is>
          <t>TOCANTINÓPOLIS</t>
        </is>
      </c>
      <c r="C68" s="22" t="n">
        <v>5</v>
      </c>
      <c r="D68" s="18" t="inlineStr">
        <is>
          <t>TO-126</t>
        </is>
      </c>
      <c r="E68" s="21" t="inlineStr">
        <is>
          <t>RODOVIA TO-126 - TRECHO TOCANTINÓPOLIS - ENTR. BR-230 (AGUIARNÓPOLIS)</t>
        </is>
      </c>
      <c r="F68" s="18" t="inlineStr">
        <is>
          <t>126ETO0154E</t>
        </is>
      </c>
      <c r="G68" s="21" t="inlineStr">
        <is>
          <t>INÍCIO DUPLICAÇÃO(PU TOCANTINÓPOLIS) - FIM DUPLICAÇÃO(PU TOCANTINÓPOLIS)</t>
        </is>
      </c>
      <c r="H68" s="18" t="inlineStr">
        <is>
          <t>PDU</t>
        </is>
      </c>
      <c r="I68" s="18" t="inlineStr">
        <is>
          <t>-47.426665, -6.345863</t>
        </is>
      </c>
      <c r="J68" s="18" t="inlineStr">
        <is>
          <t>-47.431429012, -6.326873477</t>
        </is>
      </c>
      <c r="K68" s="19" t="n">
        <v>2.187285144</v>
      </c>
    </row>
    <row r="69" ht="30" customHeight="1">
      <c r="A69" s="20" t="n">
        <v>1</v>
      </c>
      <c r="B69" s="21" t="inlineStr">
        <is>
          <t>TOCANTINÓPOLIS</t>
        </is>
      </c>
      <c r="C69" s="22" t="n">
        <v>5</v>
      </c>
      <c r="D69" s="18" t="inlineStr">
        <is>
          <t>TO-126</t>
        </is>
      </c>
      <c r="E69" s="21" t="inlineStr">
        <is>
          <t>RODOVIA TO-126 - TRECHO TOCANTINÓPOLIS - ENTR. BR-230 (AGUIARNÓPOLIS)</t>
        </is>
      </c>
      <c r="F69" s="18" t="inlineStr">
        <is>
          <t>126ETO0156</t>
        </is>
      </c>
      <c r="G69" s="21" t="inlineStr">
        <is>
          <t>FIM DUPLICAÇÃO(PU TOCANTINÓPOLIS) - FIM PU TOCANTINÓPOLIS</t>
        </is>
      </c>
      <c r="H69" s="18" t="inlineStr">
        <is>
          <t>PSU</t>
        </is>
      </c>
      <c r="I69" s="18" t="inlineStr">
        <is>
          <t>-47.426665, -6.345863</t>
        </is>
      </c>
      <c r="J69" s="18" t="inlineStr">
        <is>
          <t>-47.425948, -6.351776</t>
        </is>
      </c>
      <c r="K69" s="19" t="n">
        <v>0.660604457</v>
      </c>
    </row>
    <row r="70" ht="30" customHeight="1">
      <c r="A70" s="20" t="n">
        <v>1</v>
      </c>
      <c r="B70" s="21" t="inlineStr">
        <is>
          <t>TOCANTINÓPOLIS</t>
        </is>
      </c>
      <c r="C70" s="22" t="n">
        <v>5</v>
      </c>
      <c r="D70" s="18" t="inlineStr">
        <is>
          <t>TO-126</t>
        </is>
      </c>
      <c r="E70" s="21" t="inlineStr">
        <is>
          <t>RODOVIA TO-126 - TRECHO TOCANTINÓPOLIS - ENTR. BR-230 (AGUIARNÓPOLIS)</t>
        </is>
      </c>
      <c r="F70" s="18" t="inlineStr">
        <is>
          <t>126ETO0190</t>
        </is>
      </c>
      <c r="G70" s="21" t="inlineStr">
        <is>
          <t>FIM PU TOCANTINÓPOLIS - ACESSO ASA NORTE</t>
        </is>
      </c>
      <c r="H70" s="18" t="inlineStr">
        <is>
          <t>PPS</t>
        </is>
      </c>
      <c r="I70" s="18" t="inlineStr">
        <is>
          <t>-47.425948, -6.351776</t>
        </is>
      </c>
      <c r="J70" s="18" t="inlineStr">
        <is>
          <t>-47.479804, -6.513815</t>
        </is>
      </c>
      <c r="K70" s="19" t="n">
        <v>19.5515079472</v>
      </c>
    </row>
    <row r="71" ht="30" customHeight="1">
      <c r="A71" s="20" t="n">
        <v>1</v>
      </c>
      <c r="B71" s="21" t="inlineStr">
        <is>
          <t>TOCANTINÓPOLIS</t>
        </is>
      </c>
      <c r="C71" s="22" t="n">
        <v>5</v>
      </c>
      <c r="D71" s="18" t="inlineStr">
        <is>
          <t>TO-126</t>
        </is>
      </c>
      <c r="E71" s="21" t="inlineStr">
        <is>
          <t>RODOVIA TO-126 - TRECHO TOCANTINÓPOLIS - ENTR. BR-230 (AGUIARNÓPOLIS)</t>
        </is>
      </c>
      <c r="F71" s="18" t="inlineStr">
        <is>
          <t>126ETO0200</t>
        </is>
      </c>
      <c r="G71" s="21" t="inlineStr">
        <is>
          <t>ACESSO ASA NORTE - ENTR. BR-230(B)</t>
        </is>
      </c>
      <c r="H71" s="18" t="inlineStr">
        <is>
          <t>PPS</t>
        </is>
      </c>
      <c r="I71" s="18" t="inlineStr">
        <is>
          <t>-47.479804, -6.513815</t>
        </is>
      </c>
      <c r="J71" s="18" t="inlineStr">
        <is>
          <t>-47.485525, -6.542717</t>
        </is>
      </c>
      <c r="K71" s="19" t="n">
        <v>3.263348462</v>
      </c>
    </row>
    <row r="72" ht="15" customHeight="1">
      <c r="A72" s="20" t="n">
        <v>1</v>
      </c>
      <c r="B72" s="21" t="inlineStr">
        <is>
          <t>TOCANTINÓPOLIS</t>
        </is>
      </c>
      <c r="C72" s="22" t="n">
        <v>5</v>
      </c>
      <c r="D72" s="18" t="inlineStr">
        <is>
          <t>ACESSO</t>
        </is>
      </c>
      <c r="E72" s="21" t="inlineStr">
        <is>
          <t>ACESSO</t>
        </is>
      </c>
      <c r="F72" s="18" t="inlineStr">
        <is>
          <t>ACESSO01</t>
        </is>
      </c>
      <c r="G72" s="21" t="inlineStr">
        <is>
          <t>ENTR. TO-126 - ASA NORTE</t>
        </is>
      </c>
      <c r="H72" s="18" t="inlineStr">
        <is>
          <t>PPS</t>
        </is>
      </c>
      <c r="I72" s="18" t="inlineStr">
        <is>
          <t>-47.479804, -6.513815</t>
        </is>
      </c>
      <c r="J72" s="18" t="inlineStr">
        <is>
          <t>-47.45712989, -6.51989015</t>
        </is>
      </c>
      <c r="K72" s="19" t="n">
        <v>2.694878214</v>
      </c>
    </row>
    <row r="73" ht="30" customHeight="1">
      <c r="A73" s="20" t="n">
        <v>1</v>
      </c>
      <c r="B73" s="21" t="inlineStr">
        <is>
          <t>TOCANTINÓPOLIS</t>
        </is>
      </c>
      <c r="C73" s="22" t="n">
        <v>12</v>
      </c>
      <c r="D73" s="18" t="inlineStr">
        <is>
          <t>TO-134</t>
        </is>
      </c>
      <c r="E73" s="21" t="inlineStr">
        <is>
          <t>RODOVIA TO-134 - TRECHO RIO TOCANTINS (JATOBAL) - AXIXÁ DO TOCANTINS</t>
        </is>
      </c>
      <c r="F73" s="18" t="inlineStr">
        <is>
          <t>134ETO0005</t>
        </is>
      </c>
      <c r="G73" s="21" t="inlineStr">
        <is>
          <t>RIO TOCANTINS(PU JATOBAL) - FIM PU JATOBAL</t>
        </is>
      </c>
      <c r="H73" s="18" t="inlineStr">
        <is>
          <t>PSU</t>
        </is>
      </c>
      <c r="I73" s="18" t="inlineStr">
        <is>
          <t>-47.645828, -5.447931</t>
        </is>
      </c>
      <c r="J73" s="18" t="inlineStr">
        <is>
          <t>-47.64540749, -5.443462771</t>
        </is>
      </c>
      <c r="K73" s="19" t="n">
        <v>0.49682178</v>
      </c>
    </row>
    <row r="74" ht="30" customHeight="1">
      <c r="A74" s="20" t="n">
        <v>1</v>
      </c>
      <c r="B74" s="21" t="inlineStr">
        <is>
          <t>TOCANTINÓPOLIS</t>
        </is>
      </c>
      <c r="C74" s="22" t="n">
        <v>12</v>
      </c>
      <c r="D74" s="18" t="inlineStr">
        <is>
          <t>TO-134</t>
        </is>
      </c>
      <c r="E74" s="21" t="inlineStr">
        <is>
          <t>RODOVIA TO-134 - TRECHO RIO TOCANTINS (JATOBAL) - AXIXÁ DO TOCANTINS</t>
        </is>
      </c>
      <c r="F74" s="18" t="inlineStr">
        <is>
          <t>134ETO0020</t>
        </is>
      </c>
      <c r="G74" s="21" t="inlineStr">
        <is>
          <t>JATOBAL *TRECHO URBANO* - FOLHA SECA</t>
        </is>
      </c>
      <c r="H74" s="18" t="inlineStr">
        <is>
          <t>LEN</t>
        </is>
      </c>
      <c r="I74" s="18" t="inlineStr">
        <is>
          <t>-47.645828, -5.447931</t>
        </is>
      </c>
      <c r="J74" s="18" t="inlineStr">
        <is>
          <t>-47.732567, -5.503344</t>
        </is>
      </c>
      <c r="K74" s="19" t="n">
        <v>12.566300425</v>
      </c>
    </row>
    <row r="75" ht="30" customHeight="1">
      <c r="A75" s="20" t="n">
        <v>1</v>
      </c>
      <c r="B75" s="21" t="inlineStr">
        <is>
          <t>TOCANTINÓPOLIS</t>
        </is>
      </c>
      <c r="C75" s="22" t="n">
        <v>12</v>
      </c>
      <c r="D75" s="18" t="inlineStr">
        <is>
          <t>TO-134</t>
        </is>
      </c>
      <c r="E75" s="21" t="inlineStr">
        <is>
          <t>RODOVIA TO-134 - TRECHO RIO TOCANTINS (JATOBAL) - AXIXÁ DO TOCANTINS</t>
        </is>
      </c>
      <c r="F75" s="18" t="inlineStr">
        <is>
          <t>134ETO0030</t>
        </is>
      </c>
      <c r="G75" s="21" t="inlineStr">
        <is>
          <t>INÍCIO PU FOLHA SECA - FIM PU JUVELÂNDIA</t>
        </is>
      </c>
      <c r="H75" s="18" t="inlineStr">
        <is>
          <t>PSU</t>
        </is>
      </c>
      <c r="I75" s="18" t="inlineStr">
        <is>
          <t>-47.732567, -5.503344</t>
        </is>
      </c>
      <c r="J75" s="18" t="inlineStr">
        <is>
          <t>-47.737653, -5.507993</t>
        </is>
      </c>
      <c r="K75" s="19" t="n">
        <v>0.7856685329999999</v>
      </c>
    </row>
    <row r="76" ht="30" customHeight="1">
      <c r="A76" s="20" t="n">
        <v>1</v>
      </c>
      <c r="B76" s="21" t="inlineStr">
        <is>
          <t>TOCANTINÓPOLIS</t>
        </is>
      </c>
      <c r="C76" s="22" t="n">
        <v>12</v>
      </c>
      <c r="D76" s="18" t="inlineStr">
        <is>
          <t>TO-134</t>
        </is>
      </c>
      <c r="E76" s="21" t="inlineStr">
        <is>
          <t>RODOVIA TO-134 - TRECHO RIO TOCANTINS (JATOBAL) - AXIXÁ DO TOCANTINS</t>
        </is>
      </c>
      <c r="F76" s="18" t="inlineStr">
        <is>
          <t>134ETO0040</t>
        </is>
      </c>
      <c r="G76" s="21" t="inlineStr">
        <is>
          <t>FIM PU JUVELÂNDIA - VILA SÃO FRANCISCO</t>
        </is>
      </c>
      <c r="H76" s="18" t="inlineStr">
        <is>
          <t>LEN</t>
        </is>
      </c>
      <c r="I76" s="18" t="inlineStr">
        <is>
          <t>-47.737653, -5.507993</t>
        </is>
      </c>
      <c r="J76" s="18" t="inlineStr">
        <is>
          <t>-47.753094, -5.538609</t>
        </is>
      </c>
      <c r="K76" s="19" t="n">
        <v>3.917341564</v>
      </c>
    </row>
    <row r="77" ht="30" customHeight="1">
      <c r="A77" s="20" t="n">
        <v>1</v>
      </c>
      <c r="B77" s="21" t="inlineStr">
        <is>
          <t>TOCANTINÓPOLIS</t>
        </is>
      </c>
      <c r="C77" s="22" t="n">
        <v>12</v>
      </c>
      <c r="D77" s="18" t="inlineStr">
        <is>
          <t>TO-134</t>
        </is>
      </c>
      <c r="E77" s="21" t="inlineStr">
        <is>
          <t>RODOVIA TO-134 - TRECHO RIO TOCANTINS (JATOBAL) - AXIXÁ DO TOCANTINS</t>
        </is>
      </c>
      <c r="F77" s="18" t="inlineStr">
        <is>
          <t>134ETO0050</t>
        </is>
      </c>
      <c r="G77" s="21" t="inlineStr">
        <is>
          <t>VILA SÃO FRANCISCO - SANTA LUZIA</t>
        </is>
      </c>
      <c r="H77" s="18" t="inlineStr">
        <is>
          <t>LEN</t>
        </is>
      </c>
      <c r="I77" s="18" t="inlineStr">
        <is>
          <t>-47.753094, -5.538609</t>
        </is>
      </c>
      <c r="J77" s="18" t="inlineStr">
        <is>
          <t>-47.757213, -5.574848</t>
        </is>
      </c>
      <c r="K77" s="19" t="n">
        <v>4.373929287</v>
      </c>
    </row>
    <row r="78" ht="30" customHeight="1">
      <c r="A78" s="20" t="n">
        <v>1</v>
      </c>
      <c r="B78" s="21" t="inlineStr">
        <is>
          <t>TOCANTINÓPOLIS</t>
        </is>
      </c>
      <c r="C78" s="22" t="n">
        <v>12</v>
      </c>
      <c r="D78" s="18" t="inlineStr">
        <is>
          <t>TO-134</t>
        </is>
      </c>
      <c r="E78" s="21" t="inlineStr">
        <is>
          <t>RODOVIA TO-134 - TRECHO RIO TOCANTINS (JATOBAL) - AXIXÁ DO TOCANTINS</t>
        </is>
      </c>
      <c r="F78" s="18" t="inlineStr">
        <is>
          <t>134ETO0060</t>
        </is>
      </c>
      <c r="G78" s="21" t="inlineStr">
        <is>
          <t>SANTA LUZIA - MORADA NOVA</t>
        </is>
      </c>
      <c r="H78" s="18" t="inlineStr">
        <is>
          <t>LEN</t>
        </is>
      </c>
      <c r="I78" s="18" t="inlineStr">
        <is>
          <t>-47.757213, -5.574848</t>
        </is>
      </c>
      <c r="J78" s="18" t="inlineStr">
        <is>
          <t>-47.762447, -5.579928</t>
        </is>
      </c>
      <c r="K78" s="19" t="n">
        <v>0.809006543</v>
      </c>
    </row>
    <row r="79" ht="30" customHeight="1">
      <c r="A79" s="20" t="n">
        <v>1</v>
      </c>
      <c r="B79" s="21" t="inlineStr">
        <is>
          <t>TOCANTINÓPOLIS</t>
        </is>
      </c>
      <c r="C79" s="22" t="n">
        <v>12</v>
      </c>
      <c r="D79" s="18" t="inlineStr">
        <is>
          <t>TO-134</t>
        </is>
      </c>
      <c r="E79" s="21" t="inlineStr">
        <is>
          <t>RODOVIA TO-134 - TRECHO RIO TOCANTINS (JATOBAL) - AXIXÁ DO TOCANTINS</t>
        </is>
      </c>
      <c r="F79" s="18" t="inlineStr">
        <is>
          <t>134ETO0070</t>
        </is>
      </c>
      <c r="G79" s="21" t="inlineStr">
        <is>
          <t>MORADA NOVA - INÍCIO PU AXIXÁ DO TOCANTINS</t>
        </is>
      </c>
      <c r="H79" s="18" t="inlineStr">
        <is>
          <t>LEN</t>
        </is>
      </c>
      <c r="I79" s="18" t="inlineStr">
        <is>
          <t>-47.762447, -5.579928</t>
        </is>
      </c>
      <c r="J79" s="18" t="inlineStr">
        <is>
          <t>-47.768521, -5.610545</t>
        </is>
      </c>
      <c r="K79" s="19" t="n">
        <v>3.754300018</v>
      </c>
    </row>
    <row r="80" ht="30" customHeight="1">
      <c r="A80" s="20" t="n">
        <v>1</v>
      </c>
      <c r="B80" s="21" t="inlineStr">
        <is>
          <t>TOCANTINÓPOLIS</t>
        </is>
      </c>
      <c r="C80" s="22" t="n">
        <v>13</v>
      </c>
      <c r="D80" s="18" t="inlineStr">
        <is>
          <t>TO-134</t>
        </is>
      </c>
      <c r="E80" s="21" t="inlineStr">
        <is>
          <t>RODOVIA TO-134 - TRECHO AXIXÁ DO TOCANTINS - ENTR. BR-230</t>
        </is>
      </c>
      <c r="F80" s="18" t="inlineStr">
        <is>
          <t>134ETO0071</t>
        </is>
      </c>
      <c r="G80" s="21" t="inlineStr">
        <is>
          <t>INÍCIO PU AXIXÁ DO TOCANTINS - ENTR. TO-201(B)(PU AXIXÁ DO TOCANTINS)</t>
        </is>
      </c>
      <c r="H80" s="18" t="inlineStr">
        <is>
          <t>PSU</t>
        </is>
      </c>
      <c r="I80" s="18" t="inlineStr">
        <is>
          <t>-47.768521, -5.610545</t>
        </is>
      </c>
      <c r="J80" s="18" t="inlineStr">
        <is>
          <t>-47.769825279, -5.614739081</t>
        </is>
      </c>
      <c r="K80" s="19" t="n">
        <v>0.496650749</v>
      </c>
    </row>
    <row r="81" ht="30" customHeight="1">
      <c r="A81" s="20" t="n">
        <v>1</v>
      </c>
      <c r="B81" s="21" t="inlineStr">
        <is>
          <t>TOCANTINÓPOLIS</t>
        </is>
      </c>
      <c r="C81" s="22" t="n">
        <v>13</v>
      </c>
      <c r="D81" s="18" t="inlineStr">
        <is>
          <t>TO-134</t>
        </is>
      </c>
      <c r="E81" s="21" t="inlineStr">
        <is>
          <t>RODOVIA TO-134 - TRECHO AXIXÁ DO TOCANTINS - ENTR. BR-230</t>
        </is>
      </c>
      <c r="F81" s="18" t="inlineStr">
        <is>
          <t>134ETO0072D</t>
        </is>
      </c>
      <c r="G81" s="21" t="inlineStr">
        <is>
          <t>ENTR. TO-201(B)(PU AXIXÁ DO TOCANTINS) - ENTR. TO-201(A)(PU AXIXÁ DO TOCANTINS)</t>
        </is>
      </c>
      <c r="H81" s="18" t="inlineStr">
        <is>
          <t>PDU</t>
        </is>
      </c>
      <c r="I81" s="18" t="inlineStr">
        <is>
          <t>-47.771266238, -5.615385567</t>
        </is>
      </c>
      <c r="J81" s="18" t="inlineStr">
        <is>
          <t>-47.766369346, -5.613576328</t>
        </is>
      </c>
      <c r="K81" s="19" t="n">
        <v>0.578708805</v>
      </c>
    </row>
    <row r="82" ht="30" customHeight="1">
      <c r="A82" s="20" t="n">
        <v>1</v>
      </c>
      <c r="B82" s="21" t="inlineStr">
        <is>
          <t>TOCANTINÓPOLIS</t>
        </is>
      </c>
      <c r="C82" s="22" t="n">
        <v>13</v>
      </c>
      <c r="D82" s="18" t="inlineStr">
        <is>
          <t>TO-134</t>
        </is>
      </c>
      <c r="E82" s="21" t="inlineStr">
        <is>
          <t>RODOVIA TO-134 - TRECHO AXIXÁ DO TOCANTINS - ENTR. BR-230</t>
        </is>
      </c>
      <c r="F82" s="18" t="inlineStr">
        <is>
          <t>134ETO0072E</t>
        </is>
      </c>
      <c r="G82" s="21" t="inlineStr">
        <is>
          <t>ENTR. TO-201(B)(PU AXIXÁ DO TOCANTINS) - ENTR. TO-201(A)(PU AXIXÁ DO TOCANTINS)</t>
        </is>
      </c>
      <c r="H82" s="18" t="inlineStr">
        <is>
          <t>PDU</t>
        </is>
      </c>
      <c r="I82" s="18" t="inlineStr">
        <is>
          <t>-47.771331925, -5.615146177</t>
        </is>
      </c>
      <c r="J82" s="18" t="inlineStr">
        <is>
          <t>-47.766395495, -5.613463488</t>
        </is>
      </c>
      <c r="K82" s="19" t="n">
        <v>0.5857032720000001</v>
      </c>
    </row>
    <row r="83" ht="30" customHeight="1">
      <c r="A83" s="20" t="n">
        <v>1</v>
      </c>
      <c r="B83" s="21" t="inlineStr">
        <is>
          <t>TOCANTINÓPOLIS</t>
        </is>
      </c>
      <c r="C83" s="22" t="n">
        <v>13</v>
      </c>
      <c r="D83" s="18" t="inlineStr">
        <is>
          <t>TO-134</t>
        </is>
      </c>
      <c r="E83" s="21" t="inlineStr">
        <is>
          <t>RODOVIA TO-134 - TRECHO AXIXÁ DO TOCANTINS - ENTR. BR-230</t>
        </is>
      </c>
      <c r="F83" s="18" t="inlineStr">
        <is>
          <t>134ETO0073</t>
        </is>
      </c>
      <c r="G83" s="21" t="inlineStr">
        <is>
          <t>ENTR. TO-201(A)(PU AXIXÁ DO TOCANTINS) - FIM PU AXIXÁ DO TOCANTINS</t>
        </is>
      </c>
      <c r="H83" s="18" t="inlineStr">
        <is>
          <t>PSU</t>
        </is>
      </c>
      <c r="I83" s="18" t="inlineStr">
        <is>
          <t>-47.762946, -5.620162</t>
        </is>
      </c>
      <c r="J83" s="18" t="inlineStr">
        <is>
          <t>-47.766369346, -5.613576328</t>
        </is>
      </c>
      <c r="K83" s="19" t="n">
        <v>0.824475995</v>
      </c>
    </row>
    <row r="84" ht="30" customHeight="1">
      <c r="A84" s="20" t="n">
        <v>1</v>
      </c>
      <c r="B84" s="21" t="inlineStr">
        <is>
          <t>TOCANTINÓPOLIS</t>
        </is>
      </c>
      <c r="C84" s="22" t="n">
        <v>13</v>
      </c>
      <c r="D84" s="18" t="inlineStr">
        <is>
          <t>TO-134</t>
        </is>
      </c>
      <c r="E84" s="21" t="inlineStr">
        <is>
          <t>RODOVIA TO-134 - TRECHO AXIXÁ DO TOCANTINS - ENTR. BR-230</t>
        </is>
      </c>
      <c r="F84" s="18" t="inlineStr">
        <is>
          <t>134ETO0110</t>
        </is>
      </c>
      <c r="G84" s="21" t="inlineStr">
        <is>
          <t>FIM PU AXIXÁ DO TOCANTINS - ENTR. TO-409</t>
        </is>
      </c>
      <c r="H84" s="18" t="inlineStr">
        <is>
          <t>PPS</t>
        </is>
      </c>
      <c r="I84" s="18" t="inlineStr">
        <is>
          <t>-47.762946, -5.620162</t>
        </is>
      </c>
      <c r="J84" s="18" t="inlineStr">
        <is>
          <t>-47.852473, -5.945566</t>
        </is>
      </c>
      <c r="K84" s="19" t="n">
        <v>41.2124884999</v>
      </c>
    </row>
    <row r="85" ht="30" customHeight="1">
      <c r="A85" s="20" t="n">
        <v>1</v>
      </c>
      <c r="B85" s="21" t="inlineStr">
        <is>
          <t>TOCANTINÓPOLIS</t>
        </is>
      </c>
      <c r="C85" s="22" t="n">
        <v>13</v>
      </c>
      <c r="D85" s="18" t="inlineStr">
        <is>
          <t>TO-134</t>
        </is>
      </c>
      <c r="E85" s="21" t="inlineStr">
        <is>
          <t>RODOVIA TO-134 - TRECHO AXIXÁ DO TOCANTINS - ENTR. BR-230</t>
        </is>
      </c>
      <c r="F85" s="18" t="inlineStr">
        <is>
          <t>134ETO0120</t>
        </is>
      </c>
      <c r="G85" s="21" t="inlineStr">
        <is>
          <t>ENTR. TO-409 - ENTR. BR-230(B)</t>
        </is>
      </c>
      <c r="H85" s="18" t="inlineStr">
        <is>
          <t>PPS</t>
        </is>
      </c>
      <c r="I85" s="18" t="inlineStr">
        <is>
          <t>-47.852473, -5.945566</t>
        </is>
      </c>
      <c r="J85" s="18" t="inlineStr">
        <is>
          <t>-47.881432, -5.968531</t>
        </is>
      </c>
      <c r="K85" s="19" t="n">
        <v>4.122358992</v>
      </c>
    </row>
    <row r="86" ht="15" customHeight="1">
      <c r="A86" s="20" t="n">
        <v>1</v>
      </c>
      <c r="B86" s="21" t="inlineStr">
        <is>
          <t>TOCANTINÓPOLIS</t>
        </is>
      </c>
      <c r="C86" s="22" t="n">
        <v>11</v>
      </c>
      <c r="D86" s="18" t="inlineStr">
        <is>
          <t>TO-134</t>
        </is>
      </c>
      <c r="E86" s="21" t="inlineStr">
        <is>
          <t>RODOVIA TO-134 - TRECHO LUZINÓPOLIS - ANGICO</t>
        </is>
      </c>
      <c r="F86" s="18" t="inlineStr">
        <is>
          <t>134ETO0180</t>
        </is>
      </c>
      <c r="G86" s="21" t="inlineStr">
        <is>
          <t>ENTR. BR-230(B)(LUZINÓPOLIS) - SANTA HELENA</t>
        </is>
      </c>
      <c r="H86" s="18" t="inlineStr">
        <is>
          <t>PPS</t>
        </is>
      </c>
      <c r="I86" s="18" t="inlineStr">
        <is>
          <t>-47.864798, -6.273183</t>
        </is>
      </c>
      <c r="J86" s="18" t="inlineStr">
        <is>
          <t>-47.86214, -6.194494</t>
        </is>
      </c>
      <c r="K86" s="19" t="n">
        <v>9.802435427000001</v>
      </c>
    </row>
    <row r="87" ht="15" customHeight="1">
      <c r="A87" s="20" t="n">
        <v>1</v>
      </c>
      <c r="B87" s="21" t="inlineStr">
        <is>
          <t>TOCANTINÓPOLIS</t>
        </is>
      </c>
      <c r="C87" s="22" t="n">
        <v>11</v>
      </c>
      <c r="D87" s="18" t="inlineStr">
        <is>
          <t>TO-134</t>
        </is>
      </c>
      <c r="E87" s="21" t="inlineStr">
        <is>
          <t>RODOVIA TO-134 - TRECHO LUZINÓPOLIS - ANGICO</t>
        </is>
      </c>
      <c r="F87" s="18" t="inlineStr">
        <is>
          <t>134ETO0190</t>
        </is>
      </c>
      <c r="G87" s="21" t="inlineStr">
        <is>
          <t>SANTA HELENA - BURITI DOS COSTA</t>
        </is>
      </c>
      <c r="H87" s="18" t="inlineStr">
        <is>
          <t>PPS</t>
        </is>
      </c>
      <c r="I87" s="18" t="inlineStr">
        <is>
          <t>-47.863395, -6.304117</t>
        </is>
      </c>
      <c r="J87" s="18" t="inlineStr">
        <is>
          <t>-47.864798, -6.273183</t>
        </is>
      </c>
      <c r="K87" s="19" t="n">
        <v>3.625596773</v>
      </c>
    </row>
    <row r="88" ht="15" customHeight="1">
      <c r="A88" s="20" t="n">
        <v>1</v>
      </c>
      <c r="B88" s="21" t="inlineStr">
        <is>
          <t>TOCANTINÓPOLIS</t>
        </is>
      </c>
      <c r="C88" s="22" t="n">
        <v>11</v>
      </c>
      <c r="D88" s="18" t="inlineStr">
        <is>
          <t>TO-134</t>
        </is>
      </c>
      <c r="E88" s="21" t="inlineStr">
        <is>
          <t>RODOVIA TO-134 - TRECHO LUZINÓPOLIS - ANGICO</t>
        </is>
      </c>
      <c r="F88" s="18" t="inlineStr">
        <is>
          <t>134ETO0200</t>
        </is>
      </c>
      <c r="G88" s="21" t="inlineStr">
        <is>
          <t>BURITI DOS COSTA - ENTR. TO-210(A)(GROTÃO)</t>
        </is>
      </c>
      <c r="H88" s="18" t="inlineStr">
        <is>
          <t>PPS</t>
        </is>
      </c>
      <c r="I88" s="18" t="inlineStr">
        <is>
          <t>-47.860069, -6.336115</t>
        </is>
      </c>
      <c r="J88" s="18" t="inlineStr">
        <is>
          <t>-47.863395, -6.304117</t>
        </is>
      </c>
      <c r="K88" s="19" t="n">
        <v>3.591528313</v>
      </c>
    </row>
    <row r="89" ht="15" customHeight="1">
      <c r="A89" s="20" t="n">
        <v>1</v>
      </c>
      <c r="B89" s="21" t="inlineStr">
        <is>
          <t>TOCANTINÓPOLIS</t>
        </is>
      </c>
      <c r="C89" s="22" t="n">
        <v>11</v>
      </c>
      <c r="D89" s="18" t="inlineStr">
        <is>
          <t>TO-134</t>
        </is>
      </c>
      <c r="E89" s="21" t="inlineStr">
        <is>
          <t>RODOVIA TO-134 - TRECHO LUZINÓPOLIS - ANGICO</t>
        </is>
      </c>
      <c r="F89" s="18" t="inlineStr">
        <is>
          <t>134ETO0210</t>
        </is>
      </c>
      <c r="G89" s="21" t="inlineStr">
        <is>
          <t>ENTR. TO-210(A)(GROTÃO) - ENTR. TO-210(B)(ANGICO)</t>
        </is>
      </c>
      <c r="H89" s="18" t="inlineStr">
        <is>
          <t>PPS</t>
        </is>
      </c>
      <c r="I89" s="18" t="inlineStr">
        <is>
          <t>-47.862029, -6.399091</t>
        </is>
      </c>
      <c r="J89" s="18" t="inlineStr">
        <is>
          <t>-47.860068, -6.336118</t>
        </is>
      </c>
      <c r="K89" s="19" t="n">
        <v>7.414012937</v>
      </c>
    </row>
    <row r="90" ht="15" customHeight="1">
      <c r="A90" s="20" t="n">
        <v>1</v>
      </c>
      <c r="B90" s="21" t="inlineStr">
        <is>
          <t>TOCANTINÓPOLIS</t>
        </is>
      </c>
      <c r="C90" s="22" t="n">
        <v>10</v>
      </c>
      <c r="D90" s="18" t="inlineStr">
        <is>
          <t>TO-134</t>
        </is>
      </c>
      <c r="E90" s="21" t="inlineStr">
        <is>
          <t>RODOVIA TO-134 - TRECHO ANGICO - DARCINÓPOLIS</t>
        </is>
      </c>
      <c r="F90" s="18" t="inlineStr">
        <is>
          <t>134ETO0220</t>
        </is>
      </c>
      <c r="G90" s="21" t="inlineStr">
        <is>
          <t>ENTR. TO-210 (ANGICO) - AMIGOS DA TERRA</t>
        </is>
      </c>
      <c r="H90" s="18" t="inlineStr">
        <is>
          <t>PPS</t>
        </is>
      </c>
      <c r="I90" s="18" t="inlineStr">
        <is>
          <t>-47.865234, -6.669787</t>
        </is>
      </c>
      <c r="J90" s="18" t="inlineStr">
        <is>
          <t>-47.862029, -6.399091</t>
        </is>
      </c>
      <c r="K90" s="19" t="n">
        <v>31.5973525945</v>
      </c>
    </row>
    <row r="91" ht="15" customHeight="1">
      <c r="A91" s="20" t="n">
        <v>1</v>
      </c>
      <c r="B91" s="21" t="inlineStr">
        <is>
          <t>TOCANTINÓPOLIS</t>
        </is>
      </c>
      <c r="C91" s="22" t="n">
        <v>10</v>
      </c>
      <c r="D91" s="18" t="inlineStr">
        <is>
          <t>TO-134</t>
        </is>
      </c>
      <c r="E91" s="21" t="inlineStr">
        <is>
          <t>RODOVIA TO-134 - TRECHO ANGICO - DARCINÓPOLIS</t>
        </is>
      </c>
      <c r="F91" s="18" t="inlineStr">
        <is>
          <t>134ETO0230</t>
        </is>
      </c>
      <c r="G91" s="21" t="inlineStr">
        <is>
          <t>AMIGOS DA TERRA - ENTR. BR-226(DARCINÓPOLIS)</t>
        </is>
      </c>
      <c r="H91" s="18" t="inlineStr">
        <is>
          <t>PPS</t>
        </is>
      </c>
      <c r="I91" s="18" t="inlineStr">
        <is>
          <t>-47.756485, -6.710865</t>
        </is>
      </c>
      <c r="J91" s="18" t="inlineStr">
        <is>
          <t>-47.865234, -6.669787</t>
        </is>
      </c>
      <c r="K91" s="19" t="n">
        <v>13.74594167</v>
      </c>
    </row>
    <row r="92" ht="30" customHeight="1">
      <c r="A92" s="20" t="n">
        <v>1</v>
      </c>
      <c r="B92" s="21" t="inlineStr">
        <is>
          <t>TOCANTINÓPOLIS</t>
        </is>
      </c>
      <c r="C92" s="22" t="n">
        <v>14</v>
      </c>
      <c r="D92" s="18" t="inlineStr">
        <is>
          <t>TO-201</t>
        </is>
      </c>
      <c r="E92" s="21" t="inlineStr">
        <is>
          <t>RODOVIA TO-201 - TRECHO DIV. TO-MA - SÃO MIGUEL DO TOCANTINS</t>
        </is>
      </c>
      <c r="F92" s="18" t="inlineStr">
        <is>
          <t>201ETO0010</t>
        </is>
      </c>
      <c r="G92" s="21" t="inlineStr">
        <is>
          <t>DIV. TO-MA(PONTE RIO TOCANTINS) - ACESSO BELA VISTA</t>
        </is>
      </c>
      <c r="H92" s="18" t="inlineStr">
        <is>
          <t>PPS</t>
        </is>
      </c>
      <c r="I92" s="18" t="inlineStr">
        <is>
          <t>-47.543785, -5.552754</t>
        </is>
      </c>
      <c r="J92" s="18" t="inlineStr">
        <is>
          <t>-47.489157942, -5.560593468</t>
        </is>
      </c>
      <c r="K92" s="19" t="n">
        <v>6.2757618435</v>
      </c>
    </row>
    <row r="93" ht="30" customHeight="1">
      <c r="A93" s="20" t="n">
        <v>1</v>
      </c>
      <c r="B93" s="21" t="inlineStr">
        <is>
          <t>TOCANTINÓPOLIS</t>
        </is>
      </c>
      <c r="C93" s="22" t="n">
        <v>14</v>
      </c>
      <c r="D93" s="18" t="inlineStr">
        <is>
          <t>TO-201</t>
        </is>
      </c>
      <c r="E93" s="21" t="inlineStr">
        <is>
          <t>RODOVIA TO-201 - TRECHO DIV. TO-MA - SÃO MIGUEL DO TOCANTINS</t>
        </is>
      </c>
      <c r="F93" s="18" t="inlineStr">
        <is>
          <t>201ETO0020</t>
        </is>
      </c>
      <c r="G93" s="21" t="inlineStr">
        <is>
          <t>ACESSO BELA VISTA - INÍCIO PU SÃO MIGUEL DO TOCANTINS</t>
        </is>
      </c>
      <c r="H93" s="18" t="inlineStr">
        <is>
          <t>PPS</t>
        </is>
      </c>
      <c r="I93" s="18" t="inlineStr">
        <is>
          <t>-47.543785, -5.552754</t>
        </is>
      </c>
      <c r="J93" s="18" t="inlineStr">
        <is>
          <t>-47.571689, -5.551614</t>
        </is>
      </c>
      <c r="K93" s="19" t="n">
        <v>3.098563762</v>
      </c>
    </row>
    <row r="94" ht="30" customHeight="1">
      <c r="A94" s="20" t="n">
        <v>1</v>
      </c>
      <c r="B94" s="21" t="inlineStr">
        <is>
          <t>TOCANTINÓPOLIS</t>
        </is>
      </c>
      <c r="C94" s="22" t="n">
        <v>14</v>
      </c>
      <c r="D94" s="18" t="inlineStr">
        <is>
          <t>TO-201</t>
        </is>
      </c>
      <c r="E94" s="21" t="inlineStr">
        <is>
          <t>RODOVIA TO-201 - TRECHO DIV. TO-MA - SÃO MIGUEL DO TOCANTINS</t>
        </is>
      </c>
      <c r="F94" s="18" t="inlineStr">
        <is>
          <t>201ETO0022</t>
        </is>
      </c>
      <c r="G94" s="21" t="inlineStr">
        <is>
          <t>INÍCIO PU SÃO MIGUEL DO TOCANTINS - FIM PU SÃO MIGUEL DO TOCANTINS</t>
        </is>
      </c>
      <c r="H94" s="18" t="inlineStr">
        <is>
          <t>PPS</t>
        </is>
      </c>
      <c r="I94" s="18" t="inlineStr">
        <is>
          <t>-47.571689, -5.551614</t>
        </is>
      </c>
      <c r="J94" s="18" t="inlineStr">
        <is>
          <t>-47.582379, -5.557475</t>
        </is>
      </c>
      <c r="K94" s="19" t="n">
        <v>1.357102474</v>
      </c>
    </row>
    <row r="95" ht="30" customHeight="1">
      <c r="A95" s="20" t="n">
        <v>1</v>
      </c>
      <c r="B95" s="21" t="inlineStr">
        <is>
          <t>TOCANTINÓPOLIS</t>
        </is>
      </c>
      <c r="C95" s="22" t="n">
        <v>15</v>
      </c>
      <c r="D95" s="18" t="inlineStr">
        <is>
          <t>TO-201</t>
        </is>
      </c>
      <c r="E95" s="21" t="inlineStr">
        <is>
          <t>RODOVIA TO-201 - TRECHO SÃO MIGUEL DO TOCANTINS - SÍTIO NOVO DO TOCANTINS</t>
        </is>
      </c>
      <c r="F95" s="18" t="inlineStr">
        <is>
          <t>201ETO0030</t>
        </is>
      </c>
      <c r="G95" s="21" t="inlineStr">
        <is>
          <t>FIM PU SÃO MIGUEL DO TOCANTINS - ENTR. TO-126(A)</t>
        </is>
      </c>
      <c r="H95" s="18" t="inlineStr">
        <is>
          <t>PPS</t>
        </is>
      </c>
      <c r="I95" s="18" t="inlineStr">
        <is>
          <t>-47.582379, -5.557475</t>
        </is>
      </c>
      <c r="J95" s="18" t="inlineStr">
        <is>
          <t>-47.62301557, -5.59590557</t>
        </is>
      </c>
      <c r="K95" s="19" t="n">
        <v>6.199013073</v>
      </c>
    </row>
    <row r="96" ht="30" customHeight="1">
      <c r="A96" s="20" t="n">
        <v>1</v>
      </c>
      <c r="B96" s="21" t="inlineStr">
        <is>
          <t>TOCANTINÓPOLIS</t>
        </is>
      </c>
      <c r="C96" s="22" t="n">
        <v>15</v>
      </c>
      <c r="D96" s="18" t="inlineStr">
        <is>
          <t>TO-201</t>
        </is>
      </c>
      <c r="E96" s="21" t="inlineStr">
        <is>
          <t>RODOVIA TO-201 - TRECHO SÃO MIGUEL DO TOCANTINS - SÍTIO NOVO DO TOCANTINS</t>
        </is>
      </c>
      <c r="F96" s="18" t="inlineStr">
        <is>
          <t>201ETO0050</t>
        </is>
      </c>
      <c r="G96" s="21" t="inlineStr">
        <is>
          <t>ENTR. TO-126(B)(PU SÍTIO NOVO DO TOCANTINS) - FIM DUPLICAÇÃO( PU SÍTIO NOVO DO TOCANTINS)</t>
        </is>
      </c>
      <c r="H96" s="18" t="inlineStr">
        <is>
          <t>PPS</t>
        </is>
      </c>
      <c r="I96" s="18" t="inlineStr">
        <is>
          <t>-47.638596, -5.608328</t>
        </is>
      </c>
      <c r="J96" s="18" t="inlineStr">
        <is>
          <t>-47.639678774, -5.605836894</t>
        </is>
      </c>
      <c r="K96" s="19" t="n">
        <v>0.308794573</v>
      </c>
    </row>
    <row r="97" ht="30" customHeight="1">
      <c r="A97" s="20" t="n">
        <v>1</v>
      </c>
      <c r="B97" s="21" t="inlineStr">
        <is>
          <t>TOCANTINÓPOLIS</t>
        </is>
      </c>
      <c r="C97" s="22" t="n">
        <v>15</v>
      </c>
      <c r="D97" s="18" t="inlineStr">
        <is>
          <t>TO-201</t>
        </is>
      </c>
      <c r="E97" s="21" t="inlineStr">
        <is>
          <t>RODOVIA TO-201 - TRECHO SÃO MIGUEL DO TOCANTINS - SÍTIO NOVO DO TOCANTINS</t>
        </is>
      </c>
      <c r="F97" s="18" t="inlineStr">
        <is>
          <t>201ETO0051D</t>
        </is>
      </c>
      <c r="G97" s="21" t="inlineStr">
        <is>
          <t>INÍCIO DUPLICAÇÃO(SÍTIO NOVO DO TOCANTINS) - FIM DUPLICAÇÃO(SÍTIO NOVO DO TOCANTINS)</t>
        </is>
      </c>
      <c r="H97" s="18" t="inlineStr">
        <is>
          <t>DUP</t>
        </is>
      </c>
      <c r="I97" s="18" t="inlineStr">
        <is>
          <t>-47.639678774, -5.605836894</t>
        </is>
      </c>
      <c r="J97" s="18" t="inlineStr">
        <is>
          <t>-47.643723156, -5.602844753</t>
        </is>
      </c>
      <c r="K97" s="19" t="n">
        <v>0.689062422</v>
      </c>
    </row>
    <row r="98" ht="30" customHeight="1">
      <c r="A98" s="20" t="n">
        <v>1</v>
      </c>
      <c r="B98" s="21" t="inlineStr">
        <is>
          <t>TOCANTINÓPOLIS</t>
        </is>
      </c>
      <c r="C98" s="22" t="n">
        <v>15</v>
      </c>
      <c r="D98" s="18" t="inlineStr">
        <is>
          <t>TO-201</t>
        </is>
      </c>
      <c r="E98" s="21" t="inlineStr">
        <is>
          <t>RODOVIA TO-201 - TRECHO SÃO MIGUEL DO TOCANTINS - SÍTIO NOVO DO TOCANTINS</t>
        </is>
      </c>
      <c r="F98" s="18" t="inlineStr">
        <is>
          <t>201ETO0051E</t>
        </is>
      </c>
      <c r="G98" s="21" t="inlineStr">
        <is>
          <t>INÍCIO DUPLICAÇÃO(SÍTIO NOVO DO TOCANTINS) - FIM DUPLICAÇÃO(SÍTIO NOVO DO TOCANTINS)</t>
        </is>
      </c>
      <c r="H98" s="18" t="inlineStr">
        <is>
          <t>DUP</t>
        </is>
      </c>
      <c r="I98" s="18" t="inlineStr">
        <is>
          <t>-47.639678774, -5.605836894</t>
        </is>
      </c>
      <c r="J98" s="18" t="inlineStr">
        <is>
          <t>-47.643723156, -5.602844753</t>
        </is>
      </c>
      <c r="K98" s="19" t="n">
        <v>0.707566592</v>
      </c>
    </row>
    <row r="99" ht="30" customHeight="1">
      <c r="A99" s="20" t="n">
        <v>1</v>
      </c>
      <c r="B99" s="21" t="inlineStr">
        <is>
          <t>TOCANTINÓPOLIS</t>
        </is>
      </c>
      <c r="C99" s="22" t="n">
        <v>16</v>
      </c>
      <c r="D99" s="18" t="inlineStr">
        <is>
          <t>TO-201</t>
        </is>
      </c>
      <c r="E99" s="21" t="inlineStr">
        <is>
          <t>RODOVIA TO-201 - TRECHO SÍTIO NOVO DO TOCANTINS - AXIXÁ DO TOCANTINS</t>
        </is>
      </c>
      <c r="F99" s="18" t="inlineStr">
        <is>
          <t>201ETO0062</t>
        </is>
      </c>
      <c r="G99" s="21" t="inlineStr">
        <is>
          <t>FIM DUPLICAÇÃO (PU SÍTIO NOVO DO TOCANTINS) - FIM PU SÍTIO NOVO DO TOCANTINS</t>
        </is>
      </c>
      <c r="H99" s="18" t="inlineStr">
        <is>
          <t>PPS</t>
        </is>
      </c>
      <c r="I99" s="18" t="inlineStr">
        <is>
          <t>-47.643723156, -5.602844753</t>
        </is>
      </c>
      <c r="J99" s="18" t="inlineStr">
        <is>
          <t>-47.645374, -5.602676</t>
        </is>
      </c>
      <c r="K99" s="19" t="n">
        <v>0.184305895</v>
      </c>
    </row>
    <row r="100" ht="30" customHeight="1">
      <c r="A100" s="20" t="n">
        <v>1</v>
      </c>
      <c r="B100" s="21" t="inlineStr">
        <is>
          <t>TOCANTINÓPOLIS</t>
        </is>
      </c>
      <c r="C100" s="22" t="n">
        <v>16</v>
      </c>
      <c r="D100" s="18" t="inlineStr">
        <is>
          <t>TO-201</t>
        </is>
      </c>
      <c r="E100" s="21" t="inlineStr">
        <is>
          <t>RODOVIA TO-201 - TRECHO SÍTIO NOVO DO TOCANTINS - AXIXÁ DO TOCANTINS</t>
        </is>
      </c>
      <c r="F100" s="18" t="inlineStr">
        <is>
          <t>201ETO0070</t>
        </is>
      </c>
      <c r="G100" s="21" t="inlineStr">
        <is>
          <t>FIM PU SÍTIO NOVO DO TOCANTINS - INÍCIO PU ALTO DO ZUMBI</t>
        </is>
      </c>
      <c r="H100" s="18" t="inlineStr">
        <is>
          <t>PPS</t>
        </is>
      </c>
      <c r="I100" s="18" t="inlineStr">
        <is>
          <t>-47.645374, -5.602676</t>
        </is>
      </c>
      <c r="J100" s="18" t="inlineStr">
        <is>
          <t>-47.722101, -5.591082</t>
        </is>
      </c>
      <c r="K100" s="19" t="n">
        <v>8.629407024000001</v>
      </c>
    </row>
    <row r="101" ht="30" customHeight="1">
      <c r="A101" s="20" t="n">
        <v>1</v>
      </c>
      <c r="B101" s="21" t="inlineStr">
        <is>
          <t>TOCANTINÓPOLIS</t>
        </is>
      </c>
      <c r="C101" s="22" t="n">
        <v>16</v>
      </c>
      <c r="D101" s="18" t="inlineStr">
        <is>
          <t>TO-201</t>
        </is>
      </c>
      <c r="E101" s="21" t="inlineStr">
        <is>
          <t>RODOVIA TO-201 - TRECHO SÍTIO NOVO DO TOCANTINS - AXIXÁ DO TOCANTINS</t>
        </is>
      </c>
      <c r="F101" s="18" t="inlineStr">
        <is>
          <t>201ETO0072</t>
        </is>
      </c>
      <c r="G101" s="21" t="inlineStr">
        <is>
          <t>INÍCIO PU ALTO DO ZUMBI - FIM PU ALTO DO ZUMBI</t>
        </is>
      </c>
      <c r="H101" s="18" t="inlineStr">
        <is>
          <t>PSU</t>
        </is>
      </c>
      <c r="I101" s="18" t="inlineStr">
        <is>
          <t>-47.722101, -5.591082</t>
        </is>
      </c>
      <c r="J101" s="18" t="inlineStr">
        <is>
          <t>-47.726322, -5.592038</t>
        </is>
      </c>
      <c r="K101" s="19" t="n">
        <v>0.479849448</v>
      </c>
    </row>
    <row r="102" ht="30" customHeight="1">
      <c r="A102" s="20" t="n">
        <v>1</v>
      </c>
      <c r="B102" s="21" t="inlineStr">
        <is>
          <t>TOCANTINÓPOLIS</t>
        </is>
      </c>
      <c r="C102" s="22" t="n">
        <v>16</v>
      </c>
      <c r="D102" s="18" t="inlineStr">
        <is>
          <t>TO-201</t>
        </is>
      </c>
      <c r="E102" s="21" t="inlineStr">
        <is>
          <t>RODOVIA TO-201 - TRECHO SÍTIO NOVO DO TOCANTINS - AXIXÁ DO TOCANTINS</t>
        </is>
      </c>
      <c r="F102" s="18" t="inlineStr">
        <is>
          <t>201ETO0080</t>
        </is>
      </c>
      <c r="G102" s="21" t="inlineStr">
        <is>
          <t>FIM PU ALTO DO ZUMBI - INÍCIO PU AXIXÁ DO TOCANTINS</t>
        </is>
      </c>
      <c r="H102" s="18" t="inlineStr">
        <is>
          <t>PPS</t>
        </is>
      </c>
      <c r="I102" s="18" t="inlineStr">
        <is>
          <t>-47.726322, -5.592038</t>
        </is>
      </c>
      <c r="J102" s="18" t="inlineStr">
        <is>
          <t>-47.758049052, -5.611225352</t>
        </is>
      </c>
      <c r="K102" s="19" t="n">
        <v>4.20025963</v>
      </c>
    </row>
    <row r="103" ht="30" customHeight="1">
      <c r="A103" s="20" t="n">
        <v>1</v>
      </c>
      <c r="B103" s="21" t="inlineStr">
        <is>
          <t>TOCANTINÓPOLIS</t>
        </is>
      </c>
      <c r="C103" s="22" t="n">
        <v>16</v>
      </c>
      <c r="D103" s="18" t="inlineStr">
        <is>
          <t>TO-201</t>
        </is>
      </c>
      <c r="E103" s="21" t="inlineStr">
        <is>
          <t>RODOVIA TO-201 - TRECHO SÍTIO NOVO DO TOCANTINS - AXIXÁ DO TOCANTINS</t>
        </is>
      </c>
      <c r="F103" s="18" t="inlineStr">
        <is>
          <t>201ETO0082</t>
        </is>
      </c>
      <c r="G103" s="21" t="inlineStr">
        <is>
          <t>INÍCIO PU AXIXÁ DO TOCANTINS - INÍCIO DUPLICAÇÃO(PU AXIXÁ DO TOCANTINS)</t>
        </is>
      </c>
      <c r="H103" s="18" t="inlineStr">
        <is>
          <t>PSU</t>
        </is>
      </c>
      <c r="I103" s="18" t="inlineStr">
        <is>
          <t>-47.758049052, -5.611225352</t>
        </is>
      </c>
      <c r="J103" s="18" t="inlineStr">
        <is>
          <t>-47.762603045, -5.612130136</t>
        </is>
      </c>
      <c r="K103" s="19" t="n">
        <v>0.514749961</v>
      </c>
    </row>
    <row r="104" ht="30" customHeight="1">
      <c r="A104" s="20" t="n">
        <v>1</v>
      </c>
      <c r="B104" s="21" t="inlineStr">
        <is>
          <t>TOCANTINÓPOLIS</t>
        </is>
      </c>
      <c r="C104" s="22" t="n">
        <v>16</v>
      </c>
      <c r="D104" s="18" t="inlineStr">
        <is>
          <t>TO-201</t>
        </is>
      </c>
      <c r="E104" s="21" t="inlineStr">
        <is>
          <t>RODOVIA TO-201 - TRECHO SÍTIO NOVO DO TOCANTINS - AXIXÁ DO TOCANTINS</t>
        </is>
      </c>
      <c r="F104" s="18" t="inlineStr">
        <is>
          <t>201ETO0083D</t>
        </is>
      </c>
      <c r="G104" s="21" t="inlineStr">
        <is>
          <t>INÍCIO DUPLICAÇÃO(PU AXIXÁ DO TOCANTINS) - ENTR. TO-134(B)(PU AXIXÁ DO TOCANTINS)</t>
        </is>
      </c>
      <c r="H104" s="18" t="inlineStr">
        <is>
          <t>PDU</t>
        </is>
      </c>
      <c r="I104" s="18" t="inlineStr">
        <is>
          <t>-47.766369346, -5.613576328</t>
        </is>
      </c>
      <c r="J104" s="18" t="inlineStr">
        <is>
          <t>-47.762603045, -5.612130136</t>
        </is>
      </c>
      <c r="K104" s="19" t="n">
        <v>0.447409065</v>
      </c>
    </row>
    <row r="105" ht="30" customHeight="1">
      <c r="A105" s="20" t="n">
        <v>1</v>
      </c>
      <c r="B105" s="21" t="inlineStr">
        <is>
          <t>TOCANTINÓPOLIS</t>
        </is>
      </c>
      <c r="C105" s="22" t="n">
        <v>16</v>
      </c>
      <c r="D105" s="18" t="inlineStr">
        <is>
          <t>TO-201</t>
        </is>
      </c>
      <c r="E105" s="21" t="inlineStr">
        <is>
          <t>RODOVIA TO-201 - TRECHO SÍTIO NOVO DO TOCANTINS - AXIXÁ DO TOCANTINS</t>
        </is>
      </c>
      <c r="F105" s="18" t="inlineStr">
        <is>
          <t>201ETO0083E</t>
        </is>
      </c>
      <c r="G105" s="21" t="inlineStr">
        <is>
          <t>INÍCIO DUPLICAÇÃO(PU AXIXÁ DO TOCANTINS) - ENTR. TO-134(B)(PU AXIXÁ DO TOCANTINS)</t>
        </is>
      </c>
      <c r="H105" s="18" t="inlineStr">
        <is>
          <t>PDU</t>
        </is>
      </c>
      <c r="I105" s="18" t="inlineStr">
        <is>
          <t>-47.766395495, -5.613463488</t>
        </is>
      </c>
      <c r="J105" s="18" t="inlineStr">
        <is>
          <t>-47.762603045, -5.612130136</t>
        </is>
      </c>
      <c r="K105" s="19" t="n">
        <v>0.446460112</v>
      </c>
    </row>
    <row r="106" ht="30" customHeight="1">
      <c r="A106" s="20" t="n">
        <v>1</v>
      </c>
      <c r="B106" s="21" t="inlineStr">
        <is>
          <t>TOCANTINÓPOLIS</t>
        </is>
      </c>
      <c r="C106" s="22" t="n">
        <v>16</v>
      </c>
      <c r="D106" s="18" t="inlineStr">
        <is>
          <t>TO-201</t>
        </is>
      </c>
      <c r="E106" s="21" t="inlineStr">
        <is>
          <t>RODOVIA TO-201 - TRECHO SÍTIO NOVO DO TOCANTINS - AXIXÁ DO TOCANTINS</t>
        </is>
      </c>
      <c r="F106" s="18" t="inlineStr">
        <is>
          <t>201ETO0084D</t>
        </is>
      </c>
      <c r="G106" s="21" t="inlineStr">
        <is>
          <t>ENTR. TO-134(A)(PU AXIXÁ DO TOCANTINS) - FIM DUPLICAÇÃO(PU AXIXÁ DO TOCANTINS)</t>
        </is>
      </c>
      <c r="H106" s="18" t="inlineStr">
        <is>
          <t>PDU</t>
        </is>
      </c>
      <c r="I106" s="18" t="inlineStr">
        <is>
          <t>-47.773249, -5.615808</t>
        </is>
      </c>
      <c r="J106" s="18" t="inlineStr">
        <is>
          <t>-47.771266238, -5.615385567</t>
        </is>
      </c>
      <c r="K106" s="19" t="n">
        <v>0.229041203</v>
      </c>
    </row>
    <row r="107" ht="30" customHeight="1">
      <c r="A107" s="20" t="n">
        <v>1</v>
      </c>
      <c r="B107" s="21" t="inlineStr">
        <is>
          <t>TOCANTINÓPOLIS</t>
        </is>
      </c>
      <c r="C107" s="22" t="n">
        <v>16</v>
      </c>
      <c r="D107" s="18" t="inlineStr">
        <is>
          <t>TO-201</t>
        </is>
      </c>
      <c r="E107" s="21" t="inlineStr">
        <is>
          <t>RODOVIA TO-201 - TRECHO SÍTIO NOVO DO TOCANTINS - AXIXÁ DO TOCANTINS</t>
        </is>
      </c>
      <c r="F107" s="18" t="inlineStr">
        <is>
          <t>201ETO0084E</t>
        </is>
      </c>
      <c r="G107" s="21" t="inlineStr">
        <is>
          <t>ENTR. TO-134(A)(PU AXIXÁ DO TOCANTINS) - ENTR. TO-405(FIM DUPLICAÇÃO PU AXIXÁ DO TOCANTINS)</t>
        </is>
      </c>
      <c r="H107" s="18" t="inlineStr">
        <is>
          <t>PDU</t>
        </is>
      </c>
      <c r="I107" s="18" t="inlineStr">
        <is>
          <t>-47.773249, -5.615808</t>
        </is>
      </c>
      <c r="J107" s="18" t="inlineStr">
        <is>
          <t>-47.771331925, -5.615146177</t>
        </is>
      </c>
      <c r="K107" s="19" t="n">
        <v>0.234259062</v>
      </c>
    </row>
    <row r="108" ht="30" customHeight="1">
      <c r="A108" s="20" t="n">
        <v>1</v>
      </c>
      <c r="B108" s="21" t="inlineStr">
        <is>
          <t>TOCANTINÓPOLIS</t>
        </is>
      </c>
      <c r="C108" s="22" t="n">
        <v>16</v>
      </c>
      <c r="D108" s="18" t="inlineStr">
        <is>
          <t>TO-201</t>
        </is>
      </c>
      <c r="E108" s="21" t="inlineStr">
        <is>
          <t>RODOVIA TO-201 - TRECHO SÍTIO NOVO DO TOCANTINS - AXIXÁ DO TOCANTINS</t>
        </is>
      </c>
      <c r="F108" s="18" t="inlineStr">
        <is>
          <t>201ETO0085</t>
        </is>
      </c>
      <c r="G108" s="21" t="inlineStr">
        <is>
          <t>ENTR. TO-405(FIM DUPLICAÇÃO PU AXIXÁ DO TOCANTINS) - FIM PU AXIXÁ DO TOCANTINS</t>
        </is>
      </c>
      <c r="H108" s="18" t="inlineStr">
        <is>
          <t>PSU</t>
        </is>
      </c>
      <c r="I108" s="18" t="inlineStr">
        <is>
          <t>-47.771331925, -5.615146177</t>
        </is>
      </c>
      <c r="J108" s="18" t="inlineStr">
        <is>
          <t>-47.773018, -5.613024</t>
        </is>
      </c>
      <c r="K108" s="19" t="n">
        <v>0.304598367</v>
      </c>
    </row>
    <row r="109" ht="30" customHeight="1">
      <c r="A109" s="20" t="n">
        <v>1</v>
      </c>
      <c r="B109" s="21" t="inlineStr">
        <is>
          <t>TOCANTINÓPOLIS</t>
        </is>
      </c>
      <c r="C109" s="22" t="n">
        <v>17</v>
      </c>
      <c r="D109" s="18" t="inlineStr">
        <is>
          <t>TO-201</t>
        </is>
      </c>
      <c r="E109" s="21" t="inlineStr">
        <is>
          <t>RODOVIA TO-201 - TRECHO AXIXÁ DO TOCANTINS - AUGUSTINÓPOLIS</t>
        </is>
      </c>
      <c r="F109" s="18" t="inlineStr">
        <is>
          <t>201ETO0120</t>
        </is>
      </c>
      <c r="G109" s="21" t="inlineStr">
        <is>
          <t>FIM PU AXIXÁ DO TOCANTINS - INÍCIO PU GROTÃO</t>
        </is>
      </c>
      <c r="H109" s="18" t="inlineStr">
        <is>
          <t>PPS</t>
        </is>
      </c>
      <c r="I109" s="18" t="inlineStr">
        <is>
          <t>-47.773018, -5.613024</t>
        </is>
      </c>
      <c r="J109" s="18" t="inlineStr">
        <is>
          <t>-47.80229839, -5.571895425</t>
        </is>
      </c>
      <c r="K109" s="19" t="n">
        <v>5.661726958</v>
      </c>
    </row>
    <row r="110" ht="30" customHeight="1">
      <c r="A110" s="20" t="n">
        <v>1</v>
      </c>
      <c r="B110" s="21" t="inlineStr">
        <is>
          <t>TOCANTINÓPOLIS</t>
        </is>
      </c>
      <c r="C110" s="22" t="n">
        <v>17</v>
      </c>
      <c r="D110" s="18" t="inlineStr">
        <is>
          <t>TO-201</t>
        </is>
      </c>
      <c r="E110" s="21" t="inlineStr">
        <is>
          <t>RODOVIA TO-201 - TRECHO AXIXÁ DO TOCANTINS - AUGUSTINÓPOLIS</t>
        </is>
      </c>
      <c r="F110" s="18" t="inlineStr">
        <is>
          <t>201ETO0122</t>
        </is>
      </c>
      <c r="G110" s="21" t="inlineStr">
        <is>
          <t>INÍCIO PU GROTÃO - FIM PU GROTÃO</t>
        </is>
      </c>
      <c r="H110" s="18" t="inlineStr">
        <is>
          <t>PSU</t>
        </is>
      </c>
      <c r="I110" s="18" t="inlineStr">
        <is>
          <t>-47.80229839, -5.571895425</t>
        </is>
      </c>
      <c r="J110" s="18" t="inlineStr">
        <is>
          <t>-47.806579, -5.566212</t>
        </is>
      </c>
      <c r="K110" s="19" t="n">
        <v>0.788115516</v>
      </c>
    </row>
    <row r="111" ht="15" customHeight="1">
      <c r="A111" s="20" t="n">
        <v>1</v>
      </c>
      <c r="B111" s="21" t="inlineStr">
        <is>
          <t>TOCANTINÓPOLIS</t>
        </is>
      </c>
      <c r="C111" s="22" t="n">
        <v>14</v>
      </c>
      <c r="D111" s="18" t="inlineStr">
        <is>
          <t>ACESSO</t>
        </is>
      </c>
      <c r="E111" s="21" t="inlineStr">
        <is>
          <t>ACESSO</t>
        </is>
      </c>
      <c r="F111" s="18" t="inlineStr">
        <is>
          <t>ACESSO02</t>
        </is>
      </c>
      <c r="G111" s="21" t="inlineStr">
        <is>
          <t>BELA VISTA (BALSA) - ENTR. TO-201</t>
        </is>
      </c>
      <c r="H111" s="18" t="inlineStr">
        <is>
          <t>PPS</t>
        </is>
      </c>
      <c r="I111" s="18" t="inlineStr">
        <is>
          <t>-47.496856, -5.540069</t>
        </is>
      </c>
      <c r="J111" s="18" t="inlineStr">
        <is>
          <t>-47.543785, -5.552754</t>
        </is>
      </c>
      <c r="K111" s="19" t="n">
        <v>5.5243848</v>
      </c>
    </row>
    <row r="112" ht="30" customHeight="1">
      <c r="A112" s="20" t="n">
        <v>1</v>
      </c>
      <c r="B112" s="21" t="inlineStr">
        <is>
          <t>TOCANTINÓPOLIS</t>
        </is>
      </c>
      <c r="C112" s="22" t="n">
        <v>17</v>
      </c>
      <c r="D112" s="18" t="inlineStr">
        <is>
          <t>TO-201</t>
        </is>
      </c>
      <c r="E112" s="21" t="inlineStr">
        <is>
          <t>RODOVIA TO-201 - TRECHO AXIXÁ DO TOCANTINS - AUGUSTINÓPOLIS</t>
        </is>
      </c>
      <c r="F112" s="18" t="inlineStr">
        <is>
          <t>201ETO0130</t>
        </is>
      </c>
      <c r="G112" s="21" t="inlineStr">
        <is>
          <t>FIM PU GROTÃO - INÍCIO PU AUGUSTINÓPOLIS</t>
        </is>
      </c>
      <c r="H112" s="18" t="inlineStr">
        <is>
          <t>PPS</t>
        </is>
      </c>
      <c r="I112" s="18" t="inlineStr">
        <is>
          <t>-47.806579, -5.566212</t>
        </is>
      </c>
      <c r="J112" s="18" t="inlineStr">
        <is>
          <t>-47.876929, -5.474721</t>
        </is>
      </c>
      <c r="K112" s="19" t="n">
        <v>13.02340253</v>
      </c>
    </row>
    <row r="113" ht="30" customHeight="1">
      <c r="A113" s="20" t="n">
        <v>1</v>
      </c>
      <c r="B113" s="21" t="inlineStr">
        <is>
          <t>TOCANTINÓPOLIS</t>
        </is>
      </c>
      <c r="C113" s="22" t="n">
        <v>17</v>
      </c>
      <c r="D113" s="18" t="inlineStr">
        <is>
          <t>TO-201</t>
        </is>
      </c>
      <c r="E113" s="21" t="inlineStr">
        <is>
          <t>RODOVIA TO-201 - TRECHO AXIXÁ DO TOCANTINS - AUGUSTINÓPOLIS</t>
        </is>
      </c>
      <c r="F113" s="18" t="inlineStr">
        <is>
          <t>201ETO0131</t>
        </is>
      </c>
      <c r="G113" s="21" t="inlineStr">
        <is>
          <t>INÍCIO PU AUGUSTINÓPOLIS - INÍCIO DUPLICAÇÃO(PU AUGUSTINÓPOLIS)</t>
        </is>
      </c>
      <c r="H113" s="18" t="inlineStr">
        <is>
          <t>PPS</t>
        </is>
      </c>
      <c r="I113" s="18" t="inlineStr">
        <is>
          <t>-47.876929, -5.474721</t>
        </is>
      </c>
      <c r="J113" s="18" t="inlineStr">
        <is>
          <t>-47.879098, -5.473596</t>
        </is>
      </c>
      <c r="K113" s="19" t="n">
        <v>0.27087929</v>
      </c>
    </row>
    <row r="114" ht="30" customHeight="1">
      <c r="A114" s="20" t="n">
        <v>1</v>
      </c>
      <c r="B114" s="21" t="inlineStr">
        <is>
          <t>TOCANTINÓPOLIS</t>
        </is>
      </c>
      <c r="C114" s="22" t="n">
        <v>17</v>
      </c>
      <c r="D114" s="18" t="inlineStr">
        <is>
          <t>TO-201</t>
        </is>
      </c>
      <c r="E114" s="21" t="inlineStr">
        <is>
          <t>RODOVIA TO-201 - TRECHO AUGUSTINÓPOLIS - BURITI DO TOCANTINS</t>
        </is>
      </c>
      <c r="F114" s="18" t="inlineStr">
        <is>
          <t>201ETO0132D</t>
        </is>
      </c>
      <c r="G114" s="21" t="inlineStr">
        <is>
          <t>INÍCIO DUPLICAÇÃO(PU AUGUSTINÓPOLIS) - ENTR. TO-404(FIM DUPLICAÇÃO PU AUGUSTINÓPOLIS)</t>
        </is>
      </c>
      <c r="H114" s="18" t="inlineStr">
        <is>
          <t>PDU</t>
        </is>
      </c>
      <c r="I114" s="18" t="inlineStr">
        <is>
          <t>-47.879098, -5.473596</t>
        </is>
      </c>
      <c r="J114" s="18" t="inlineStr">
        <is>
          <t>-47.898147436, -5.46384924</t>
        </is>
      </c>
      <c r="K114" s="19" t="n">
        <v>2.388836891</v>
      </c>
    </row>
    <row r="115" ht="30" customHeight="1">
      <c r="A115" s="20" t="n">
        <v>1</v>
      </c>
      <c r="B115" s="21" t="inlineStr">
        <is>
          <t>TOCANTINÓPOLIS</t>
        </is>
      </c>
      <c r="C115" s="22" t="n">
        <v>17</v>
      </c>
      <c r="D115" s="18" t="inlineStr">
        <is>
          <t>TO-201</t>
        </is>
      </c>
      <c r="E115" s="21" t="inlineStr">
        <is>
          <t>RODOVIA TO-201 - TRECHO AUGUSTINÓPOLIS - BURITI DO TOCANTINS</t>
        </is>
      </c>
      <c r="F115" s="18" t="inlineStr">
        <is>
          <t>201ETO0132E</t>
        </is>
      </c>
      <c r="G115" s="21" t="inlineStr">
        <is>
          <t>INÍCIO DUPLICAÇÃO(PU AUGUSTINÓPOLIS) - ENTR. TO-404(FIM DUPLICAÇÃO PU AUGUSTINÓPOLIS)</t>
        </is>
      </c>
      <c r="H115" s="18" t="inlineStr">
        <is>
          <t>PDU</t>
        </is>
      </c>
      <c r="I115" s="18" t="inlineStr">
        <is>
          <t>-47.898147436, -5.46384924</t>
        </is>
      </c>
      <c r="J115" s="18" t="inlineStr">
        <is>
          <t>-47.879098, -5.473596</t>
        </is>
      </c>
      <c r="K115" s="19" t="n">
        <v>2.404171859</v>
      </c>
    </row>
    <row r="116" ht="30" customHeight="1">
      <c r="A116" s="20" t="n">
        <v>1</v>
      </c>
      <c r="B116" s="21" t="inlineStr">
        <is>
          <t>TOCANTINÓPOLIS</t>
        </is>
      </c>
      <c r="C116" s="22" t="n">
        <v>18</v>
      </c>
      <c r="D116" s="18" t="inlineStr">
        <is>
          <t>TO-201</t>
        </is>
      </c>
      <c r="E116" s="21" t="inlineStr">
        <is>
          <t>RODOVIA TO-201 - TRECHO AUGUSTINÓPOLIS - BURITI DO TOCANTINS</t>
        </is>
      </c>
      <c r="F116" s="18" t="inlineStr">
        <is>
          <t>201ETO0150</t>
        </is>
      </c>
      <c r="G116" s="21" t="inlineStr">
        <is>
          <t>ENTR. TO-404(FIM DUPLICAÇÃO PU AUGUSTINÓPOLIS) - INÍCIO PU VINTE MIL</t>
        </is>
      </c>
      <c r="H116" s="18" t="inlineStr">
        <is>
          <t>PPS</t>
        </is>
      </c>
      <c r="I116" s="18" t="inlineStr">
        <is>
          <t>-47.898195945, -5.463932279</t>
        </is>
      </c>
      <c r="J116" s="18" t="inlineStr">
        <is>
          <t>-47.998195, -5.412895</t>
        </is>
      </c>
      <c r="K116" s="19" t="n">
        <v>12.45405811</v>
      </c>
    </row>
    <row r="117" ht="30" customHeight="1">
      <c r="A117" s="20" t="n">
        <v>1</v>
      </c>
      <c r="B117" s="21" t="inlineStr">
        <is>
          <t>TOCANTINÓPOLIS</t>
        </is>
      </c>
      <c r="C117" s="22" t="n">
        <v>18</v>
      </c>
      <c r="D117" s="18" t="inlineStr">
        <is>
          <t>TO-201</t>
        </is>
      </c>
      <c r="E117" s="21" t="inlineStr">
        <is>
          <t>RODOVIA TO-201 - TRECHO AUGUSTINÓPOLIS - BURITI DO TOCANTINS</t>
        </is>
      </c>
      <c r="F117" s="18" t="inlineStr">
        <is>
          <t>201ETO0152</t>
        </is>
      </c>
      <c r="G117" s="21" t="inlineStr">
        <is>
          <t>INÍCIO PU VINTE MIL - FIM PU VINTE MIL</t>
        </is>
      </c>
      <c r="H117" s="18" t="inlineStr">
        <is>
          <t>PSU</t>
        </is>
      </c>
      <c r="I117" s="18" t="inlineStr">
        <is>
          <t>-47.998195, -5.412895</t>
        </is>
      </c>
      <c r="J117" s="18" t="inlineStr">
        <is>
          <t>-48.0121, -5.405758</t>
        </is>
      </c>
      <c r="K117" s="19" t="n">
        <v>1.73316276</v>
      </c>
    </row>
    <row r="118" ht="30" customHeight="1">
      <c r="A118" s="20" t="n">
        <v>1</v>
      </c>
      <c r="B118" s="21" t="inlineStr">
        <is>
          <t>TOCANTINÓPOLIS</t>
        </is>
      </c>
      <c r="C118" s="22" t="n">
        <v>18</v>
      </c>
      <c r="D118" s="18" t="inlineStr">
        <is>
          <t>TO-201</t>
        </is>
      </c>
      <c r="E118" s="21" t="inlineStr">
        <is>
          <t>RODOVIA TO-201 - TRECHO AUGUSTINÓPOLIS - BURITI DO TOCANTINS</t>
        </is>
      </c>
      <c r="F118" s="18" t="inlineStr">
        <is>
          <t>201ETO0160</t>
        </is>
      </c>
      <c r="G118" s="21" t="inlineStr">
        <is>
          <t>FIM PU VINTE MIL - ENTR. TO-407(P/ CARRASCO BONITO)</t>
        </is>
      </c>
      <c r="H118" s="18" t="inlineStr">
        <is>
          <t>PPS</t>
        </is>
      </c>
      <c r="I118" s="18" t="inlineStr">
        <is>
          <t>-48.0121, -5.405758</t>
        </is>
      </c>
      <c r="J118" s="18" t="inlineStr">
        <is>
          <t>-48.041517, -5.390984</t>
        </is>
      </c>
      <c r="K118" s="19" t="n">
        <v>3.650412345</v>
      </c>
    </row>
    <row r="119" ht="30" customHeight="1">
      <c r="A119" s="20" t="n">
        <v>1</v>
      </c>
      <c r="B119" s="21" t="inlineStr">
        <is>
          <t>TOCANTINÓPOLIS</t>
        </is>
      </c>
      <c r="C119" s="22" t="n">
        <v>18</v>
      </c>
      <c r="D119" s="18" t="inlineStr">
        <is>
          <t>TO-201</t>
        </is>
      </c>
      <c r="E119" s="21" t="inlineStr">
        <is>
          <t>RODOVIA TO-201 - TRECHO AUGUSTINÓPOLIS - BURITI DO TOCANTINS</t>
        </is>
      </c>
      <c r="F119" s="18" t="inlineStr">
        <is>
          <t>201ETO0170</t>
        </is>
      </c>
      <c r="G119" s="21" t="inlineStr">
        <is>
          <t>ENTR. TO-407(P/ CARRASCO BONITO) - INÍCIO PU CENTRO DOS FIRMINOS</t>
        </is>
      </c>
      <c r="H119" s="18" t="inlineStr">
        <is>
          <t>PPS</t>
        </is>
      </c>
      <c r="I119" s="18" t="inlineStr">
        <is>
          <t>-48.041517, -5.390984</t>
        </is>
      </c>
      <c r="J119" s="18" t="inlineStr">
        <is>
          <t>-48.048462, -5.387481</t>
        </is>
      </c>
      <c r="K119" s="19" t="n">
        <v>0.862604004</v>
      </c>
    </row>
    <row r="120" ht="30" customHeight="1">
      <c r="A120" s="20" t="n">
        <v>1</v>
      </c>
      <c r="B120" s="21" t="inlineStr">
        <is>
          <t>TOCANTINÓPOLIS</t>
        </is>
      </c>
      <c r="C120" s="22" t="n">
        <v>18</v>
      </c>
      <c r="D120" s="18" t="inlineStr">
        <is>
          <t>TO-201</t>
        </is>
      </c>
      <c r="E120" s="21" t="inlineStr">
        <is>
          <t>RODOVIA TO-201 - TRECHO AUGUSTINÓPOLIS - BURITI DO TOCANTINS</t>
        </is>
      </c>
      <c r="F120" s="18" t="inlineStr">
        <is>
          <t>201ETO0172</t>
        </is>
      </c>
      <c r="G120" s="21" t="inlineStr">
        <is>
          <t>INÍCIO PU CENTRO DOS FIRMINOS - FIM PU CENTRO DOS FIRMINOS</t>
        </is>
      </c>
      <c r="H120" s="18" t="inlineStr">
        <is>
          <t>PSU</t>
        </is>
      </c>
      <c r="I120" s="18" t="inlineStr">
        <is>
          <t>-48.048462, -5.387481</t>
        </is>
      </c>
      <c r="J120" s="18" t="inlineStr">
        <is>
          <t>-48.055779, -5.383804</t>
        </is>
      </c>
      <c r="K120" s="19" t="n">
        <v>0.908195966</v>
      </c>
    </row>
    <row r="121" ht="30" customHeight="1">
      <c r="A121" s="20" t="n">
        <v>1</v>
      </c>
      <c r="B121" s="21" t="inlineStr">
        <is>
          <t>TOCANTINÓPOLIS</t>
        </is>
      </c>
      <c r="C121" s="22" t="n">
        <v>18</v>
      </c>
      <c r="D121" s="18" t="inlineStr">
        <is>
          <t>TO-201</t>
        </is>
      </c>
      <c r="E121" s="21" t="inlineStr">
        <is>
          <t>RODOVIA TO-201 - TRECHO AUGUSTINÓPOLIS - BURITI DO TOCANTINS</t>
        </is>
      </c>
      <c r="F121" s="18" t="inlineStr">
        <is>
          <t>201ETO0180</t>
        </is>
      </c>
      <c r="G121" s="21" t="inlineStr">
        <is>
          <t>FIM PU CENTRO DOS FIRMINOS - INÍCIO PU CENTRO DOS FERREIRAS</t>
        </is>
      </c>
      <c r="H121" s="18" t="inlineStr">
        <is>
          <t>PPS</t>
        </is>
      </c>
      <c r="I121" s="18" t="inlineStr">
        <is>
          <t>-48.055779, -5.383804</t>
        </is>
      </c>
      <c r="J121" s="18" t="inlineStr">
        <is>
          <t>-48.102145, -5.361288</t>
        </is>
      </c>
      <c r="K121" s="19" t="n">
        <v>5.716400149</v>
      </c>
    </row>
    <row r="122" ht="30" customHeight="1">
      <c r="A122" s="20" t="n">
        <v>1</v>
      </c>
      <c r="B122" s="21" t="inlineStr">
        <is>
          <t>TOCANTINÓPOLIS</t>
        </is>
      </c>
      <c r="C122" s="22" t="n">
        <v>18</v>
      </c>
      <c r="D122" s="18" t="inlineStr">
        <is>
          <t>TO-201</t>
        </is>
      </c>
      <c r="E122" s="21" t="inlineStr">
        <is>
          <t>RODOVIA TO-201 - TRECHO AUGUSTINÓPOLIS - BURITI DO TOCANTINS</t>
        </is>
      </c>
      <c r="F122" s="18" t="inlineStr">
        <is>
          <t>201ETO0182</t>
        </is>
      </c>
      <c r="G122" s="21" t="inlineStr">
        <is>
          <t>INÍCIO PU CENTRO DOS FERREIRAS - FIM PU CENTRO DOS FERREIRAS</t>
        </is>
      </c>
      <c r="H122" s="18" t="inlineStr">
        <is>
          <t>PSU</t>
        </is>
      </c>
      <c r="I122" s="18" t="inlineStr">
        <is>
          <t>-48.102145, -5.361288</t>
        </is>
      </c>
      <c r="J122" s="18" t="inlineStr">
        <is>
          <t>-48.108089, -5.358415</t>
        </is>
      </c>
      <c r="K122" s="19" t="n">
        <v>0.7322192320000001</v>
      </c>
    </row>
    <row r="123" ht="30" customHeight="1">
      <c r="A123" s="20" t="n">
        <v>1</v>
      </c>
      <c r="B123" s="21" t="inlineStr">
        <is>
          <t>TOCANTINÓPOLIS</t>
        </is>
      </c>
      <c r="C123" s="22" t="n">
        <v>18</v>
      </c>
      <c r="D123" s="18" t="inlineStr">
        <is>
          <t>TO-201</t>
        </is>
      </c>
      <c r="E123" s="21" t="inlineStr">
        <is>
          <t>RODOVIA TO-201 - TRECHO AUGUSTINÓPOLIS - BURITI DO TOCANTINS</t>
        </is>
      </c>
      <c r="F123" s="18" t="inlineStr">
        <is>
          <t>201ETO0190</t>
        </is>
      </c>
      <c r="G123" s="21" t="inlineStr">
        <is>
          <t>FIM PU CENTRO DOS FERREIRAS - ENTR. TO-010(A)</t>
        </is>
      </c>
      <c r="H123" s="18" t="inlineStr">
        <is>
          <t>PPS</t>
        </is>
      </c>
      <c r="I123" s="18" t="inlineStr">
        <is>
          <t>-48.108089, -5.358415</t>
        </is>
      </c>
      <c r="J123" s="18" t="inlineStr">
        <is>
          <t>-48.194133, -5.318513</t>
        </is>
      </c>
      <c r="K123" s="19" t="n">
        <v>10.57327683</v>
      </c>
    </row>
    <row r="124" ht="30" customHeight="1">
      <c r="A124" s="20" t="n">
        <v>1</v>
      </c>
      <c r="B124" s="21" t="inlineStr">
        <is>
          <t>TOCANTINÓPOLIS</t>
        </is>
      </c>
      <c r="C124" s="22" t="n">
        <v>19</v>
      </c>
      <c r="D124" s="18" t="inlineStr">
        <is>
          <t>TO-201</t>
        </is>
      </c>
      <c r="E124" s="21" t="inlineStr">
        <is>
          <t>RODOVIA TO-201 - TRECHO BURITI DO TOCANTINS - ESPERANTINA</t>
        </is>
      </c>
      <c r="F124" s="18" t="inlineStr">
        <is>
          <t>201ETO0202</t>
        </is>
      </c>
      <c r="G124" s="21" t="inlineStr">
        <is>
          <t>ENTR. TO-010(B)(PU BURITI DO TOCANTINS) - FIM PU BURITI DO TOCANTINS</t>
        </is>
      </c>
      <c r="H124" s="18" t="inlineStr">
        <is>
          <t>PSU</t>
        </is>
      </c>
      <c r="I124" s="18" t="inlineStr">
        <is>
          <t>-48.226803, -5.32273</t>
        </is>
      </c>
      <c r="J124" s="18" t="inlineStr">
        <is>
          <t>-48.23193, -5.321592</t>
        </is>
      </c>
      <c r="K124" s="19" t="n">
        <v>0.588059789</v>
      </c>
    </row>
    <row r="125" ht="30" customHeight="1">
      <c r="A125" s="20" t="n">
        <v>1</v>
      </c>
      <c r="B125" s="21" t="inlineStr">
        <is>
          <t>TOCANTINÓPOLIS</t>
        </is>
      </c>
      <c r="C125" s="22" t="n">
        <v>19</v>
      </c>
      <c r="D125" s="18" t="inlineStr">
        <is>
          <t>TO-201</t>
        </is>
      </c>
      <c r="E125" s="21" t="inlineStr">
        <is>
          <t>RODOVIA TO-201 - TRECHO BURITI DO TOCANTINS - ESPERANTINA</t>
        </is>
      </c>
      <c r="F125" s="18" t="inlineStr">
        <is>
          <t>201ETO0210</t>
        </is>
      </c>
      <c r="G125" s="21" t="inlineStr">
        <is>
          <t>FIM PU BURITI DO TOCANTINS - JOSÉ ESTEVÃO</t>
        </is>
      </c>
      <c r="H125" s="18" t="inlineStr">
        <is>
          <t>PPS</t>
        </is>
      </c>
      <c r="I125" s="18" t="inlineStr">
        <is>
          <t>-48.23193, -5.321592</t>
        </is>
      </c>
      <c r="J125" s="18" t="inlineStr">
        <is>
          <t>-48.256616, -5.311292</t>
        </is>
      </c>
      <c r="K125" s="19" t="n">
        <v>3.033064448</v>
      </c>
    </row>
    <row r="126" ht="30" customHeight="1">
      <c r="A126" s="20" t="n">
        <v>1</v>
      </c>
      <c r="B126" s="21" t="inlineStr">
        <is>
          <t>TOCANTINÓPOLIS</t>
        </is>
      </c>
      <c r="C126" s="22" t="n">
        <v>19</v>
      </c>
      <c r="D126" s="18" t="inlineStr">
        <is>
          <t>TO-201</t>
        </is>
      </c>
      <c r="E126" s="21" t="inlineStr">
        <is>
          <t>RODOVIA TO-201 - TRECHO BURITI DO TOCANTINS - ESPERANTINA</t>
        </is>
      </c>
      <c r="F126" s="18" t="inlineStr">
        <is>
          <t>201ETO0220</t>
        </is>
      </c>
      <c r="G126" s="21" t="inlineStr">
        <is>
          <t>JOSÉ ESTEVÃO - ENTR. TO-402</t>
        </is>
      </c>
      <c r="H126" s="18" t="inlineStr">
        <is>
          <t>PPS</t>
        </is>
      </c>
      <c r="I126" s="18" t="inlineStr">
        <is>
          <t>-48.256616, -5.311292</t>
        </is>
      </c>
      <c r="J126" s="18" t="inlineStr">
        <is>
          <t>-48.427307, -5.29099</t>
        </is>
      </c>
      <c r="K126" s="19" t="n">
        <v>19.7349730405</v>
      </c>
    </row>
    <row r="127" ht="30" customHeight="1">
      <c r="A127" s="20" t="n">
        <v>1</v>
      </c>
      <c r="B127" s="21" t="inlineStr">
        <is>
          <t>TOCANTINÓPOLIS</t>
        </is>
      </c>
      <c r="C127" s="22" t="n">
        <v>19</v>
      </c>
      <c r="D127" s="18" t="inlineStr">
        <is>
          <t>TO-201</t>
        </is>
      </c>
      <c r="E127" s="21" t="inlineStr">
        <is>
          <t>RODOVIA TO-201 - TRECHO BURITI DO TOCANTINS - ESPERANTINA</t>
        </is>
      </c>
      <c r="F127" s="18" t="inlineStr">
        <is>
          <t>201ETO0230</t>
        </is>
      </c>
      <c r="G127" s="21" t="inlineStr">
        <is>
          <t>ENTR. TO-402 - INÍCIO PU VILA TOCANTINS</t>
        </is>
      </c>
      <c r="H127" s="18" t="inlineStr">
        <is>
          <t>PPS</t>
        </is>
      </c>
      <c r="I127" s="18" t="inlineStr">
        <is>
          <t>-48.427307, -5.29099</t>
        </is>
      </c>
      <c r="J127" s="18" t="inlineStr">
        <is>
          <t>-48.459363, -5.313937</t>
        </is>
      </c>
      <c r="K127" s="19" t="n">
        <v>4.432482688</v>
      </c>
    </row>
    <row r="128" ht="30" customHeight="1">
      <c r="A128" s="20" t="n">
        <v>1</v>
      </c>
      <c r="B128" s="21" t="inlineStr">
        <is>
          <t>TOCANTINÓPOLIS</t>
        </is>
      </c>
      <c r="C128" s="22" t="n">
        <v>19</v>
      </c>
      <c r="D128" s="18" t="inlineStr">
        <is>
          <t>TO-201</t>
        </is>
      </c>
      <c r="E128" s="21" t="inlineStr">
        <is>
          <t>RODOVIA TO-201 - TRECHO BURITI DO TOCANTINS - ESPERANTINA</t>
        </is>
      </c>
      <c r="F128" s="18" t="inlineStr">
        <is>
          <t>201ETO0232</t>
        </is>
      </c>
      <c r="G128" s="21" t="inlineStr">
        <is>
          <t>INÍCIO PU VILA TOCANTINS - FIM PU VILA TOCANTINS</t>
        </is>
      </c>
      <c r="H128" s="18" t="inlineStr">
        <is>
          <t>PSU</t>
        </is>
      </c>
      <c r="I128" s="18" t="inlineStr">
        <is>
          <t>-48.459363, -5.313937</t>
        </is>
      </c>
      <c r="J128" s="18" t="inlineStr">
        <is>
          <t>-48.472064, -5.316526</t>
        </is>
      </c>
      <c r="K128" s="19" t="n">
        <v>1.440251203</v>
      </c>
    </row>
    <row r="129" ht="30" customHeight="1">
      <c r="A129" s="20" t="n">
        <v>1</v>
      </c>
      <c r="B129" s="21" t="inlineStr">
        <is>
          <t>TOCANTINÓPOLIS</t>
        </is>
      </c>
      <c r="C129" s="22" t="n">
        <v>19</v>
      </c>
      <c r="D129" s="18" t="inlineStr">
        <is>
          <t>TO-201</t>
        </is>
      </c>
      <c r="E129" s="21" t="inlineStr">
        <is>
          <t>RODOVIA TO-201 - TRECHO BURITI DO TOCANTINS - ESPERANTINA</t>
        </is>
      </c>
      <c r="F129" s="18" t="inlineStr">
        <is>
          <t>201ETO0240</t>
        </is>
      </c>
      <c r="G129" s="21" t="inlineStr">
        <is>
          <t>FIM PU VILA TOCANTINS - INÍCIO PU ESPERANTINA</t>
        </is>
      </c>
      <c r="H129" s="18" t="inlineStr">
        <is>
          <t>PPS</t>
        </is>
      </c>
      <c r="I129" s="18" t="inlineStr">
        <is>
          <t>-48.472064, -5.316526</t>
        </is>
      </c>
      <c r="J129" s="18" t="inlineStr">
        <is>
          <t>-48.530665, -5.357301</t>
        </is>
      </c>
      <c r="K129" s="19" t="n">
        <v>8.0039525977</v>
      </c>
    </row>
    <row r="130" ht="15" customHeight="1">
      <c r="A130" s="20" t="n">
        <v>1</v>
      </c>
      <c r="B130" s="21" t="inlineStr">
        <is>
          <t>TOCANTINÓPOLIS</t>
        </is>
      </c>
      <c r="C130" s="22" t="n">
        <v>19</v>
      </c>
      <c r="D130" s="18" t="inlineStr">
        <is>
          <t>ACESSO</t>
        </is>
      </c>
      <c r="E130" s="21" t="inlineStr">
        <is>
          <t>ACESSO</t>
        </is>
      </c>
      <c r="F130" s="18" t="inlineStr">
        <is>
          <t>ACESSO03</t>
        </is>
      </c>
      <c r="G130" s="21" t="inlineStr">
        <is>
          <t>ENTR. TO-201 - DIV. TO-PA (PEDRA GRANDE)</t>
        </is>
      </c>
      <c r="H130" s="18" t="inlineStr">
        <is>
          <t>PPS</t>
        </is>
      </c>
      <c r="I130" s="18" t="inlineStr">
        <is>
          <t>-48.572235, -5.416725</t>
        </is>
      </c>
      <c r="J130" s="18" t="inlineStr">
        <is>
          <t>-48.55809, -5.373241</t>
        </is>
      </c>
      <c r="K130" s="19" t="n">
        <v>5.2173172988</v>
      </c>
    </row>
    <row r="131" ht="30" customHeight="1">
      <c r="A131" s="20" t="n">
        <v>1</v>
      </c>
      <c r="B131" s="21" t="inlineStr">
        <is>
          <t>TOCANTINÓPOLIS</t>
        </is>
      </c>
      <c r="C131" s="22" t="n">
        <v>19</v>
      </c>
      <c r="D131" s="18" t="inlineStr">
        <is>
          <t>TO-201</t>
        </is>
      </c>
      <c r="E131" s="21" t="inlineStr">
        <is>
          <t>RODOVIA TO-201 - TRECHO BURITI DO TOCANTINS - ESPERANTINA</t>
        </is>
      </c>
      <c r="F131" s="18" t="inlineStr">
        <is>
          <t>201ETO0242</t>
        </is>
      </c>
      <c r="G131" s="21" t="inlineStr">
        <is>
          <t>INÍCIO PU ESPERANTINA - INÍCIO DUPLICAÇÃO(PU ESPERANTINA)</t>
        </is>
      </c>
      <c r="H131" s="18" t="inlineStr">
        <is>
          <t>PSU</t>
        </is>
      </c>
      <c r="I131" s="18" t="inlineStr">
        <is>
          <t>-48.530665, -5.357301</t>
        </is>
      </c>
      <c r="J131" s="18" t="inlineStr">
        <is>
          <t>-48.535008349, -5.360562978</t>
        </is>
      </c>
      <c r="K131" s="19" t="n">
        <v>0.602455502</v>
      </c>
    </row>
    <row r="132" ht="30" customHeight="1">
      <c r="A132" s="20" t="n">
        <v>1</v>
      </c>
      <c r="B132" s="21" t="inlineStr">
        <is>
          <t>TOCANTINÓPOLIS</t>
        </is>
      </c>
      <c r="C132" s="22" t="n">
        <v>19</v>
      </c>
      <c r="D132" s="18" t="inlineStr">
        <is>
          <t>TO-201</t>
        </is>
      </c>
      <c r="E132" s="21" t="inlineStr">
        <is>
          <t>RODOVIA TO-201 - TRECHO BURITI DO TOCANTINS - ESPERANTINA</t>
        </is>
      </c>
      <c r="F132" s="18" t="inlineStr">
        <is>
          <t>201ETO0243D</t>
        </is>
      </c>
      <c r="G132" s="21" t="inlineStr">
        <is>
          <t>INÍCIO DUPLICAÇÃO(PU ESPERANTINA) - FIM DUPLICAÇÃO(PU ESPERANTINA)</t>
        </is>
      </c>
      <c r="H132" s="18" t="inlineStr">
        <is>
          <t>PDU</t>
        </is>
      </c>
      <c r="I132" s="18" t="inlineStr">
        <is>
          <t>-48.535008349, -5.360562978</t>
        </is>
      </c>
      <c r="J132" s="18" t="inlineStr">
        <is>
          <t>-48.539736947, -5.3646071</t>
        </is>
      </c>
      <c r="K132" s="19" t="n">
        <v>0.704304759</v>
      </c>
    </row>
    <row r="133" ht="30" customHeight="1">
      <c r="A133" s="20" t="n">
        <v>1</v>
      </c>
      <c r="B133" s="21" t="inlineStr">
        <is>
          <t>TOCANTINÓPOLIS</t>
        </is>
      </c>
      <c r="C133" s="22" t="n">
        <v>19</v>
      </c>
      <c r="D133" s="18" t="inlineStr">
        <is>
          <t>TO-201</t>
        </is>
      </c>
      <c r="E133" s="21" t="inlineStr">
        <is>
          <t>RODOVIA TO-201 - TRECHO BURITI DO TOCANTINS - ESPERANTINA</t>
        </is>
      </c>
      <c r="F133" s="18" t="inlineStr">
        <is>
          <t>201ETO0243E</t>
        </is>
      </c>
      <c r="G133" s="21" t="inlineStr">
        <is>
          <t>INÍCIO DUPLICAÇÃO(PU ESPERANTINA) - FIM DUPLICAÇÃO(PU ESPERANTINA)</t>
        </is>
      </c>
      <c r="H133" s="18" t="inlineStr">
        <is>
          <t>PDU</t>
        </is>
      </c>
      <c r="I133" s="18" t="inlineStr">
        <is>
          <t>-48.539736947, -5.3646071</t>
        </is>
      </c>
      <c r="J133" s="18" t="inlineStr">
        <is>
          <t>-48.535008349, -5.360562978</t>
        </is>
      </c>
      <c r="K133" s="19" t="n">
        <v>0.691127029</v>
      </c>
    </row>
    <row r="134" ht="30" customHeight="1">
      <c r="A134" s="20" t="n">
        <v>1</v>
      </c>
      <c r="B134" s="21" t="inlineStr">
        <is>
          <t>TOCANTINÓPOLIS</t>
        </is>
      </c>
      <c r="C134" s="22" t="n">
        <v>19</v>
      </c>
      <c r="D134" s="18" t="inlineStr">
        <is>
          <t>TO-201</t>
        </is>
      </c>
      <c r="E134" s="21" t="inlineStr">
        <is>
          <t>RODOVIA TO-201 - TRECHO BURITI DO TOCANTINS - ESPERANTINA</t>
        </is>
      </c>
      <c r="F134" s="18" t="inlineStr">
        <is>
          <t>201ETO0244</t>
        </is>
      </c>
      <c r="G134" s="21" t="inlineStr">
        <is>
          <t>FIM DUPLICAÇÃO(PU ESPERANTINA) - INÍCIO DUPLICAÇÃO(PU ESPERANTINA)</t>
        </is>
      </c>
      <c r="H134" s="18" t="inlineStr">
        <is>
          <t>PSU</t>
        </is>
      </c>
      <c r="I134" s="18" t="inlineStr">
        <is>
          <t>-48.543450731, -5.369160009</t>
        </is>
      </c>
      <c r="J134" s="18" t="inlineStr">
        <is>
          <t>-48.539736947, -5.3646071</t>
        </is>
      </c>
      <c r="K134" s="19" t="n">
        <v>0.799545434</v>
      </c>
    </row>
    <row r="135" ht="30" customHeight="1">
      <c r="A135" s="20" t="n">
        <v>1</v>
      </c>
      <c r="B135" s="21" t="inlineStr">
        <is>
          <t>TOCANTINÓPOLIS</t>
        </is>
      </c>
      <c r="C135" s="22" t="n">
        <v>19</v>
      </c>
      <c r="D135" s="18" t="inlineStr">
        <is>
          <t>TO-201</t>
        </is>
      </c>
      <c r="E135" s="21" t="inlineStr">
        <is>
          <t>RODOVIA TO-201 - TRECHO BURITI DO TOCANTINS - ESPERANTINA</t>
        </is>
      </c>
      <c r="F135" s="18" t="inlineStr">
        <is>
          <t>201ETO0245D</t>
        </is>
      </c>
      <c r="G135" s="21" t="inlineStr">
        <is>
          <t>INÍCIO DUPLICAÇÃO(PU ESPERANTINA) - FIM PU ESPERANTINA</t>
        </is>
      </c>
      <c r="H135" s="18" t="inlineStr">
        <is>
          <t>PDU</t>
        </is>
      </c>
      <c r="I135" s="18" t="inlineStr">
        <is>
          <t>-48.543450731, -5.369160009</t>
        </is>
      </c>
      <c r="J135" s="18" t="inlineStr">
        <is>
          <t>-48.544992, -5.370541</t>
        </is>
      </c>
      <c r="K135" s="19" t="n">
        <v>0.235713237</v>
      </c>
    </row>
    <row r="136" ht="30" customHeight="1">
      <c r="A136" s="20" t="n">
        <v>1</v>
      </c>
      <c r="B136" s="21" t="inlineStr">
        <is>
          <t>TOCANTINÓPOLIS</t>
        </is>
      </c>
      <c r="C136" s="22" t="n">
        <v>19</v>
      </c>
      <c r="D136" s="18" t="inlineStr">
        <is>
          <t>TO-201</t>
        </is>
      </c>
      <c r="E136" s="21" t="inlineStr">
        <is>
          <t>RODOVIA TO-201 - TRECHO BURITI DO TOCANTINS - ESPERANTINA</t>
        </is>
      </c>
      <c r="F136" s="18" t="inlineStr">
        <is>
          <t>201ETO0245E</t>
        </is>
      </c>
      <c r="G136" s="21" t="inlineStr">
        <is>
          <t>INÍCIO DUPLICAÇÃO(PU ESPERANTINA) - FIM PU ESPERANTINA</t>
        </is>
      </c>
      <c r="H136" s="18" t="inlineStr">
        <is>
          <t>PDU</t>
        </is>
      </c>
      <c r="I136" s="18" t="inlineStr">
        <is>
          <t>-48.543450731, -5.369160009</t>
        </is>
      </c>
      <c r="J136" s="18" t="inlineStr">
        <is>
          <t>-48.544992, -5.370541</t>
        </is>
      </c>
      <c r="K136" s="19" t="n">
        <v>0.231974676</v>
      </c>
    </row>
    <row r="137" ht="30" customHeight="1">
      <c r="A137" s="20" t="n">
        <v>1</v>
      </c>
      <c r="B137" s="21" t="inlineStr">
        <is>
          <t>TOCANTINÓPOLIS</t>
        </is>
      </c>
      <c r="C137" s="22" t="n">
        <v>19</v>
      </c>
      <c r="D137" s="18" t="inlineStr">
        <is>
          <t>TO-201</t>
        </is>
      </c>
      <c r="E137" s="21" t="inlineStr">
        <is>
          <t>RODOVIA TO-201 - TRECHO BURITI DO TOCANTINS - ESPERANTINA</t>
        </is>
      </c>
      <c r="F137" s="18" t="inlineStr">
        <is>
          <t>201ETO0250</t>
        </is>
      </c>
      <c r="G137" s="21" t="inlineStr">
        <is>
          <t>FIM PU ESPERANTINA - ENTR. ACESSO PEDRA GRANDE(RIO TOCATINS)</t>
        </is>
      </c>
      <c r="H137" s="18" t="inlineStr">
        <is>
          <t>PPS</t>
        </is>
      </c>
      <c r="I137" s="18" t="inlineStr">
        <is>
          <t>-48.55809, -5.373241</t>
        </is>
      </c>
      <c r="J137" s="18" t="inlineStr">
        <is>
          <t>-48.544992, -5.370541</t>
        </is>
      </c>
      <c r="K137" s="19" t="n">
        <v>1.490323574</v>
      </c>
    </row>
    <row r="138" ht="30" customHeight="1">
      <c r="A138" s="20" t="n">
        <v>1</v>
      </c>
      <c r="B138" s="21" t="inlineStr">
        <is>
          <t>TOCANTINÓPOLIS</t>
        </is>
      </c>
      <c r="C138" s="22" t="n">
        <v>20</v>
      </c>
      <c r="D138" s="18" t="inlineStr">
        <is>
          <t>TO-201</t>
        </is>
      </c>
      <c r="E138" s="21" t="inlineStr">
        <is>
          <t>RODOVIA TO-201 - TRECHO ESPERANTINA - DIVISA TO-MA</t>
        </is>
      </c>
      <c r="F138" s="18" t="inlineStr">
        <is>
          <t>201ETO0260</t>
        </is>
      </c>
      <c r="G138" s="21" t="inlineStr">
        <is>
          <t>ENTR. ACESSO PEDRA GRANDE(RIO TOCATINS) - PEDRA DE AMOLAR</t>
        </is>
      </c>
      <c r="H138" s="18" t="inlineStr">
        <is>
          <t>LEN</t>
        </is>
      </c>
      <c r="I138" s="18" t="inlineStr">
        <is>
          <t>-48.626757, -5.345945</t>
        </is>
      </c>
      <c r="J138" s="18" t="inlineStr">
        <is>
          <t>-48.55809, -5.373241</t>
        </is>
      </c>
      <c r="K138" s="19" t="n">
        <v>8.6329755821</v>
      </c>
    </row>
    <row r="139" ht="30" customHeight="1">
      <c r="A139" s="20" t="n">
        <v>1</v>
      </c>
      <c r="B139" s="21" t="inlineStr">
        <is>
          <t>TOCANTINÓPOLIS</t>
        </is>
      </c>
      <c r="C139" s="22" t="n">
        <v>20</v>
      </c>
      <c r="D139" s="18" t="inlineStr">
        <is>
          <t>TO-201</t>
        </is>
      </c>
      <c r="E139" s="21" t="inlineStr">
        <is>
          <t>RODOVIA TO-201 - TRECHO ESPERANTINA - DIVISA TO-MA</t>
        </is>
      </c>
      <c r="F139" s="18" t="inlineStr">
        <is>
          <t>201ETO0270</t>
        </is>
      </c>
      <c r="G139" s="21" t="inlineStr">
        <is>
          <t>PEDRA DE AMOLAR - RIO TOCANTINS(DIV. TO-MA)</t>
        </is>
      </c>
      <c r="H139" s="18" t="inlineStr">
        <is>
          <t>LEN</t>
        </is>
      </c>
      <c r="I139" s="18" t="inlineStr">
        <is>
          <t>-48.703175, -5.349907</t>
        </is>
      </c>
      <c r="J139" s="18" t="inlineStr">
        <is>
          <t>-48.626757, -5.345945</t>
        </is>
      </c>
      <c r="K139" s="19" t="n">
        <v>12.4683054361</v>
      </c>
    </row>
    <row r="140" ht="30" customHeight="1">
      <c r="A140" s="20" t="n">
        <v>1</v>
      </c>
      <c r="B140" s="21" t="inlineStr">
        <is>
          <t>TOCANTINÓPOLIS</t>
        </is>
      </c>
      <c r="C140" s="22" t="n">
        <v>21</v>
      </c>
      <c r="D140" s="18" t="inlineStr">
        <is>
          <t>TO-205</t>
        </is>
      </c>
      <c r="E140" s="21" t="inlineStr">
        <is>
          <t>RODOVIA TO-205 - TRECHO SÃO BENTO DO TOCANTINS - ENTR. TO-010</t>
        </is>
      </c>
      <c r="F140" s="18" t="inlineStr">
        <is>
          <t>205ETO0002</t>
        </is>
      </c>
      <c r="G140" s="21" t="inlineStr">
        <is>
          <t>ENTR. BR-230(PU SÃO BENTO DO TOCANTINS) - FIM PU SÃO BENTO DO TOCANTINS</t>
        </is>
      </c>
      <c r="H140" s="18" t="inlineStr">
        <is>
          <t>PSU</t>
        </is>
      </c>
      <c r="I140" s="18" t="inlineStr">
        <is>
          <t>-47.92714, -6.027173</t>
        </is>
      </c>
      <c r="J140" s="18" t="inlineStr">
        <is>
          <t>-47.92087515, -6.029331284</t>
        </is>
      </c>
      <c r="K140" s="19" t="n">
        <v>0.852719437</v>
      </c>
    </row>
    <row r="141" ht="30" customHeight="1">
      <c r="A141" s="20" t="n">
        <v>1</v>
      </c>
      <c r="B141" s="21" t="inlineStr">
        <is>
          <t>TOCANTINÓPOLIS</t>
        </is>
      </c>
      <c r="C141" s="22" t="n">
        <v>21</v>
      </c>
      <c r="D141" s="18" t="inlineStr">
        <is>
          <t>TO-205</t>
        </is>
      </c>
      <c r="E141" s="21" t="inlineStr">
        <is>
          <t>RODOVIA TO-205 - TRECHO SÃO BENTO DO TOCANTINS - ENTR. TO-010</t>
        </is>
      </c>
      <c r="F141" s="18" t="inlineStr">
        <is>
          <t>205ETO0010</t>
        </is>
      </c>
      <c r="G141" s="21" t="inlineStr">
        <is>
          <t>SÃO BENTO DO TO * TRECHO URBANO* - ENTR. TO-010 (CAMPO ALEGRE)</t>
        </is>
      </c>
      <c r="H141" s="18" t="inlineStr">
        <is>
          <t>LEN</t>
        </is>
      </c>
      <c r="I141" s="18" t="inlineStr">
        <is>
          <t>-47.92714, -6.027173</t>
        </is>
      </c>
      <c r="J141" s="18" t="inlineStr">
        <is>
          <t>-48.123409, -6.058179</t>
        </is>
      </c>
      <c r="K141" s="19" t="n">
        <v>25.67213231</v>
      </c>
    </row>
    <row r="142" ht="30" customHeight="1">
      <c r="A142" s="20" t="n">
        <v>1</v>
      </c>
      <c r="B142" s="21" t="inlineStr">
        <is>
          <t>TOCANTINÓPOLIS</t>
        </is>
      </c>
      <c r="C142" s="22" t="n">
        <v>25</v>
      </c>
      <c r="D142" s="18" t="inlineStr">
        <is>
          <t>TO-210</t>
        </is>
      </c>
      <c r="E142" s="21" t="inlineStr">
        <is>
          <t>RODOVIA TO-210 - TRECHO TOCANTINÓPOLIS - NAZARÉ</t>
        </is>
      </c>
      <c r="F142" s="18" t="inlineStr">
        <is>
          <t>210ETO0002</t>
        </is>
      </c>
      <c r="G142" s="21" t="inlineStr">
        <is>
          <t>RIO TOCANTINS(PU TOCANTINÓPOLIS) - INÍCIO DUPLICAÇÃO(PU TOCANTINÓPOLIS)</t>
        </is>
      </c>
      <c r="H142" s="18" t="inlineStr">
        <is>
          <t>PSU</t>
        </is>
      </c>
      <c r="I142" s="18" t="inlineStr">
        <is>
          <t>-47.42421418, -6.325797336</t>
        </is>
      </c>
      <c r="J142" s="18" t="inlineStr">
        <is>
          <t>-47.415936111, -6.332246111</t>
        </is>
      </c>
      <c r="K142" s="19" t="n">
        <v>1.535892766</v>
      </c>
    </row>
    <row r="143" ht="30" customFormat="1" customHeight="1" s="84">
      <c r="A143" s="79" t="n">
        <v>1</v>
      </c>
      <c r="B143" s="80" t="inlineStr">
        <is>
          <t>TOCANTINÓPOLIS</t>
        </is>
      </c>
      <c r="C143" s="81" t="n">
        <v>25</v>
      </c>
      <c r="D143" s="82" t="inlineStr">
        <is>
          <t>TO-210</t>
        </is>
      </c>
      <c r="E143" s="80" t="inlineStr">
        <is>
          <t>RODOVIA TO-210 - TRECHO TOCANTINÓPOLIS - NAZARÉ</t>
        </is>
      </c>
      <c r="F143" s="82" t="inlineStr">
        <is>
          <t>210ETO0010D</t>
        </is>
      </c>
      <c r="G143" s="80" t="inlineStr">
        <is>
          <t>INICIO DUPLICAÇÃO(PU TOCANTINÓPOLIS) - ENTR. TO-126(A)(PU TOCANTINOPOLIS)</t>
        </is>
      </c>
      <c r="H143" s="82" t="inlineStr">
        <is>
          <t>PDU</t>
        </is>
      </c>
      <c r="I143" s="82" t="inlineStr">
        <is>
          <t>-47.42734447, -6.325318391</t>
        </is>
      </c>
      <c r="J143" s="82" t="inlineStr">
        <is>
          <t>-47.424266534, -6.325765697</t>
        </is>
      </c>
      <c r="K143" s="83" t="n">
        <v>0.344753</v>
      </c>
    </row>
    <row r="144" ht="30" customFormat="1" customHeight="1" s="84">
      <c r="A144" s="79" t="n">
        <v>1</v>
      </c>
      <c r="B144" s="80" t="inlineStr">
        <is>
          <t>TOCANTINÓPOLIS</t>
        </is>
      </c>
      <c r="C144" s="81" t="n">
        <v>25</v>
      </c>
      <c r="D144" s="82" t="inlineStr">
        <is>
          <t>TO-210</t>
        </is>
      </c>
      <c r="E144" s="80" t="inlineStr">
        <is>
          <t>RODOVIA TO-210 - TRECHO TOCANTINÓPOLIS - NAZARÉ</t>
        </is>
      </c>
      <c r="F144" s="82" t="inlineStr">
        <is>
          <t>210ETO0010E</t>
        </is>
      </c>
      <c r="G144" s="80" t="inlineStr">
        <is>
          <t>INICIO DUPLICAÇÃO(PU TOCANTINÓPOLIS) - ENTR. TO-126(A)(PU TOCANTINOPOLIS)</t>
        </is>
      </c>
      <c r="H144" s="82" t="inlineStr">
        <is>
          <t>PDU</t>
        </is>
      </c>
      <c r="I144" s="82" t="inlineStr">
        <is>
          <t>-47.427304, -6.325162</t>
        </is>
      </c>
      <c r="J144" s="82" t="inlineStr">
        <is>
          <t>-47.42421418, -6.325797336</t>
        </is>
      </c>
      <c r="K144" s="83" t="n">
        <v>0.352279</v>
      </c>
    </row>
    <row r="145" ht="30" customFormat="1" customHeight="1" s="90">
      <c r="A145" s="85" t="n">
        <v>1</v>
      </c>
      <c r="B145" s="86" t="inlineStr">
        <is>
          <t>TOCANTINÓPOLIS</t>
        </is>
      </c>
      <c r="C145" s="87" t="n">
        <v>25</v>
      </c>
      <c r="D145" s="88" t="inlineStr">
        <is>
          <t>TO-210</t>
        </is>
      </c>
      <c r="E145" s="86" t="inlineStr">
        <is>
          <t>RODOVIA TO-210 - TRECHO TOCANTINÓPOLIS - NAZARÉ</t>
        </is>
      </c>
      <c r="F145" s="88" t="inlineStr">
        <is>
          <t>210ETO0020D</t>
        </is>
      </c>
      <c r="G145" s="86" t="inlineStr">
        <is>
          <t>ENTR. TO-126(B)(PU TOCANTINOPOLIS) - FIM DUPLICAÇÃO(PU TOCANTINÓPOLIS)</t>
        </is>
      </c>
      <c r="H145" s="88" t="inlineStr">
        <is>
          <t>PDU</t>
        </is>
      </c>
      <c r="I145" s="88" t="inlineStr">
        <is>
          <t>-47.440197531, -6.323592686</t>
        </is>
      </c>
      <c r="J145" s="88" t="inlineStr">
        <is>
          <t>-47.430506778, -6.324562642</t>
        </is>
      </c>
      <c r="K145" s="89" t="n">
        <v>1.090818246</v>
      </c>
    </row>
    <row r="146" ht="30" customHeight="1">
      <c r="A146" s="20" t="n">
        <v>1</v>
      </c>
      <c r="B146" s="21" t="inlineStr">
        <is>
          <t>TOCANTINÓPOLIS</t>
        </is>
      </c>
      <c r="C146" s="22" t="n">
        <v>25</v>
      </c>
      <c r="D146" s="18" t="inlineStr">
        <is>
          <t>TO-210</t>
        </is>
      </c>
      <c r="E146" s="21" t="inlineStr">
        <is>
          <t>RODOVIA TO-210 - TRECHO TOCANTINÓPOLIS - NAZARÉ</t>
        </is>
      </c>
      <c r="F146" s="18" t="inlineStr">
        <is>
          <t>210ETO0020E</t>
        </is>
      </c>
      <c r="G146" s="21" t="inlineStr">
        <is>
          <t>ENTR. TO-126(B)(PU TOCANTINOPOLIS) - FIM DUPLICAÇÃO(PU TOCANTINÓPOLIS)</t>
        </is>
      </c>
      <c r="H146" s="18" t="inlineStr">
        <is>
          <t>PDU</t>
        </is>
      </c>
      <c r="I146" s="18" t="inlineStr">
        <is>
          <t>-47.430544188, -6.324672109</t>
        </is>
      </c>
      <c r="J146" s="18" t="inlineStr">
        <is>
          <t>-47.440197531, -6.323592686</t>
        </is>
      </c>
      <c r="K146" s="19" t="n">
        <v>1.086609093</v>
      </c>
    </row>
    <row r="147" ht="30" customHeight="1">
      <c r="A147" s="20" t="n">
        <v>1</v>
      </c>
      <c r="B147" s="21" t="inlineStr">
        <is>
          <t>TOCANTINÓPOLIS</t>
        </is>
      </c>
      <c r="C147" s="22" t="n">
        <v>25</v>
      </c>
      <c r="D147" s="18" t="inlineStr">
        <is>
          <t>TO-210</t>
        </is>
      </c>
      <c r="E147" s="21" t="inlineStr">
        <is>
          <t>RODOVIA TO-210 - TRECHO TOCANTINÓPOLIS - NAZARÉ</t>
        </is>
      </c>
      <c r="F147" s="18" t="inlineStr">
        <is>
          <t>210ETO0030</t>
        </is>
      </c>
      <c r="G147" s="21" t="inlineStr">
        <is>
          <t>FIM DUPLICAÇÃO(PU TOCANTINÓPOLIS) - FIM PU TOCANTINOPOLIS</t>
        </is>
      </c>
      <c r="H147" s="18" t="inlineStr">
        <is>
          <t>PSU</t>
        </is>
      </c>
      <c r="I147" s="18" t="inlineStr">
        <is>
          <t>-47.446596, -6.326125</t>
        </is>
      </c>
      <c r="J147" s="18" t="inlineStr">
        <is>
          <t>-47.440197531, -6.323592686</t>
        </is>
      </c>
      <c r="K147" s="19" t="n">
        <v>0.761897862</v>
      </c>
    </row>
    <row r="148" ht="30" customHeight="1">
      <c r="A148" s="20" t="n">
        <v>1</v>
      </c>
      <c r="B148" s="21" t="inlineStr">
        <is>
          <t>TOCANTINÓPOLIS</t>
        </is>
      </c>
      <c r="C148" s="22" t="n">
        <v>25</v>
      </c>
      <c r="D148" s="18" t="inlineStr">
        <is>
          <t>TO-210</t>
        </is>
      </c>
      <c r="E148" s="21" t="inlineStr">
        <is>
          <t>RODOVIA TO-210 - TRECHO TOCANTINÓPOLIS - NAZARÉ</t>
        </is>
      </c>
      <c r="F148" s="18" t="inlineStr">
        <is>
          <t>210ETO0050</t>
        </is>
      </c>
      <c r="G148" s="21" t="inlineStr">
        <is>
          <t>FIM PU TOCANTINPOPOLIS - OLHO D'ÁGUA</t>
        </is>
      </c>
      <c r="H148" s="18" t="inlineStr">
        <is>
          <t>PPS</t>
        </is>
      </c>
      <c r="I148" s="18" t="inlineStr">
        <is>
          <t>-47.470707, -6.340536</t>
        </is>
      </c>
      <c r="J148" s="18" t="inlineStr">
        <is>
          <t>-47.446596, -6.326125</t>
        </is>
      </c>
      <c r="K148" s="19" t="n">
        <v>3.133713247</v>
      </c>
    </row>
    <row r="149" ht="30" customHeight="1">
      <c r="A149" s="20" t="n">
        <v>1</v>
      </c>
      <c r="B149" s="21" t="inlineStr">
        <is>
          <t>TOCANTINÓPOLIS</t>
        </is>
      </c>
      <c r="C149" s="22" t="n">
        <v>25</v>
      </c>
      <c r="D149" s="18" t="inlineStr">
        <is>
          <t>TO-210</t>
        </is>
      </c>
      <c r="E149" s="21" t="inlineStr">
        <is>
          <t>RODOVIA TO-210 - TRECHO TOCANTINÓPOLIS - NAZARÉ</t>
        </is>
      </c>
      <c r="F149" s="18" t="inlineStr">
        <is>
          <t>210ETO0060</t>
        </is>
      </c>
      <c r="G149" s="21" t="inlineStr">
        <is>
          <t>OLHO D'ÁGUA - PASSARINHO</t>
        </is>
      </c>
      <c r="H149" s="18" t="inlineStr">
        <is>
          <t>PPS</t>
        </is>
      </c>
      <c r="I149" s="18" t="inlineStr">
        <is>
          <t>-47.484167, -6.353746</t>
        </is>
      </c>
      <c r="J149" s="18" t="inlineStr">
        <is>
          <t>-47.470707, -6.340536</t>
        </is>
      </c>
      <c r="K149" s="19" t="n">
        <v>2.093728078</v>
      </c>
    </row>
    <row r="150" ht="30" customHeight="1">
      <c r="A150" s="20" t="n">
        <v>1</v>
      </c>
      <c r="B150" s="21" t="inlineStr">
        <is>
          <t>TOCANTINÓPOLIS</t>
        </is>
      </c>
      <c r="C150" s="22" t="n">
        <v>25</v>
      </c>
      <c r="D150" s="18" t="inlineStr">
        <is>
          <t>TO-210</t>
        </is>
      </c>
      <c r="E150" s="21" t="inlineStr">
        <is>
          <t>RODOVIA TO-210 - TRECHO TOCANTINÓPOLIS - NAZARÉ</t>
        </is>
      </c>
      <c r="F150" s="18" t="inlineStr">
        <is>
          <t>210ETO0070</t>
        </is>
      </c>
      <c r="G150" s="21" t="inlineStr">
        <is>
          <t>PASSARINHO - ENTR. ACESSO BR-230</t>
        </is>
      </c>
      <c r="H150" s="18" t="inlineStr">
        <is>
          <t>PPS</t>
        </is>
      </c>
      <c r="I150" s="18" t="inlineStr">
        <is>
          <t>-47.52959, -6.387043</t>
        </is>
      </c>
      <c r="J150" s="18" t="inlineStr">
        <is>
          <t>-47.484167, -6.353746</t>
        </is>
      </c>
      <c r="K150" s="19" t="n">
        <v>6.316927213</v>
      </c>
    </row>
    <row r="151" ht="30" customHeight="1">
      <c r="A151" s="20" t="n">
        <v>1</v>
      </c>
      <c r="B151" s="21" t="inlineStr">
        <is>
          <t>TOCANTINÓPOLIS</t>
        </is>
      </c>
      <c r="C151" s="22" t="n">
        <v>25</v>
      </c>
      <c r="D151" s="18" t="inlineStr">
        <is>
          <t>TO-210</t>
        </is>
      </c>
      <c r="E151" s="21" t="inlineStr">
        <is>
          <t>RODOVIA TO-210 - TRECHO TOCANTINÓPOLIS - NAZARÉ</t>
        </is>
      </c>
      <c r="F151" s="18" t="inlineStr">
        <is>
          <t>210ETO0090</t>
        </is>
      </c>
      <c r="G151" s="21" t="inlineStr">
        <is>
          <t>ENTR. ACESSO A BR-230 - GROTA DE AREIA</t>
        </is>
      </c>
      <c r="H151" s="18" t="inlineStr">
        <is>
          <t>LEN</t>
        </is>
      </c>
      <c r="I151" s="18" t="inlineStr">
        <is>
          <t>-47.52959, -6.387043</t>
        </is>
      </c>
      <c r="J151" s="18" t="inlineStr">
        <is>
          <t>-47.644297, -6.39176</t>
        </is>
      </c>
      <c r="K151" s="19" t="n">
        <v>14.492142475</v>
      </c>
    </row>
    <row r="152" ht="30" customHeight="1">
      <c r="A152" s="20" t="n">
        <v>1</v>
      </c>
      <c r="B152" s="21" t="inlineStr">
        <is>
          <t>TOCANTINÓPOLIS</t>
        </is>
      </c>
      <c r="C152" s="22" t="n">
        <v>25</v>
      </c>
      <c r="D152" s="18" t="inlineStr">
        <is>
          <t>TO-210</t>
        </is>
      </c>
      <c r="E152" s="21" t="inlineStr">
        <is>
          <t>RODOVIA TO-210 - TRECHO TOCANTINÓPOLIS - NAZARÉ</t>
        </is>
      </c>
      <c r="F152" s="18" t="inlineStr">
        <is>
          <t>210ETO0100</t>
        </is>
      </c>
      <c r="G152" s="21" t="inlineStr">
        <is>
          <t>GROTA DE AREIA - INÍCIO PAVIMENTAÇÃO(PU NAZARÉ)</t>
        </is>
      </c>
      <c r="H152" s="18" t="inlineStr">
        <is>
          <t>LEN</t>
        </is>
      </c>
      <c r="I152" s="18" t="inlineStr">
        <is>
          <t>-47.644297, -6.39176</t>
        </is>
      </c>
      <c r="J152" s="18" t="inlineStr">
        <is>
          <t>-47.654902, -6.382364</t>
        </is>
      </c>
      <c r="K152" s="19" t="n">
        <v>1.71397808</v>
      </c>
    </row>
    <row r="153" ht="30" customHeight="1">
      <c r="A153" s="20" t="n">
        <v>1</v>
      </c>
      <c r="B153" s="21" t="inlineStr">
        <is>
          <t>TOCANTINÓPOLIS</t>
        </is>
      </c>
      <c r="C153" s="22" t="n">
        <v>24</v>
      </c>
      <c r="D153" s="18" t="inlineStr">
        <is>
          <t>TO-210</t>
        </is>
      </c>
      <c r="E153" s="21" t="inlineStr">
        <is>
          <t>RODOVIA TO-210 - TRECHO NAZARÉ - ENTR. TO-134 (POVOADO GROTÃO DE NAZARÉ)</t>
        </is>
      </c>
      <c r="F153" s="18" t="inlineStr">
        <is>
          <t>210ETO0102</t>
        </is>
      </c>
      <c r="G153" s="21" t="inlineStr">
        <is>
          <t>INÍCIO PAVIMENTAÇÃO(PU NAZARÉ) - ENTR. TO-415(B)(PU NAZARÉ)</t>
        </is>
      </c>
      <c r="H153" s="18" t="inlineStr">
        <is>
          <t>PSU</t>
        </is>
      </c>
      <c r="I153" s="18" t="inlineStr">
        <is>
          <t>-47.662687, -6.37855</t>
        </is>
      </c>
      <c r="J153" s="18" t="inlineStr">
        <is>
          <t>-47.654902, -6.382364</t>
        </is>
      </c>
      <c r="K153" s="19" t="n">
        <v>0.9754420110000001</v>
      </c>
    </row>
    <row r="154" ht="30" customHeight="1">
      <c r="A154" s="20" t="n">
        <v>1</v>
      </c>
      <c r="B154" s="21" t="inlineStr">
        <is>
          <t>TOCANTINÓPOLIS</t>
        </is>
      </c>
      <c r="C154" s="22" t="n">
        <v>24</v>
      </c>
      <c r="D154" s="18" t="inlineStr">
        <is>
          <t>TO-210</t>
        </is>
      </c>
      <c r="E154" s="21" t="inlineStr">
        <is>
          <t>RODOVIA TO-210 - TRECHO NAZARÉ - ENTR. TO-134 (POVOADO GROTÃO DE NAZARÉ)</t>
        </is>
      </c>
      <c r="F154" s="18" t="inlineStr">
        <is>
          <t>210ETO0103</t>
        </is>
      </c>
      <c r="G154" s="21" t="inlineStr">
        <is>
          <t>ENTR. TO-415(B)(PU NAZARÉ) - ENTR. TO-415(A)(PU NAZARÉ)</t>
        </is>
      </c>
      <c r="H154" s="18" t="inlineStr">
        <is>
          <t>PSU</t>
        </is>
      </c>
      <c r="I154" s="18" t="inlineStr">
        <is>
          <t>-47.662972429, -6.375213705</t>
        </is>
      </c>
      <c r="J154" s="18" t="inlineStr">
        <is>
          <t>-47.662687, -6.37855</t>
        </is>
      </c>
      <c r="K154" s="19" t="n">
        <v>0.460997023</v>
      </c>
    </row>
    <row r="155" ht="30" customHeight="1">
      <c r="A155" s="20" t="n">
        <v>1</v>
      </c>
      <c r="B155" s="21" t="inlineStr">
        <is>
          <t>TOCANTINÓPOLIS</t>
        </is>
      </c>
      <c r="C155" s="22" t="n">
        <v>24</v>
      </c>
      <c r="D155" s="18" t="inlineStr">
        <is>
          <t>TO-210</t>
        </is>
      </c>
      <c r="E155" s="21" t="inlineStr">
        <is>
          <t>RODOVIA TO-210 - TRECHO NAZARÉ - ENTR. TO-134 (POVOADO GROTÃO DE NAZARÉ)</t>
        </is>
      </c>
      <c r="F155" s="18" t="inlineStr">
        <is>
          <t>210ETO0112</t>
        </is>
      </c>
      <c r="G155" s="21" t="inlineStr">
        <is>
          <t>ENTR. TO-415(A)(PU NAZARÉ) - FIM PU NAZARÉ</t>
        </is>
      </c>
      <c r="H155" s="18" t="inlineStr">
        <is>
          <t>PSU</t>
        </is>
      </c>
      <c r="I155" s="18" t="inlineStr">
        <is>
          <t>-47.662972429, -6.375213705</t>
        </is>
      </c>
      <c r="J155" s="18" t="inlineStr">
        <is>
          <t>-47.669505816, -6.372777364</t>
        </is>
      </c>
      <c r="K155" s="19" t="n">
        <v>0.773115589</v>
      </c>
    </row>
    <row r="156" ht="30" customHeight="1">
      <c r="A156" s="20" t="n">
        <v>1</v>
      </c>
      <c r="B156" s="21" t="inlineStr">
        <is>
          <t>TOCANTINÓPOLIS</t>
        </is>
      </c>
      <c r="C156" s="22" t="n">
        <v>24</v>
      </c>
      <c r="D156" s="18" t="inlineStr">
        <is>
          <t>TO-210</t>
        </is>
      </c>
      <c r="E156" s="21" t="inlineStr">
        <is>
          <t>RODOVIA TO-210 - TRECHO NAZARÉ - ENTR. TO-134 (POVOADO GROTÃO DE NAZARÉ)</t>
        </is>
      </c>
      <c r="F156" s="18" t="inlineStr">
        <is>
          <t>210ETO0140</t>
        </is>
      </c>
      <c r="G156" s="21" t="inlineStr">
        <is>
          <t>FIM PU NAZARÉ - MATA GRANDE</t>
        </is>
      </c>
      <c r="H156" s="18" t="inlineStr">
        <is>
          <t>PPS</t>
        </is>
      </c>
      <c r="I156" s="18" t="inlineStr">
        <is>
          <t>-47.669505816, -6.372777364</t>
        </is>
      </c>
      <c r="J156" s="18" t="inlineStr">
        <is>
          <t>-47.683071, -6.370534</t>
        </is>
      </c>
      <c r="K156" s="19" t="n">
        <v>1.563165078</v>
      </c>
    </row>
    <row r="157" ht="30" customHeight="1">
      <c r="A157" s="20" t="n">
        <v>1</v>
      </c>
      <c r="B157" s="21" t="inlineStr">
        <is>
          <t>TOCANTINÓPOLIS</t>
        </is>
      </c>
      <c r="C157" s="22" t="n">
        <v>24</v>
      </c>
      <c r="D157" s="18" t="inlineStr">
        <is>
          <t>TO-210</t>
        </is>
      </c>
      <c r="E157" s="21" t="inlineStr">
        <is>
          <t>RODOVIA TO-210 - TRECHO NAZARÉ - ENTR. TO-134 (POVOADO GROTÃO DE NAZARÉ)</t>
        </is>
      </c>
      <c r="F157" s="18" t="inlineStr">
        <is>
          <t>210ETO0150</t>
        </is>
      </c>
      <c r="G157" s="21" t="inlineStr">
        <is>
          <t>MATA GRANDE - ENTR. BR-230</t>
        </is>
      </c>
      <c r="H157" s="18" t="inlineStr">
        <is>
          <t>PPS</t>
        </is>
      </c>
      <c r="I157" s="18" t="inlineStr">
        <is>
          <t>-47.683071, -6.370534</t>
        </is>
      </c>
      <c r="J157" s="18" t="inlineStr">
        <is>
          <t>-47.711509, -6.36817</t>
        </is>
      </c>
      <c r="K157" s="19" t="n">
        <v>3.531980677</v>
      </c>
    </row>
    <row r="158" ht="30" customHeight="1">
      <c r="A158" s="20" t="n">
        <v>1</v>
      </c>
      <c r="B158" s="21" t="inlineStr">
        <is>
          <t>TOCANTINÓPOLIS</t>
        </is>
      </c>
      <c r="C158" s="22" t="n">
        <v>24</v>
      </c>
      <c r="D158" s="18" t="inlineStr">
        <is>
          <t>TO-210</t>
        </is>
      </c>
      <c r="E158" s="21" t="inlineStr">
        <is>
          <t>RODOVIA TO-210 - TRECHO NAZARÉ - ENTR. TO-134 (POVOADO GROTÃO DE NAZARÉ)</t>
        </is>
      </c>
      <c r="F158" s="18" t="inlineStr">
        <is>
          <t>210ETO0160</t>
        </is>
      </c>
      <c r="G158" s="21" t="inlineStr">
        <is>
          <t>ENTR. BR-230 - POV. VILA ROBERTINO</t>
        </is>
      </c>
      <c r="H158" s="18" t="inlineStr">
        <is>
          <t>PPS</t>
        </is>
      </c>
      <c r="I158" s="18" t="inlineStr">
        <is>
          <t>-47.711509, -6.36817</t>
        </is>
      </c>
      <c r="J158" s="18" t="inlineStr">
        <is>
          <t>-47.739693792, -6.373483664</t>
        </is>
      </c>
      <c r="K158" s="19" t="n">
        <v>3.194290128</v>
      </c>
    </row>
    <row r="159" ht="30" customHeight="1">
      <c r="A159" s="20" t="n">
        <v>1</v>
      </c>
      <c r="B159" s="21" t="inlineStr">
        <is>
          <t>TOCANTINÓPOLIS</t>
        </is>
      </c>
      <c r="C159" s="22" t="n">
        <v>24</v>
      </c>
      <c r="D159" s="18" t="inlineStr">
        <is>
          <t>TO-210</t>
        </is>
      </c>
      <c r="E159" s="21" t="inlineStr">
        <is>
          <t>RODOVIA TO-210 - TRECHO NAZARÉ - ENTR. TO-134 (POVOADO GROTÃO DE NAZARÉ)</t>
        </is>
      </c>
      <c r="F159" s="18" t="inlineStr">
        <is>
          <t>210ETO0170</t>
        </is>
      </c>
      <c r="G159" s="21" t="inlineStr">
        <is>
          <t>POV. VILA ROBERTINO - POV. PIAÇABA</t>
        </is>
      </c>
      <c r="H159" s="18" t="inlineStr">
        <is>
          <t>PPS</t>
        </is>
      </c>
      <c r="I159" s="18" t="inlineStr">
        <is>
          <t>-47.739693792, -6.373483664</t>
        </is>
      </c>
      <c r="J159" s="18" t="inlineStr">
        <is>
          <t>-47.792340273, -6.322374994</t>
        </is>
      </c>
      <c r="K159" s="19" t="n">
        <v>8.978143777</v>
      </c>
    </row>
    <row r="160" ht="30" customHeight="1">
      <c r="A160" s="20" t="n">
        <v>1</v>
      </c>
      <c r="B160" s="21" t="inlineStr">
        <is>
          <t>TOCANTINÓPOLIS</t>
        </is>
      </c>
      <c r="C160" s="22" t="n">
        <v>24</v>
      </c>
      <c r="D160" s="18" t="inlineStr">
        <is>
          <t>TO-210</t>
        </is>
      </c>
      <c r="E160" s="21" t="inlineStr">
        <is>
          <t>RODOVIA TO-210 - TRECHO NAZARÉ - ENTR. TO-134 (POVOADO GROTÃO DE NAZARÉ)</t>
        </is>
      </c>
      <c r="F160" s="18" t="inlineStr">
        <is>
          <t>210ETO0190</t>
        </is>
      </c>
      <c r="G160" s="21" t="inlineStr">
        <is>
          <t>POV. PIAÇABA - POV. PIRANHAS</t>
        </is>
      </c>
      <c r="H160" s="18" t="inlineStr">
        <is>
          <t>PPS</t>
        </is>
      </c>
      <c r="I160" s="18" t="inlineStr">
        <is>
          <t>-47.792340273, -6.322374994</t>
        </is>
      </c>
      <c r="J160" s="18" t="inlineStr">
        <is>
          <t>-47.819254083, -6.326318776</t>
        </is>
      </c>
      <c r="K160" s="19" t="n">
        <v>3.360913924</v>
      </c>
    </row>
    <row r="161" ht="30" customHeight="1">
      <c r="A161" s="20" t="n">
        <v>1</v>
      </c>
      <c r="B161" s="21" t="inlineStr">
        <is>
          <t>TOCANTINÓPOLIS</t>
        </is>
      </c>
      <c r="C161" s="22" t="n">
        <v>24</v>
      </c>
      <c r="D161" s="18" t="inlineStr">
        <is>
          <t>TO-210</t>
        </is>
      </c>
      <c r="E161" s="21" t="inlineStr">
        <is>
          <t>RODOVIA TO-210 - TRECHO NAZARÉ - ENTR. TO-134 (POVOADO GROTÃO DE NAZARÉ)</t>
        </is>
      </c>
      <c r="F161" s="18" t="inlineStr">
        <is>
          <t>210ETO0200</t>
        </is>
      </c>
      <c r="G161" s="21" t="inlineStr">
        <is>
          <t>POV. PIRANHAS - POV. BREJINHO</t>
        </is>
      </c>
      <c r="H161" s="18" t="inlineStr">
        <is>
          <t>PPS</t>
        </is>
      </c>
      <c r="I161" s="18" t="inlineStr">
        <is>
          <t>-47.819254083, -6.326318776</t>
        </is>
      </c>
      <c r="J161" s="18" t="inlineStr">
        <is>
          <t>-47.840585, -6.331646</t>
        </is>
      </c>
      <c r="K161" s="19" t="n">
        <v>2.468197931</v>
      </c>
    </row>
    <row r="162" ht="30" customHeight="1">
      <c r="A162" s="20" t="n">
        <v>1</v>
      </c>
      <c r="B162" s="21" t="inlineStr">
        <is>
          <t>TOCANTINÓPOLIS</t>
        </is>
      </c>
      <c r="C162" s="22" t="n">
        <v>24</v>
      </c>
      <c r="D162" s="18" t="inlineStr">
        <is>
          <t>TO-210</t>
        </is>
      </c>
      <c r="E162" s="21" t="inlineStr">
        <is>
          <t>RODOVIA TO-210 - TRECHO NAZARÉ - ENTR. TO-134 (POVOADO GROTÃO DE NAZARÉ)</t>
        </is>
      </c>
      <c r="F162" s="18" t="inlineStr">
        <is>
          <t>210ETO0210</t>
        </is>
      </c>
      <c r="G162" s="21" t="inlineStr">
        <is>
          <t>POV. BREJINHO - ENTR. TO-134(B)(POV. GROTÃO DE NAZARÉ)</t>
        </is>
      </c>
      <c r="H162" s="18" t="inlineStr">
        <is>
          <t>PPS</t>
        </is>
      </c>
      <c r="I162" s="18" t="inlineStr">
        <is>
          <t>-47.840585, -6.331646</t>
        </is>
      </c>
      <c r="J162" s="18" t="inlineStr">
        <is>
          <t>-47.86012, -6.335941</t>
        </is>
      </c>
      <c r="K162" s="19" t="n">
        <v>2.233616123</v>
      </c>
    </row>
    <row r="163" ht="15" customHeight="1">
      <c r="A163" s="20" t="n">
        <v>1</v>
      </c>
      <c r="B163" s="21" t="inlineStr">
        <is>
          <t>TOCANTINÓPOLIS</t>
        </is>
      </c>
      <c r="C163" s="22" t="n">
        <v>23</v>
      </c>
      <c r="D163" s="18" t="inlineStr">
        <is>
          <t>TO-210</t>
        </is>
      </c>
      <c r="E163" s="21" t="inlineStr">
        <is>
          <t>RODOVIA TO-210 - TRECHO ANGICO - ANANÁS</t>
        </is>
      </c>
      <c r="F163" s="18" t="inlineStr">
        <is>
          <t>210ETO0230</t>
        </is>
      </c>
      <c r="G163" s="21" t="inlineStr">
        <is>
          <t>ENTR. TO-134(A) - INÍCIO DUPLICAÇÃO(PU ANGICO)</t>
        </is>
      </c>
      <c r="H163" s="18" t="inlineStr">
        <is>
          <t>PPS</t>
        </is>
      </c>
      <c r="I163" s="18" t="inlineStr">
        <is>
          <t>-47.862029, -6.399091</t>
        </is>
      </c>
      <c r="J163" s="18" t="inlineStr">
        <is>
          <t>-47.863984911, -6.392496828</t>
        </is>
      </c>
      <c r="K163" s="19" t="n">
        <v>0.807864983</v>
      </c>
    </row>
    <row r="164" ht="30" customHeight="1">
      <c r="A164" s="20" t="n">
        <v>1</v>
      </c>
      <c r="B164" s="21" t="inlineStr">
        <is>
          <t>TOCANTINÓPOLIS</t>
        </is>
      </c>
      <c r="C164" s="22" t="n">
        <v>23</v>
      </c>
      <c r="D164" s="18" t="inlineStr">
        <is>
          <t>TO-210</t>
        </is>
      </c>
      <c r="E164" s="21" t="inlineStr">
        <is>
          <t>RODOVIA TO-210 - TRECHO ANGICO - ANANÁS</t>
        </is>
      </c>
      <c r="F164" s="18" t="inlineStr">
        <is>
          <t>210ETO0232D</t>
        </is>
      </c>
      <c r="G164" s="21" t="inlineStr">
        <is>
          <t>INÍCIO DUPLICAÇÃO(PU ANGICO) - FIM DUPLICAÇÃO(FIM PU ANGICO)</t>
        </is>
      </c>
      <c r="H164" s="18" t="inlineStr">
        <is>
          <t>PDU</t>
        </is>
      </c>
      <c r="I164" s="18" t="inlineStr">
        <is>
          <t>-47.872603, -6.389424</t>
        </is>
      </c>
      <c r="J164" s="18" t="inlineStr">
        <is>
          <t>-47.863984911, -6.392496828</t>
        </is>
      </c>
      <c r="K164" s="19" t="n">
        <v>1.101791724</v>
      </c>
    </row>
    <row r="165" ht="30" customHeight="1">
      <c r="A165" s="20" t="n">
        <v>1</v>
      </c>
      <c r="B165" s="21" t="inlineStr">
        <is>
          <t>TOCANTINÓPOLIS</t>
        </is>
      </c>
      <c r="C165" s="22" t="n">
        <v>23</v>
      </c>
      <c r="D165" s="18" t="inlineStr">
        <is>
          <t>TO-210</t>
        </is>
      </c>
      <c r="E165" s="21" t="inlineStr">
        <is>
          <t>RODOVIA TO-210 - TRECHO ANGICO - ANANÁS</t>
        </is>
      </c>
      <c r="F165" s="18" t="inlineStr">
        <is>
          <t>210ETO0232E</t>
        </is>
      </c>
      <c r="G165" s="21" t="inlineStr">
        <is>
          <t>INÍCIO DUPLICAÇÃO(PU ANGICO) - FIM DUPLICAÇÃO(FIM PU ANGICO)</t>
        </is>
      </c>
      <c r="H165" s="18" t="inlineStr">
        <is>
          <t>PDU</t>
        </is>
      </c>
      <c r="I165" s="18" t="inlineStr">
        <is>
          <t>-47.872603, -6.389424</t>
        </is>
      </c>
      <c r="J165" s="18" t="inlineStr">
        <is>
          <t>-47.863984911, -6.392496828</t>
        </is>
      </c>
      <c r="K165" s="19" t="n">
        <v>1.035524057</v>
      </c>
    </row>
    <row r="166" ht="15" customHeight="1">
      <c r="A166" s="20" t="n">
        <v>1</v>
      </c>
      <c r="B166" s="21" t="inlineStr">
        <is>
          <t>TOCANTINÓPOLIS</t>
        </is>
      </c>
      <c r="C166" s="22" t="n">
        <v>23</v>
      </c>
      <c r="D166" s="18" t="inlineStr">
        <is>
          <t>TO-210</t>
        </is>
      </c>
      <c r="E166" s="21" t="inlineStr">
        <is>
          <t>RODOVIA TO-210 - TRECHO ANGICO - ANANÁS</t>
        </is>
      </c>
      <c r="F166" s="18" t="inlineStr">
        <is>
          <t>210ETO0240</t>
        </is>
      </c>
      <c r="G166" s="21" t="inlineStr">
        <is>
          <t>FIM DUPLICAÇÃO(FIM PU ANGICO) - INÍCIO PU ANANÁS</t>
        </is>
      </c>
      <c r="H166" s="18" t="inlineStr">
        <is>
          <t>PPS</t>
        </is>
      </c>
      <c r="I166" s="18" t="inlineStr">
        <is>
          <t>-47.872603, -6.389424</t>
        </is>
      </c>
      <c r="J166" s="18" t="inlineStr">
        <is>
          <t>-48.064522, -6.378197</t>
        </is>
      </c>
      <c r="K166" s="19" t="n">
        <v>24.29754577</v>
      </c>
    </row>
    <row r="167" ht="15" customHeight="1">
      <c r="A167" s="20" t="n">
        <v>1</v>
      </c>
      <c r="B167" s="21" t="inlineStr">
        <is>
          <t>TOCANTINÓPOLIS</t>
        </is>
      </c>
      <c r="C167" s="22" t="n">
        <v>1</v>
      </c>
      <c r="D167" s="18" t="inlineStr">
        <is>
          <t>TO-210</t>
        </is>
      </c>
      <c r="E167" s="21" t="inlineStr">
        <is>
          <t>RODOVIA TO-210 - TRECHO ANGICO - ANANÁS</t>
        </is>
      </c>
      <c r="F167" s="18" t="inlineStr">
        <is>
          <t>210ETO0242</t>
        </is>
      </c>
      <c r="G167" s="21" t="inlineStr">
        <is>
          <t>INÍCIO PU ANANÁS - INÍCIO DUPLICAÇÃO(PU ANANÁS)</t>
        </is>
      </c>
      <c r="H167" s="18" t="inlineStr">
        <is>
          <t>PPS</t>
        </is>
      </c>
      <c r="I167" s="18" t="inlineStr">
        <is>
          <t>-48.064522, -6.378197</t>
        </is>
      </c>
      <c r="J167" s="18" t="inlineStr">
        <is>
          <t>-48.065692, -6.374942</t>
        </is>
      </c>
      <c r="K167" s="19" t="n">
        <v>0.383110693</v>
      </c>
    </row>
    <row r="168" ht="30" customHeight="1">
      <c r="A168" s="20" t="n">
        <v>1</v>
      </c>
      <c r="B168" s="21" t="inlineStr">
        <is>
          <t>TOCANTINÓPOLIS</t>
        </is>
      </c>
      <c r="C168" s="22" t="n">
        <v>23</v>
      </c>
      <c r="D168" s="18" t="inlineStr">
        <is>
          <t>TO-210</t>
        </is>
      </c>
      <c r="E168" s="21" t="inlineStr">
        <is>
          <t>RODOVIA TO-210 - TRECHO ANGICO - ANANÁS</t>
        </is>
      </c>
      <c r="F168" s="18" t="inlineStr">
        <is>
          <t>210ETO0243D</t>
        </is>
      </c>
      <c r="G168" s="21" t="inlineStr">
        <is>
          <t>INÍCIO DUPLICAÇÃO (PU ANANÁS) - ENTR. TO-010(A)(PU ANANÁS)</t>
        </is>
      </c>
      <c r="H168" s="18" t="inlineStr">
        <is>
          <t>PDU</t>
        </is>
      </c>
      <c r="I168" s="18" t="inlineStr">
        <is>
          <t>-48.065692, -6.374942</t>
        </is>
      </c>
      <c r="J168" s="18" t="inlineStr">
        <is>
          <t>-48.06889555, -6.372561004</t>
        </is>
      </c>
      <c r="K168" s="19" t="n">
        <v>0.442050089</v>
      </c>
    </row>
    <row r="169" ht="30" customHeight="1">
      <c r="A169" s="20" t="n">
        <v>1</v>
      </c>
      <c r="B169" s="21" t="inlineStr">
        <is>
          <t>TOCANTINÓPOLIS</t>
        </is>
      </c>
      <c r="C169" s="22" t="n">
        <v>23</v>
      </c>
      <c r="D169" s="18" t="inlineStr">
        <is>
          <t>TO-210</t>
        </is>
      </c>
      <c r="E169" s="21" t="inlineStr">
        <is>
          <t>RODOVIA TO-210 - TRECHO ANGICO - ANANÁS</t>
        </is>
      </c>
      <c r="F169" s="18" t="inlineStr">
        <is>
          <t>210ETO0243E</t>
        </is>
      </c>
      <c r="G169" s="21" t="inlineStr">
        <is>
          <t>INÍCIO DUPLICAÇÃO (PU ANANÁS) - ENTR. TO-010(A)(PU ANANÁS)</t>
        </is>
      </c>
      <c r="H169" s="18" t="inlineStr">
        <is>
          <t>PDU</t>
        </is>
      </c>
      <c r="I169" s="18" t="inlineStr">
        <is>
          <t>-48.068827289, -6.372451746</t>
        </is>
      </c>
      <c r="J169" s="18" t="inlineStr">
        <is>
          <t>-48.065692, -6.374942</t>
        </is>
      </c>
      <c r="K169" s="19" t="n">
        <v>0.450405965</v>
      </c>
    </row>
    <row r="170" ht="30" customHeight="1">
      <c r="A170" s="20" t="n">
        <v>1</v>
      </c>
      <c r="B170" s="21" t="inlineStr">
        <is>
          <t>TOCANTINÓPOLIS</t>
        </is>
      </c>
      <c r="C170" s="22" t="n">
        <v>22</v>
      </c>
      <c r="D170" s="18" t="inlineStr">
        <is>
          <t>TO-210</t>
        </is>
      </c>
      <c r="E170" s="21" t="inlineStr">
        <is>
          <t>RODOVIA TO-210 - TRECHO ENTR. TO-010 - DIVISA TO-PA (VILA ANTONINA)</t>
        </is>
      </c>
      <c r="F170" s="18" t="inlineStr">
        <is>
          <t>210ETO0290</t>
        </is>
      </c>
      <c r="G170" s="21" t="inlineStr">
        <is>
          <t>ENTR. TO-10(B) - VILA ANTONINA(RIO ARAGUAIA)</t>
        </is>
      </c>
      <c r="H170" s="18" t="inlineStr">
        <is>
          <t>LEN</t>
        </is>
      </c>
      <c r="I170" s="18" t="inlineStr">
        <is>
          <t>-48.304689315, -6.123077185</t>
        </is>
      </c>
      <c r="J170" s="18" t="inlineStr">
        <is>
          <t>-48.096642, -6.314958</t>
        </is>
      </c>
      <c r="K170" s="19" t="n">
        <v>38.3495487003</v>
      </c>
    </row>
    <row r="171" ht="15" customHeight="1">
      <c r="A171" s="20" t="n">
        <v>1</v>
      </c>
      <c r="B171" s="21" t="inlineStr">
        <is>
          <t>TOCANTINÓPOLIS</t>
        </is>
      </c>
      <c r="C171" s="22" t="n">
        <v>25</v>
      </c>
      <c r="D171" s="18" t="inlineStr">
        <is>
          <t>ACESSO</t>
        </is>
      </c>
      <c r="E171" s="21" t="inlineStr">
        <is>
          <t>ACESSO</t>
        </is>
      </c>
      <c r="F171" s="18" t="inlineStr">
        <is>
          <t>ACESSO04</t>
        </is>
      </c>
      <c r="G171" s="21" t="inlineStr">
        <is>
          <t>ENTR. TO-210 - ENTR. BR-230</t>
        </is>
      </c>
      <c r="H171" s="18" t="inlineStr">
        <is>
          <t>PPS</t>
        </is>
      </c>
      <c r="I171" s="18" t="inlineStr">
        <is>
          <t>-47.52959, -6.387043</t>
        </is>
      </c>
      <c r="J171" s="18" t="inlineStr">
        <is>
          <t>-47.539397, -6.426659</t>
        </is>
      </c>
      <c r="K171" s="19" t="n">
        <v>4.516254931</v>
      </c>
    </row>
    <row r="172" ht="30" customHeight="1">
      <c r="A172" s="20" t="n">
        <v>1</v>
      </c>
      <c r="B172" s="21" t="inlineStr">
        <is>
          <t>TOCANTINÓPOLIS</t>
        </is>
      </c>
      <c r="C172" s="22" t="n">
        <v>26</v>
      </c>
      <c r="D172" s="18" t="inlineStr">
        <is>
          <t>TO-402</t>
        </is>
      </c>
      <c r="E172" s="21" t="inlineStr">
        <is>
          <t>RODOVIA TO-402 - TRECHO DIVISA TO-MA (VILA JURANDIR BELIZARIO) - ENTR. TO-201</t>
        </is>
      </c>
      <c r="F172" s="18" t="inlineStr">
        <is>
          <t>402ETO0010</t>
        </is>
      </c>
      <c r="G172" s="21" t="inlineStr">
        <is>
          <t>DIV. TO-MA - ENTR. TO-201</t>
        </is>
      </c>
      <c r="H172" s="18" t="inlineStr">
        <is>
          <t>LEN</t>
        </is>
      </c>
      <c r="I172" s="18" t="inlineStr">
        <is>
          <t>-48.427307, -5.29099</t>
        </is>
      </c>
      <c r="J172" s="18" t="inlineStr">
        <is>
          <t>-48.434592511, -5.187064707</t>
        </is>
      </c>
      <c r="K172" s="19" t="n">
        <v>14.3303917034</v>
      </c>
    </row>
    <row r="173" ht="30" customHeight="1">
      <c r="A173" s="20" t="n">
        <v>1</v>
      </c>
      <c r="B173" s="21" t="inlineStr">
        <is>
          <t>TOCANTINÓPOLIS</t>
        </is>
      </c>
      <c r="C173" s="22" t="n">
        <v>27</v>
      </c>
      <c r="D173" s="18" t="inlineStr">
        <is>
          <t>TO-403</t>
        </is>
      </c>
      <c r="E173" s="21" t="inlineStr">
        <is>
          <t>RODOVIA TO-403 - TRECHO CARRASCO BONITO - SAMPAIO</t>
        </is>
      </c>
      <c r="F173" s="18" t="inlineStr">
        <is>
          <t>403ETO0005</t>
        </is>
      </c>
      <c r="G173" s="21" t="inlineStr">
        <is>
          <t>ENTR. TO-407(PU CARRASCO BONITO) - FIM PAVIMENTAÇÃO(PU CARRASCO BONITO)</t>
        </is>
      </c>
      <c r="H173" s="18" t="inlineStr">
        <is>
          <t>PSU</t>
        </is>
      </c>
      <c r="I173" s="18" t="inlineStr">
        <is>
          <t>-48.032388482, -5.323607922</t>
        </is>
      </c>
      <c r="J173" s="18" t="inlineStr">
        <is>
          <t>-48.033490162, -5.322937023</t>
        </is>
      </c>
      <c r="K173" s="19" t="n">
        <v>0.146375933</v>
      </c>
    </row>
    <row r="174" ht="30" customHeight="1">
      <c r="A174" s="20" t="n">
        <v>1</v>
      </c>
      <c r="B174" s="21" t="inlineStr">
        <is>
          <t>TOCANTINÓPOLIS</t>
        </is>
      </c>
      <c r="C174" s="22" t="n">
        <v>27</v>
      </c>
      <c r="D174" s="18" t="inlineStr">
        <is>
          <t>TO-403</t>
        </is>
      </c>
      <c r="E174" s="21" t="inlineStr">
        <is>
          <t>RODOVIA TO-403 - TRECHO CARRASCO BONITO - SAMPAIO</t>
        </is>
      </c>
      <c r="F174" s="18" t="inlineStr">
        <is>
          <t>403ETO0010</t>
        </is>
      </c>
      <c r="G174" s="21" t="inlineStr">
        <is>
          <t>FIM PAVIMENTAÇÃO(PU CARRASCO BONITO) - INÍCIO PAVIMENTAÇÃO(PU CACHIADO)</t>
        </is>
      </c>
      <c r="H174" s="18" t="inlineStr">
        <is>
          <t>LEN</t>
        </is>
      </c>
      <c r="I174" s="18" t="inlineStr">
        <is>
          <t>-47.941047, -5.353256</t>
        </is>
      </c>
      <c r="J174" s="18" t="inlineStr">
        <is>
          <t>-48.032388482, -5.323607922</t>
        </is>
      </c>
      <c r="K174" s="19" t="n">
        <v>11.10144866</v>
      </c>
    </row>
    <row r="175" ht="30" customHeight="1">
      <c r="A175" s="20" t="n">
        <v>1</v>
      </c>
      <c r="B175" s="21" t="inlineStr">
        <is>
          <t>TOCANTINÓPOLIS</t>
        </is>
      </c>
      <c r="C175" s="22" t="n">
        <v>27</v>
      </c>
      <c r="D175" s="18" t="inlineStr">
        <is>
          <t>TO-403</t>
        </is>
      </c>
      <c r="E175" s="21" t="inlineStr">
        <is>
          <t>RODOVIA TO-403 - TRECHO CARRASCO BONITO - SAMPAIO</t>
        </is>
      </c>
      <c r="F175" s="18" t="inlineStr">
        <is>
          <t>403ETO0012</t>
        </is>
      </c>
      <c r="G175" s="21" t="inlineStr">
        <is>
          <t>INÍCIO PAVIMENTAÇÃO(PU CACHIADO) - FIM PAVIMENTAÇÃO(PU CACHIADO)</t>
        </is>
      </c>
      <c r="H175" s="18" t="inlineStr">
        <is>
          <t>PSU</t>
        </is>
      </c>
      <c r="I175" s="18" t="inlineStr">
        <is>
          <t>-47.941047, -5.353256</t>
        </is>
      </c>
      <c r="J175" s="18" t="inlineStr">
        <is>
          <t>-47.93838, -5.346844</t>
        </is>
      </c>
      <c r="K175" s="19" t="n">
        <v>0.805267514</v>
      </c>
    </row>
    <row r="176" ht="30" customHeight="1">
      <c r="A176" s="20" t="n">
        <v>1</v>
      </c>
      <c r="B176" s="21" t="inlineStr">
        <is>
          <t>TOCANTINÓPOLIS</t>
        </is>
      </c>
      <c r="C176" s="22" t="n">
        <v>27</v>
      </c>
      <c r="D176" s="18" t="inlineStr">
        <is>
          <t>TO-403</t>
        </is>
      </c>
      <c r="E176" s="21" t="inlineStr">
        <is>
          <t>RODOVIA TO-403 - TRECHO CARRASCO BONITO - SAMPAIO</t>
        </is>
      </c>
      <c r="F176" s="18" t="inlineStr">
        <is>
          <t>403ETO0020</t>
        </is>
      </c>
      <c r="G176" s="21" t="inlineStr">
        <is>
          <t>FIM PAVIMENTAÇÃO(PU CACHIADO) - INÍCIO PU SAMPAIO</t>
        </is>
      </c>
      <c r="H176" s="18" t="inlineStr">
        <is>
          <t>LEN</t>
        </is>
      </c>
      <c r="I176" s="18" t="inlineStr">
        <is>
          <t>-47.93838, -5.346844</t>
        </is>
      </c>
      <c r="J176" s="18" t="inlineStr">
        <is>
          <t>-47.881246, -5.349265</t>
        </is>
      </c>
      <c r="K176" s="19" t="n">
        <v>6.963946257</v>
      </c>
    </row>
    <row r="177" ht="30" customHeight="1">
      <c r="A177" s="20" t="n">
        <v>1</v>
      </c>
      <c r="B177" s="21" t="inlineStr">
        <is>
          <t>TOCANTINÓPOLIS</t>
        </is>
      </c>
      <c r="C177" s="22" t="n">
        <v>28</v>
      </c>
      <c r="D177" s="18" t="inlineStr">
        <is>
          <t>TO-403</t>
        </is>
      </c>
      <c r="E177" s="21" t="inlineStr">
        <is>
          <t>RODOVIA TO-403 - TRECHO SAMPAIO - ENTR. TO-404 (ITAÚBA)</t>
        </is>
      </c>
      <c r="F177" s="18" t="inlineStr">
        <is>
          <t>403ETO0021</t>
        </is>
      </c>
      <c r="G177" s="21" t="inlineStr">
        <is>
          <t>INÍCIO PU SAMPAIO - INÍCIO DUPLICAÇÃO(PU SAMPAIO)</t>
        </is>
      </c>
      <c r="H177" s="18" t="inlineStr">
        <is>
          <t>PSU</t>
        </is>
      </c>
      <c r="I177" s="18" t="inlineStr">
        <is>
          <t>-47.881246, -5.349265</t>
        </is>
      </c>
      <c r="J177" s="18" t="inlineStr">
        <is>
          <t>-47.877158755, -5.350653304</t>
        </is>
      </c>
      <c r="K177" s="19" t="n">
        <v>0.594673302</v>
      </c>
    </row>
    <row r="178" ht="30" customHeight="1">
      <c r="A178" s="20" t="n">
        <v>1</v>
      </c>
      <c r="B178" s="21" t="inlineStr">
        <is>
          <t>TOCANTINÓPOLIS</t>
        </is>
      </c>
      <c r="C178" s="22" t="n">
        <v>28</v>
      </c>
      <c r="D178" s="18" t="inlineStr">
        <is>
          <t>TO-403</t>
        </is>
      </c>
      <c r="E178" s="21" t="inlineStr">
        <is>
          <t>RODOVIA TO-403 - TRECHO SAMPAIO - ENTR. TO-404 (ITAÚBA)</t>
        </is>
      </c>
      <c r="F178" s="18" t="inlineStr">
        <is>
          <t>403ETO0022D</t>
        </is>
      </c>
      <c r="G178" s="21" t="inlineStr">
        <is>
          <t>INÍCIO DUPLICAÇÃO(PU SAMPAIO) - FIM DUPLICAÇÃO(PU SAMPAIO)</t>
        </is>
      </c>
      <c r="H178" s="18" t="inlineStr">
        <is>
          <t>PDU</t>
        </is>
      </c>
      <c r="I178" s="18" t="inlineStr">
        <is>
          <t>-47.877158755, -5.350653304</t>
        </is>
      </c>
      <c r="J178" s="18" t="inlineStr">
        <is>
          <t>-47.877818, -5.353999</t>
        </is>
      </c>
      <c r="K178" s="19" t="n">
        <v>0.397431121</v>
      </c>
    </row>
    <row r="179" ht="30" customHeight="1">
      <c r="A179" s="20" t="n">
        <v>1</v>
      </c>
      <c r="B179" s="21" t="inlineStr">
        <is>
          <t>TOCANTINÓPOLIS</t>
        </is>
      </c>
      <c r="C179" s="22" t="n">
        <v>28</v>
      </c>
      <c r="D179" s="18" t="inlineStr">
        <is>
          <t>TO-403</t>
        </is>
      </c>
      <c r="E179" s="21" t="inlineStr">
        <is>
          <t>RODOVIA TO-403 - TRECHO SAMPAIO - ENTR. TO-404 (ITAÚBA)</t>
        </is>
      </c>
      <c r="F179" s="18" t="inlineStr">
        <is>
          <t>403ETO0022E</t>
        </is>
      </c>
      <c r="G179" s="21" t="inlineStr">
        <is>
          <t>INÍCIO DUPLICAÇÃO(PU SAMPAIO) - FIM DUPLICAÇÃO(PU SAMPAIO)</t>
        </is>
      </c>
      <c r="H179" s="18" t="inlineStr">
        <is>
          <t>PDU</t>
        </is>
      </c>
      <c r="I179" s="18" t="inlineStr">
        <is>
          <t>-47.877158755, -5.350653304</t>
        </is>
      </c>
      <c r="J179" s="18" t="inlineStr">
        <is>
          <t>-47.877915, -5.353857</t>
        </is>
      </c>
      <c r="K179" s="19" t="n">
        <v>0.449755725</v>
      </c>
    </row>
    <row r="180" ht="30" customHeight="1">
      <c r="A180" s="20" t="n">
        <v>1</v>
      </c>
      <c r="B180" s="21" t="inlineStr">
        <is>
          <t>TOCANTINÓPOLIS</t>
        </is>
      </c>
      <c r="C180" s="22" t="n">
        <v>28</v>
      </c>
      <c r="D180" s="18" t="inlineStr">
        <is>
          <t>TO-403</t>
        </is>
      </c>
      <c r="E180" s="21" t="inlineStr">
        <is>
          <t>RODOVIA TO-403 - TRECHO SAMPAIO - ENTR. TO-404 (ITAÚBA)</t>
        </is>
      </c>
      <c r="F180" s="18" t="inlineStr">
        <is>
          <t>403ETO0023</t>
        </is>
      </c>
      <c r="G180" s="21" t="inlineStr">
        <is>
          <t>FIM DUPLICAÇÃO(PU SAMPAIO) - FIM PU SAMPAIO</t>
        </is>
      </c>
      <c r="H180" s="18" t="inlineStr">
        <is>
          <t>PSU</t>
        </is>
      </c>
      <c r="I180" s="18" t="inlineStr">
        <is>
          <t>-47.877915, -5.353857</t>
        </is>
      </c>
      <c r="J180" s="18" t="inlineStr">
        <is>
          <t>-47.877163, -5.35616</t>
        </is>
      </c>
      <c r="K180" s="19" t="n">
        <v>0.26958981</v>
      </c>
    </row>
    <row r="181" ht="30" customHeight="1">
      <c r="A181" s="20" t="n">
        <v>1</v>
      </c>
      <c r="B181" s="21" t="inlineStr">
        <is>
          <t>TOCANTINÓPOLIS</t>
        </is>
      </c>
      <c r="C181" s="22" t="n">
        <v>28</v>
      </c>
      <c r="D181" s="18" t="inlineStr">
        <is>
          <t>TO-403</t>
        </is>
      </c>
      <c r="E181" s="21" t="inlineStr">
        <is>
          <t>RODOVIA TO-403 - TRECHO SAMPAIO - ENTR. TO-404 (ITAÚBA)</t>
        </is>
      </c>
      <c r="F181" s="18" t="inlineStr">
        <is>
          <t>403ETO0030</t>
        </is>
      </c>
      <c r="G181" s="21" t="inlineStr">
        <is>
          <t>FIM PU SAMPAIO - ENTR. TO-404(ITAÚBA)</t>
        </is>
      </c>
      <c r="H181" s="18" t="inlineStr">
        <is>
          <t>PPS</t>
        </is>
      </c>
      <c r="I181" s="18" t="inlineStr">
        <is>
          <t>-47.877163, -5.35616</t>
        </is>
      </c>
      <c r="J181" s="18" t="inlineStr">
        <is>
          <t>-47.862198, -5.427358</t>
        </is>
      </c>
      <c r="K181" s="19" t="n">
        <v>8.455880744</v>
      </c>
    </row>
    <row r="182" ht="30" customHeight="1">
      <c r="A182" s="20" t="n">
        <v>1</v>
      </c>
      <c r="B182" s="21" t="inlineStr">
        <is>
          <t>TOCANTINÓPOLIS</t>
        </is>
      </c>
      <c r="C182" s="22" t="n">
        <v>30</v>
      </c>
      <c r="D182" s="18" t="inlineStr">
        <is>
          <t>TO-404</t>
        </is>
      </c>
      <c r="E182" s="21" t="inlineStr">
        <is>
          <t>RODOVIA TO-404 - TRECHO AUGUSTINÓPOLIS - PRAIA NORTE</t>
        </is>
      </c>
      <c r="F182" s="18" t="inlineStr">
        <is>
          <t>404ETO0005</t>
        </is>
      </c>
      <c r="G182" s="21" t="inlineStr">
        <is>
          <t>RIO TOCANTINS(PU PRAIA NORTE) - FIM PU PRAIA NORTE</t>
        </is>
      </c>
      <c r="H182" s="18" t="inlineStr">
        <is>
          <t>PSU</t>
        </is>
      </c>
      <c r="I182" s="18" t="inlineStr">
        <is>
          <t>-47.816144, -5.398616</t>
        </is>
      </c>
      <c r="J182" s="18" t="inlineStr">
        <is>
          <t>-47.813137778, -5.394118239</t>
        </is>
      </c>
      <c r="K182" s="19" t="n">
        <v>0.603379279</v>
      </c>
    </row>
    <row r="183" ht="30" customHeight="1">
      <c r="A183" s="20" t="n">
        <v>1</v>
      </c>
      <c r="B183" s="21" t="inlineStr">
        <is>
          <t>TOCANTINÓPOLIS</t>
        </is>
      </c>
      <c r="C183" s="22" t="n">
        <v>30</v>
      </c>
      <c r="D183" s="18" t="inlineStr">
        <is>
          <t>TO-404</t>
        </is>
      </c>
      <c r="E183" s="21" t="inlineStr">
        <is>
          <t>RODOVIA TO-404 - TRECHO AUGUSTINÓPOLIS - PRAIA NORTE</t>
        </is>
      </c>
      <c r="F183" s="18" t="inlineStr">
        <is>
          <t>404ETO0010</t>
        </is>
      </c>
      <c r="G183" s="21" t="inlineStr">
        <is>
          <t>FIM PU PRAIA NORTE - ENTR. TO-403(ITAÚBA)</t>
        </is>
      </c>
      <c r="H183" s="18" t="inlineStr">
        <is>
          <t>PPS</t>
        </is>
      </c>
      <c r="I183" s="18" t="inlineStr">
        <is>
          <t>-47.816144, -5.398616</t>
        </is>
      </c>
      <c r="J183" s="18" t="inlineStr">
        <is>
          <t>-47.862198, -5.427358</t>
        </is>
      </c>
      <c r="K183" s="19" t="n">
        <v>6.041191832</v>
      </c>
    </row>
    <row r="184" ht="30" customHeight="1">
      <c r="A184" s="20" t="n">
        <v>1</v>
      </c>
      <c r="B184" s="21" t="inlineStr">
        <is>
          <t>TOCANTINÓPOLIS</t>
        </is>
      </c>
      <c r="C184" s="22" t="n">
        <v>30</v>
      </c>
      <c r="D184" s="18" t="inlineStr">
        <is>
          <t>TO-404</t>
        </is>
      </c>
      <c r="E184" s="21" t="inlineStr">
        <is>
          <t>RODOVIA TO-404 - TRECHO AUGUSTINÓPOLIS - PRAIA NORTE</t>
        </is>
      </c>
      <c r="F184" s="18" t="inlineStr">
        <is>
          <t>404ETO0020</t>
        </is>
      </c>
      <c r="G184" s="21" t="inlineStr">
        <is>
          <t>ENTR. TO-403(ITAÚBA) - INÍCIO PU AUGUSTINÓPOLIS</t>
        </is>
      </c>
      <c r="H184" s="18" t="inlineStr">
        <is>
          <t>PPS</t>
        </is>
      </c>
      <c r="I184" s="18" t="inlineStr">
        <is>
          <t>-47.862198, -5.427358</t>
        </is>
      </c>
      <c r="J184" s="18" t="inlineStr">
        <is>
          <t>-47.881748, -5.454989</t>
        </is>
      </c>
      <c r="K184" s="19" t="n">
        <v>3.872404011</v>
      </c>
    </row>
    <row r="185" ht="30" customHeight="1">
      <c r="A185" s="20" t="n">
        <v>1</v>
      </c>
      <c r="B185" s="21" t="inlineStr">
        <is>
          <t>TOCANTINÓPOLIS</t>
        </is>
      </c>
      <c r="C185" s="22" t="n">
        <v>30</v>
      </c>
      <c r="D185" s="18" t="inlineStr">
        <is>
          <t>TO-404</t>
        </is>
      </c>
      <c r="E185" s="21" t="inlineStr">
        <is>
          <t>RODOVIA TO-404 - TRECHO AUGUSTINÓPOLIS - PRAIA NORTE</t>
        </is>
      </c>
      <c r="F185" s="18" t="inlineStr">
        <is>
          <t>404ETO0022</t>
        </is>
      </c>
      <c r="G185" s="21" t="inlineStr">
        <is>
          <t>INÍCIO PU AUGUSTINÓPOLIS - ENTR. TO-201(PU AUGUSTINÓPOLIS)</t>
        </is>
      </c>
      <c r="H185" s="18" t="inlineStr">
        <is>
          <t>PSU</t>
        </is>
      </c>
      <c r="I185" s="18" t="inlineStr">
        <is>
          <t>-47.881748, -5.454989</t>
        </is>
      </c>
      <c r="J185" s="18" t="inlineStr">
        <is>
          <t>-47.89783904, -5.46386678</t>
        </is>
      </c>
      <c r="K185" s="19" t="n">
        <v>2.129293882</v>
      </c>
    </row>
    <row r="186" ht="30" customHeight="1">
      <c r="A186" s="20" t="n">
        <v>1</v>
      </c>
      <c r="B186" s="21" t="inlineStr">
        <is>
          <t>TOCANTINÓPOLIS</t>
        </is>
      </c>
      <c r="C186" s="22" t="n">
        <v>29</v>
      </c>
      <c r="D186" s="18" t="inlineStr">
        <is>
          <t>TO-404</t>
        </is>
      </c>
      <c r="E186" s="21" t="inlineStr">
        <is>
          <t>RODOVIA TO-404 - TRECHO AUGUSTINÓPOLIS - ENTR. TO-010 (POVOADO MATA VELHA)</t>
        </is>
      </c>
      <c r="F186" s="18" t="inlineStr">
        <is>
          <t>404ETO0030</t>
        </is>
      </c>
      <c r="G186" s="21" t="inlineStr">
        <is>
          <t>ENTR. TO-201(PU AUGUSTINÓPOLIS) - DEZESSEIS MIL</t>
        </is>
      </c>
      <c r="H186" s="18" t="inlineStr">
        <is>
          <t>PPS</t>
        </is>
      </c>
      <c r="I186" s="18" t="inlineStr">
        <is>
          <t>-47.898118026, -5.464211149</t>
        </is>
      </c>
      <c r="J186" s="18" t="inlineStr">
        <is>
          <t>-47.936243, -5.504482</t>
        </is>
      </c>
      <c r="K186" s="19" t="n">
        <v>6.308572684</v>
      </c>
    </row>
    <row r="187" ht="30" customHeight="1">
      <c r="A187" s="20" t="n">
        <v>1</v>
      </c>
      <c r="B187" s="21" t="inlineStr">
        <is>
          <t>TOCANTINÓPOLIS</t>
        </is>
      </c>
      <c r="C187" s="22" t="n">
        <v>29</v>
      </c>
      <c r="D187" s="18" t="inlineStr">
        <is>
          <t>TO-404</t>
        </is>
      </c>
      <c r="E187" s="21" t="inlineStr">
        <is>
          <t>RODOVIA TO-404 - TRECHO AUGUSTINÓPOLIS - ENTR. TO-010 (POVOADO MATA VELHA)</t>
        </is>
      </c>
      <c r="F187" s="18" t="inlineStr">
        <is>
          <t>404ETO0040</t>
        </is>
      </c>
      <c r="G187" s="21" t="inlineStr">
        <is>
          <t>DEZESSEIS MIL - MATA VELHA</t>
        </is>
      </c>
      <c r="H187" s="18" t="inlineStr">
        <is>
          <t>PPS</t>
        </is>
      </c>
      <c r="I187" s="18" t="inlineStr">
        <is>
          <t>-47.936243, -5.504482</t>
        </is>
      </c>
      <c r="J187" s="18" t="inlineStr">
        <is>
          <t>-48.063599, -5.588572</t>
        </is>
      </c>
      <c r="K187" s="19" t="n">
        <v>17.44465574</v>
      </c>
    </row>
    <row r="188" ht="30" customHeight="1">
      <c r="A188" s="20" t="n">
        <v>1</v>
      </c>
      <c r="B188" s="21" t="inlineStr">
        <is>
          <t>TOCANTINÓPOLIS</t>
        </is>
      </c>
      <c r="C188" s="22" t="n">
        <v>29</v>
      </c>
      <c r="D188" s="18" t="inlineStr">
        <is>
          <t>TO-404</t>
        </is>
      </c>
      <c r="E188" s="21" t="inlineStr">
        <is>
          <t>RODOVIA TO-404 - TRECHO AUGUSTINÓPOLIS - ENTR. TO-010 (POVOADO MATA VELHA)</t>
        </is>
      </c>
      <c r="F188" s="18" t="inlineStr">
        <is>
          <t>404ETO0050</t>
        </is>
      </c>
      <c r="G188" s="21" t="inlineStr">
        <is>
          <t>MATA VELHA - ENTR. TO-010</t>
        </is>
      </c>
      <c r="H188" s="18" t="inlineStr">
        <is>
          <t>PPS</t>
        </is>
      </c>
      <c r="I188" s="18" t="inlineStr">
        <is>
          <t>-48.063599, -5.588572</t>
        </is>
      </c>
      <c r="J188" s="18" t="inlineStr">
        <is>
          <t>-48.079338, -5.597599</t>
        </is>
      </c>
      <c r="K188" s="19" t="n">
        <v>2.06376249</v>
      </c>
    </row>
    <row r="189" ht="30" customHeight="1">
      <c r="A189" s="20" t="n">
        <v>1</v>
      </c>
      <c r="B189" s="21" t="inlineStr">
        <is>
          <t>TOCANTINÓPOLIS</t>
        </is>
      </c>
      <c r="C189" s="22" t="n">
        <v>31</v>
      </c>
      <c r="D189" s="18" t="inlineStr">
        <is>
          <t>TO-405</t>
        </is>
      </c>
      <c r="E189" s="21" t="inlineStr">
        <is>
          <t>RODOVIA TO-405 - TRECHO AXIXÁ DO TOCANTINS - ENTR. BR-230</t>
        </is>
      </c>
      <c r="F189" s="18" t="inlineStr">
        <is>
          <t>405ETO0002</t>
        </is>
      </c>
      <c r="G189" s="21" t="inlineStr">
        <is>
          <t>ENTR. TO-201(PU AXIXÁ DO TOCANTINS - FIM PAVIMENTAÇÃO(PU AXIXÁ DO TOCANTINS</t>
        </is>
      </c>
      <c r="H189" s="18" t="inlineStr">
        <is>
          <t>PSU</t>
        </is>
      </c>
      <c r="I189" s="18" t="inlineStr">
        <is>
          <t>-47.773249, -5.615808</t>
        </is>
      </c>
      <c r="J189" s="18" t="inlineStr">
        <is>
          <t>-47.77516239, -5.616400859</t>
        </is>
      </c>
      <c r="K189" s="19" t="n">
        <v>0.22272948</v>
      </c>
    </row>
    <row r="190" ht="30" customHeight="1">
      <c r="A190" s="20" t="n">
        <v>1</v>
      </c>
      <c r="B190" s="21" t="inlineStr">
        <is>
          <t>TOCANTINÓPOLIS</t>
        </is>
      </c>
      <c r="C190" s="22" t="n">
        <v>31</v>
      </c>
      <c r="D190" s="18" t="inlineStr">
        <is>
          <t>TO-405</t>
        </is>
      </c>
      <c r="E190" s="21" t="inlineStr">
        <is>
          <t>RODOVIA TO-405 - TRECHO AXIXÁ DO TOCANTINS - ENTR. BR-230</t>
        </is>
      </c>
      <c r="F190" s="18" t="inlineStr">
        <is>
          <t>405ETO0020</t>
        </is>
      </c>
      <c r="G190" s="21" t="inlineStr">
        <is>
          <t>AXIXA DO TOCANTINS *TRECHO URBANO* - TABUA</t>
        </is>
      </c>
      <c r="H190" s="18" t="inlineStr">
        <is>
          <t>LEN</t>
        </is>
      </c>
      <c r="I190" s="18" t="inlineStr">
        <is>
          <t>-47.77516239, -5.616400859</t>
        </is>
      </c>
      <c r="J190" s="18" t="inlineStr">
        <is>
          <t>-47.796231, -5.608377</t>
        </is>
      </c>
      <c r="K190" s="19" t="n">
        <v>2.719196684</v>
      </c>
    </row>
    <row r="191" ht="30" customHeight="1">
      <c r="A191" s="20" t="n">
        <v>1</v>
      </c>
      <c r="B191" s="21" t="inlineStr">
        <is>
          <t>TOCANTINÓPOLIS</t>
        </is>
      </c>
      <c r="C191" s="22" t="n">
        <v>31</v>
      </c>
      <c r="D191" s="18" t="inlineStr">
        <is>
          <t>TO-405</t>
        </is>
      </c>
      <c r="E191" s="21" t="inlineStr">
        <is>
          <t>RODOVIA TO-405 - TRECHO AXIXÁ DO TOCANTINS - ENTR. BR-230</t>
        </is>
      </c>
      <c r="F191" s="18" t="inlineStr">
        <is>
          <t>405ETO0030</t>
        </is>
      </c>
      <c r="G191" s="21" t="inlineStr">
        <is>
          <t>TABUA - GROTA DAGUA</t>
        </is>
      </c>
      <c r="H191" s="18" t="inlineStr">
        <is>
          <t>LEN</t>
        </is>
      </c>
      <c r="I191" s="18" t="inlineStr">
        <is>
          <t>-47.796231, -5.608377</t>
        </is>
      </c>
      <c r="J191" s="18" t="inlineStr">
        <is>
          <t>-47.827662, -5.637356</t>
        </is>
      </c>
      <c r="K191" s="19" t="n">
        <v>4.903283978</v>
      </c>
    </row>
    <row r="192" ht="30" customHeight="1">
      <c r="A192" s="20" t="n">
        <v>1</v>
      </c>
      <c r="B192" s="21" t="inlineStr">
        <is>
          <t>TOCANTINÓPOLIS</t>
        </is>
      </c>
      <c r="C192" s="22" t="n">
        <v>31</v>
      </c>
      <c r="D192" s="18" t="inlineStr">
        <is>
          <t>TO-405</t>
        </is>
      </c>
      <c r="E192" s="21" t="inlineStr">
        <is>
          <t>RODOVIA TO-405 - TRECHO AXIXÁ DO TOCANTINS - ENTR. BR-230</t>
        </is>
      </c>
      <c r="F192" s="18" t="inlineStr">
        <is>
          <t>405ETO0040</t>
        </is>
      </c>
      <c r="G192" s="21" t="inlineStr">
        <is>
          <t>GROTA DAGUA - CANTO DO BARREIRO</t>
        </is>
      </c>
      <c r="H192" s="18" t="inlineStr">
        <is>
          <t>LEN</t>
        </is>
      </c>
      <c r="I192" s="18" t="inlineStr">
        <is>
          <t>-47.827662, -5.637356</t>
        </is>
      </c>
      <c r="J192" s="18" t="inlineStr">
        <is>
          <t>-47.951537, -5.735531</t>
        </is>
      </c>
      <c r="K192" s="19" t="n">
        <v>18.02422352</v>
      </c>
    </row>
    <row r="193" ht="30" customHeight="1">
      <c r="A193" s="20" t="n">
        <v>1</v>
      </c>
      <c r="B193" s="21" t="inlineStr">
        <is>
          <t>TOCANTINÓPOLIS</t>
        </is>
      </c>
      <c r="C193" s="22" t="n">
        <v>31</v>
      </c>
      <c r="D193" s="18" t="inlineStr">
        <is>
          <t>TO-405</t>
        </is>
      </c>
      <c r="E193" s="21" t="inlineStr">
        <is>
          <t>RODOVIA TO-405 - TRECHO AXIXÁ DO TOCANTINS - ENTR. BR-230</t>
        </is>
      </c>
      <c r="F193" s="18" t="inlineStr">
        <is>
          <t>405ETO0050</t>
        </is>
      </c>
      <c r="G193" s="21" t="inlineStr">
        <is>
          <t>CANTO DO BARREIRO - ENTR. BR-230</t>
        </is>
      </c>
      <c r="H193" s="18" t="inlineStr">
        <is>
          <t>PPS</t>
        </is>
      </c>
      <c r="I193" s="18" t="inlineStr">
        <is>
          <t>-47.951537, -5.735531</t>
        </is>
      </c>
      <c r="J193" s="18" t="inlineStr">
        <is>
          <t>-48.024448, -5.79396</t>
        </is>
      </c>
      <c r="K193" s="19" t="n">
        <v>10.35721972</v>
      </c>
    </row>
    <row r="194" ht="30" customHeight="1">
      <c r="A194" s="20" t="n">
        <v>1</v>
      </c>
      <c r="B194" s="21" t="inlineStr">
        <is>
          <t>TOCANTINÓPOLIS</t>
        </is>
      </c>
      <c r="C194" s="22" t="n">
        <v>32</v>
      </c>
      <c r="D194" s="18" t="inlineStr">
        <is>
          <t>TO-407</t>
        </is>
      </c>
      <c r="E194" s="21" t="inlineStr">
        <is>
          <t>RODOVIA TO-407 - TRECHO CARRASCO BONITO - ENTR. TO-201 (POVOADO CENTRO DOS FIRMINOS)</t>
        </is>
      </c>
      <c r="F194" s="18" t="inlineStr">
        <is>
          <t>407ETO0002D</t>
        </is>
      </c>
      <c r="G194" s="21" t="inlineStr">
        <is>
          <t>ENTR. TO-403(PU CARRASCO BONITO) - FIM PU CARRASCO BONITO</t>
        </is>
      </c>
      <c r="H194" s="18" t="inlineStr">
        <is>
          <t>PDU</t>
        </is>
      </c>
      <c r="I194" s="18" t="inlineStr">
        <is>
          <t>-48.034425, -5.325946</t>
        </is>
      </c>
      <c r="J194" s="18" t="inlineStr">
        <is>
          <t>-48.033365319, -5.322955004</t>
        </is>
      </c>
      <c r="K194" s="19" t="n">
        <v>0.351726722</v>
      </c>
    </row>
    <row r="195" ht="30" customHeight="1">
      <c r="A195" s="20" t="n">
        <v>1</v>
      </c>
      <c r="B195" s="21" t="inlineStr">
        <is>
          <t>TOCANTINÓPOLIS</t>
        </is>
      </c>
      <c r="C195" s="22" t="n">
        <v>32</v>
      </c>
      <c r="D195" s="18" t="inlineStr">
        <is>
          <t>TO-407</t>
        </is>
      </c>
      <c r="E195" s="21" t="inlineStr">
        <is>
          <t>RODOVIA TO-407 - TRECHO CARRASCO BONITO - ENTR. TO-201 (POVOADO CENTRO DOS FIRMINOS)</t>
        </is>
      </c>
      <c r="F195" s="18" t="inlineStr">
        <is>
          <t>407ETO0002E</t>
        </is>
      </c>
      <c r="G195" s="21" t="inlineStr">
        <is>
          <t>ENTR. TO-403(PU CARRASCO BONITO) - FIM PU CARRASCO BONITO</t>
        </is>
      </c>
      <c r="H195" s="18" t="inlineStr">
        <is>
          <t>PDU</t>
        </is>
      </c>
      <c r="I195" s="18" t="inlineStr">
        <is>
          <t>-48.033490162, -5.322937023</t>
        </is>
      </c>
      <c r="J195" s="18" t="inlineStr">
        <is>
          <t>-48.034425, -5.325946</t>
        </is>
      </c>
      <c r="K195" s="19" t="n">
        <v>0.349517523</v>
      </c>
    </row>
    <row r="196" ht="30" customHeight="1">
      <c r="A196" s="20" t="n">
        <v>1</v>
      </c>
      <c r="B196" s="21" t="inlineStr">
        <is>
          <t>TOCANTINÓPOLIS</t>
        </is>
      </c>
      <c r="C196" s="22" t="n">
        <v>32</v>
      </c>
      <c r="D196" s="18" t="inlineStr">
        <is>
          <t>TO-407</t>
        </is>
      </c>
      <c r="E196" s="21" t="inlineStr">
        <is>
          <t>RODOVIA TO-407 - TRECHO CARRASCO BONITO - ENTR. TO-201 (POVOADO CENTRO DOS FIRMINOS)</t>
        </is>
      </c>
      <c r="F196" s="18" t="inlineStr">
        <is>
          <t>407ETO0020</t>
        </is>
      </c>
      <c r="G196" s="21" t="inlineStr">
        <is>
          <t>FIM PU CARRASCO BONITO - ENTR. TO-201</t>
        </is>
      </c>
      <c r="H196" s="18" t="inlineStr">
        <is>
          <t>PPS</t>
        </is>
      </c>
      <c r="I196" s="18" t="inlineStr">
        <is>
          <t>-48.041517, -5.390984</t>
        </is>
      </c>
      <c r="J196" s="18" t="inlineStr">
        <is>
          <t>-48.034425, -5.325946</t>
        </is>
      </c>
      <c r="K196" s="19" t="n">
        <v>7.688367232</v>
      </c>
    </row>
    <row r="197" ht="30" customHeight="1">
      <c r="A197" s="20" t="n">
        <v>1</v>
      </c>
      <c r="B197" s="21" t="inlineStr">
        <is>
          <t>TOCANTINÓPOLIS</t>
        </is>
      </c>
      <c r="C197" s="22" t="n">
        <v>33</v>
      </c>
      <c r="D197" s="18" t="inlineStr">
        <is>
          <t>TO-409</t>
        </is>
      </c>
      <c r="E197" s="21" t="inlineStr">
        <is>
          <t>RODOVIA TO-409 - TRECHO MAURILÂNDIA - ENTR. TO-134</t>
        </is>
      </c>
      <c r="F197" s="18" t="inlineStr">
        <is>
          <t>409ETO0002D</t>
        </is>
      </c>
      <c r="G197" s="21" t="inlineStr">
        <is>
          <t>ENTR. TO-126(PU MAURILÂNDIA DO TOCANTINS - FIM PU MAURILÂNDIA DO TOCANTINS</t>
        </is>
      </c>
      <c r="H197" s="18" t="inlineStr">
        <is>
          <t>PDU</t>
        </is>
      </c>
      <c r="I197" s="18" t="inlineStr">
        <is>
          <t>-47.508416247, -5.952965563</t>
        </is>
      </c>
      <c r="J197" s="18" t="inlineStr">
        <is>
          <t>-47.512783, -5.95226</t>
        </is>
      </c>
      <c r="K197" s="19" t="n">
        <v>0.493407891</v>
      </c>
    </row>
    <row r="198" ht="30" customHeight="1">
      <c r="A198" s="20" t="n">
        <v>1</v>
      </c>
      <c r="B198" s="21" t="inlineStr">
        <is>
          <t>TOCANTINÓPOLIS</t>
        </is>
      </c>
      <c r="C198" s="22" t="n">
        <v>33</v>
      </c>
      <c r="D198" s="18" t="inlineStr">
        <is>
          <t>TO-409</t>
        </is>
      </c>
      <c r="E198" s="21" t="inlineStr">
        <is>
          <t>RODOVIA TO-409 - TRECHO MAURILÂNDIA - ENTR. TO-134</t>
        </is>
      </c>
      <c r="F198" s="18" t="inlineStr">
        <is>
          <t>409ETO0002E</t>
        </is>
      </c>
      <c r="G198" s="21" t="inlineStr">
        <is>
          <t>ENTR. TO-126(PU MAURILÂNDIA DO TOCANTINS - FIM PU MAURILÂNDIA DO TOCANTINS</t>
        </is>
      </c>
      <c r="H198" s="18" t="inlineStr">
        <is>
          <t>PDU</t>
        </is>
      </c>
      <c r="I198" s="18" t="inlineStr">
        <is>
          <t>-47.512783, -5.95226</t>
        </is>
      </c>
      <c r="J198" s="18" t="inlineStr">
        <is>
          <t>-47.50844931, -5.953169728</t>
        </is>
      </c>
      <c r="K198" s="19" t="n">
        <v>0.495170242</v>
      </c>
    </row>
    <row r="199" ht="30" customHeight="1">
      <c r="A199" s="20" t="n">
        <v>1</v>
      </c>
      <c r="B199" s="21" t="inlineStr">
        <is>
          <t>TOCANTINÓPOLIS</t>
        </is>
      </c>
      <c r="C199" s="22" t="n">
        <v>33</v>
      </c>
      <c r="D199" s="18" t="inlineStr">
        <is>
          <t>TO-409</t>
        </is>
      </c>
      <c r="E199" s="21" t="inlineStr">
        <is>
          <t>RODOVIA TO-409 - TRECHO MAURILÂNDIA - ENTR. TO-134</t>
        </is>
      </c>
      <c r="F199" s="18" t="inlineStr">
        <is>
          <t>409ETO0020</t>
        </is>
      </c>
      <c r="G199" s="21" t="inlineStr">
        <is>
          <t>MAURILANDIA DO TOCANTINS *TRECHO URBANO* - RODOVILÂNDIA</t>
        </is>
      </c>
      <c r="H199" s="18" t="inlineStr">
        <is>
          <t>LEN</t>
        </is>
      </c>
      <c r="I199" s="18" t="inlineStr">
        <is>
          <t>-47.654813, -5.910787</t>
        </is>
      </c>
      <c r="J199" s="18" t="inlineStr">
        <is>
          <t>-47.512783, -5.95226</t>
        </is>
      </c>
      <c r="K199" s="19" t="n">
        <v>18.4092736924</v>
      </c>
    </row>
    <row r="200" ht="30" customHeight="1">
      <c r="A200" s="20" t="n">
        <v>1</v>
      </c>
      <c r="B200" s="21" t="inlineStr">
        <is>
          <t>TOCANTINÓPOLIS</t>
        </is>
      </c>
      <c r="C200" s="22" t="n">
        <v>33</v>
      </c>
      <c r="D200" s="18" t="inlineStr">
        <is>
          <t>TO-409</t>
        </is>
      </c>
      <c r="E200" s="21" t="inlineStr">
        <is>
          <t>RODOVIA TO-409 - TRECHO MAURILÂNDIA - ENTR. TO-134</t>
        </is>
      </c>
      <c r="F200" s="18" t="inlineStr">
        <is>
          <t>409ETO0030</t>
        </is>
      </c>
      <c r="G200" s="21" t="inlineStr">
        <is>
          <t>RODOVILÂNDIA - ENTR. TO-134</t>
        </is>
      </c>
      <c r="H200" s="18" t="inlineStr">
        <is>
          <t>LEN</t>
        </is>
      </c>
      <c r="I200" s="18" t="inlineStr">
        <is>
          <t>-47.852473, -5.945566</t>
        </is>
      </c>
      <c r="J200" s="18" t="inlineStr">
        <is>
          <t>-47.654813, -5.910787</t>
        </is>
      </c>
      <c r="K200" s="19" t="n">
        <v>26.4825384078</v>
      </c>
    </row>
    <row r="201" ht="30" customHeight="1">
      <c r="A201" s="20" t="n">
        <v>1</v>
      </c>
      <c r="B201" s="21" t="inlineStr">
        <is>
          <t>TOCANTINÓPOLIS</t>
        </is>
      </c>
      <c r="C201" s="22" t="n">
        <v>0</v>
      </c>
      <c r="D201" s="18" t="inlineStr">
        <is>
          <t>ACESSO</t>
        </is>
      </c>
      <c r="E201" s="21" t="inlineStr">
        <is>
          <t>ACESSO</t>
        </is>
      </c>
      <c r="F201" s="18" t="inlineStr">
        <is>
          <t>ACESSO05</t>
        </is>
      </c>
      <c r="G201" s="21" t="inlineStr">
        <is>
          <t>ENTR. TO-010/201 - INÍCIO PU SÃO SEBASTIÃO DO TOCANTINS</t>
        </is>
      </c>
      <c r="H201" s="18" t="inlineStr">
        <is>
          <t>LEN</t>
        </is>
      </c>
      <c r="I201" s="18" t="inlineStr">
        <is>
          <t>-48.194133, -5.318513</t>
        </is>
      </c>
      <c r="J201" s="18" t="inlineStr">
        <is>
          <t>-48.203050921, -5.261638808</t>
        </is>
      </c>
      <c r="K201" s="19" t="n">
        <v>6.678731262</v>
      </c>
    </row>
    <row r="202" ht="30" customHeight="1">
      <c r="A202" s="20" t="n">
        <v>1</v>
      </c>
      <c r="B202" s="21" t="inlineStr">
        <is>
          <t>TOCANTINÓPOLIS</t>
        </is>
      </c>
      <c r="C202" s="22" t="n">
        <v>34</v>
      </c>
      <c r="D202" s="18" t="inlineStr">
        <is>
          <t>TO-414</t>
        </is>
      </c>
      <c r="E202" s="21" t="inlineStr">
        <is>
          <t>RODOVIA TO-414 - TRECHO CACHOEIRINHA - ENTR. TO-010 (TAPUIO)</t>
        </is>
      </c>
      <c r="F202" s="18" t="inlineStr">
        <is>
          <t>414ETO0002</t>
        </is>
      </c>
      <c r="G202" s="21" t="inlineStr">
        <is>
          <t>ENTR. BR-230/TO-134 - INÍCIO PU CACHOEIRINHA</t>
        </is>
      </c>
      <c r="H202" s="18" t="inlineStr">
        <is>
          <t>PPS</t>
        </is>
      </c>
      <c r="I202" s="18" t="inlineStr">
        <is>
          <t>-47.911334, -6.109862</t>
        </is>
      </c>
      <c r="J202" s="18" t="inlineStr">
        <is>
          <t>-47.90879259, -6.09905522</t>
        </is>
      </c>
      <c r="K202" s="19" t="n">
        <v>1.287903338</v>
      </c>
    </row>
    <row r="203" ht="30" customHeight="1">
      <c r="A203" s="20" t="n">
        <v>1</v>
      </c>
      <c r="B203" s="21" t="inlineStr">
        <is>
          <t>TOCANTINÓPOLIS</t>
        </is>
      </c>
      <c r="C203" s="22" t="n">
        <v>34</v>
      </c>
      <c r="D203" s="18" t="inlineStr">
        <is>
          <t>TO-414</t>
        </is>
      </c>
      <c r="E203" s="21" t="inlineStr">
        <is>
          <t>RODOVIA TO-414 - TRECHO CACHOEIRINHA - ENTR. TO-010 (TAPUIO)</t>
        </is>
      </c>
      <c r="F203" s="18" t="inlineStr">
        <is>
          <t>414ETO0003</t>
        </is>
      </c>
      <c r="G203" s="21" t="inlineStr">
        <is>
          <t>INÍCIO PU CACHOEIRINHA - FIM PU CACHOEIRINHA</t>
        </is>
      </c>
      <c r="H203" s="18" t="inlineStr">
        <is>
          <t>PSU</t>
        </is>
      </c>
      <c r="I203" s="18" t="inlineStr">
        <is>
          <t>-47.924296, -6.125324</t>
        </is>
      </c>
      <c r="J203" s="18" t="inlineStr">
        <is>
          <t>-47.911334, -6.109862</t>
        </is>
      </c>
      <c r="K203" s="19" t="n">
        <v>2.303444634</v>
      </c>
    </row>
    <row r="204" ht="30" customHeight="1">
      <c r="A204" s="20" t="n">
        <v>1</v>
      </c>
      <c r="B204" s="21" t="inlineStr">
        <is>
          <t>TOCANTINÓPOLIS</t>
        </is>
      </c>
      <c r="C204" s="22" t="n">
        <v>34</v>
      </c>
      <c r="D204" s="18" t="inlineStr">
        <is>
          <t>TO-414</t>
        </is>
      </c>
      <c r="E204" s="21" t="inlineStr">
        <is>
          <t>RODOVIA TO-414 - TRECHO CACHOEIRINHA - ENTR. TO-010 (TAPUIO)</t>
        </is>
      </c>
      <c r="F204" s="18" t="inlineStr">
        <is>
          <t>414ETO0020</t>
        </is>
      </c>
      <c r="G204" s="21" t="inlineStr">
        <is>
          <t>FIM PU CACHOEIRINHA - ENTR. TO-010/210(TAPUIO)</t>
        </is>
      </c>
      <c r="H204" s="18" t="inlineStr">
        <is>
          <t>LEN</t>
        </is>
      </c>
      <c r="I204" s="18" t="inlineStr">
        <is>
          <t>-47.924296, -6.125324</t>
        </is>
      </c>
      <c r="J204" s="18" t="inlineStr">
        <is>
          <t>-48.088782, -6.327772</t>
        </is>
      </c>
      <c r="K204" s="19" t="n">
        <v>32.75227185</v>
      </c>
    </row>
    <row r="205" ht="30" customHeight="1">
      <c r="A205" s="20" t="n">
        <v>1</v>
      </c>
      <c r="B205" s="21" t="inlineStr">
        <is>
          <t>TOCANTINÓPOLIS</t>
        </is>
      </c>
      <c r="C205" s="22" t="n">
        <v>37</v>
      </c>
      <c r="D205" s="18" t="inlineStr">
        <is>
          <t>TO-415</t>
        </is>
      </c>
      <c r="E205" s="21" t="inlineStr">
        <is>
          <t>RODOVIA TO-415 - TRECHO ENTR. RODOVIA VICINAL - NAZARÉ</t>
        </is>
      </c>
      <c r="F205" s="18" t="inlineStr">
        <is>
          <t>415ETO0030</t>
        </is>
      </c>
      <c r="G205" s="21" t="inlineStr">
        <is>
          <t>ENTR. ROD. MUNICIPAL - INÍCIO PAVIMENTAÇÃO(PU NAZARÉ)</t>
        </is>
      </c>
      <c r="H205" s="18" t="inlineStr">
        <is>
          <t>LEN</t>
        </is>
      </c>
      <c r="I205" s="18" t="inlineStr">
        <is>
          <t>-47.660405, -6.372392</t>
        </is>
      </c>
      <c r="J205" s="18" t="inlineStr">
        <is>
          <t>-47.659414, -6.276327</t>
        </is>
      </c>
      <c r="K205" s="19" t="n">
        <v>12.1292560034</v>
      </c>
    </row>
    <row r="206" ht="30" customHeight="1">
      <c r="A206" s="20" t="n">
        <v>1</v>
      </c>
      <c r="B206" s="21" t="inlineStr">
        <is>
          <t>TOCANTINÓPOLIS</t>
        </is>
      </c>
      <c r="C206" s="22" t="n">
        <v>36</v>
      </c>
      <c r="D206" s="18" t="inlineStr">
        <is>
          <t>TO-415</t>
        </is>
      </c>
      <c r="E206" s="21" t="inlineStr">
        <is>
          <t>RODOVIA TO-415 - TRECHO NAZARÉ - SANTA TEREZINHA DO TOCANTINS</t>
        </is>
      </c>
      <c r="F206" s="18" t="inlineStr">
        <is>
          <t>415ETO0032</t>
        </is>
      </c>
      <c r="G206" s="21" t="inlineStr">
        <is>
          <t>INÍCIO PAVIMENTAÇÃO(PU NAZARÉ) - ENTR. TO-210(B)(PU NAZARÉ)</t>
        </is>
      </c>
      <c r="H206" s="18" t="inlineStr">
        <is>
          <t>PSU</t>
        </is>
      </c>
      <c r="I206" s="18" t="inlineStr">
        <is>
          <t>-47.660405, -6.372392</t>
        </is>
      </c>
      <c r="J206" s="18" t="inlineStr">
        <is>
          <t>-47.662972429, -6.375213705</t>
        </is>
      </c>
      <c r="K206" s="19" t="n">
        <v>0.431466897</v>
      </c>
    </row>
    <row r="207" ht="30" customHeight="1">
      <c r="A207" s="20" t="n">
        <v>1</v>
      </c>
      <c r="B207" s="21" t="inlineStr">
        <is>
          <t>TOCANTINÓPOLIS</t>
        </is>
      </c>
      <c r="C207" s="22" t="n">
        <v>36</v>
      </c>
      <c r="D207" s="18" t="inlineStr">
        <is>
          <t>TO-415</t>
        </is>
      </c>
      <c r="E207" s="21" t="inlineStr">
        <is>
          <t>RODOVIA TO-415 - TRECHO NAZARÉ - SANTA TEREZINHA DO TOCANTINS</t>
        </is>
      </c>
      <c r="F207" s="18" t="inlineStr">
        <is>
          <t>415ETO0040</t>
        </is>
      </c>
      <c r="G207" s="21" t="inlineStr">
        <is>
          <t>ENTR. TO-210(A)(PU NAZARÉ) - ENTR. BR-230</t>
        </is>
      </c>
      <c r="H207" s="18" t="inlineStr">
        <is>
          <t>PPS</t>
        </is>
      </c>
      <c r="I207" s="18" t="inlineStr">
        <is>
          <t>-47.663982, -6.399353</t>
        </is>
      </c>
      <c r="J207" s="18" t="inlineStr">
        <is>
          <t>-47.662687, -6.37855</t>
        </is>
      </c>
      <c r="K207" s="19" t="n">
        <v>2.325112138</v>
      </c>
    </row>
    <row r="208" ht="30" customHeight="1">
      <c r="A208" s="20" t="n">
        <v>1</v>
      </c>
      <c r="B208" s="21" t="inlineStr">
        <is>
          <t>TOCANTINÓPOLIS</t>
        </is>
      </c>
      <c r="C208" s="22" t="n">
        <v>36</v>
      </c>
      <c r="D208" s="18" t="inlineStr">
        <is>
          <t>TO-415</t>
        </is>
      </c>
      <c r="E208" s="21" t="inlineStr">
        <is>
          <t>RODOVIA TO-415 - TRECHO NAZARÉ - SANTA TEREZINHA DO TOCANTINS</t>
        </is>
      </c>
      <c r="F208" s="18" t="inlineStr">
        <is>
          <t>415ETO0050</t>
        </is>
      </c>
      <c r="G208" s="21" t="inlineStr">
        <is>
          <t>ENTR. BR-230 - INÍCIO PU SANTA TEREZINHA DO TOCANTINS</t>
        </is>
      </c>
      <c r="H208" s="18" t="inlineStr">
        <is>
          <t>PPS</t>
        </is>
      </c>
      <c r="I208" s="18" t="inlineStr">
        <is>
          <t>-47.668383, -6.433202</t>
        </is>
      </c>
      <c r="J208" s="18" t="inlineStr">
        <is>
          <t>-47.663982, -6.399353</t>
        </is>
      </c>
      <c r="K208" s="19" t="n">
        <v>3.793575857</v>
      </c>
    </row>
    <row r="209" ht="30" customHeight="1">
      <c r="A209" s="20" t="n">
        <v>1</v>
      </c>
      <c r="B209" s="21" t="inlineStr">
        <is>
          <t>TOCANTINÓPOLIS</t>
        </is>
      </c>
      <c r="C209" s="22" t="n">
        <v>36</v>
      </c>
      <c r="D209" s="18" t="inlineStr">
        <is>
          <t>TO-415</t>
        </is>
      </c>
      <c r="E209" s="21" t="inlineStr">
        <is>
          <t>RODOVIA TO-415 - TRECHO NAZARÉ - SANTA TEREZINHA DO TOCANTINS</t>
        </is>
      </c>
      <c r="F209" s="18" t="inlineStr">
        <is>
          <t>415ETO0052</t>
        </is>
      </c>
      <c r="G209" s="21" t="inlineStr">
        <is>
          <t>INÍCIO PU SANTA TEREZINHA DO TOCANTINS - FIM PU SANTA TEREZINHA DO TOCANTINS</t>
        </is>
      </c>
      <c r="H209" s="18" t="inlineStr">
        <is>
          <t>PSU</t>
        </is>
      </c>
      <c r="I209" s="18" t="inlineStr">
        <is>
          <t>-47.66774, -6.437034</t>
        </is>
      </c>
      <c r="J209" s="18" t="inlineStr">
        <is>
          <t>-47.668383, -6.433202</t>
        </is>
      </c>
      <c r="K209" s="19" t="n">
        <v>0.43239843</v>
      </c>
    </row>
    <row r="210" ht="30" customHeight="1">
      <c r="A210" s="20" t="n">
        <v>1</v>
      </c>
      <c r="B210" s="21" t="inlineStr">
        <is>
          <t>TOCANTINÓPOLIS</t>
        </is>
      </c>
      <c r="C210" s="22" t="n">
        <v>35</v>
      </c>
      <c r="D210" s="18" t="inlineStr">
        <is>
          <t>TO-415</t>
        </is>
      </c>
      <c r="E210" s="21" t="inlineStr">
        <is>
          <t>RODOVIA TO-415 - TRECHO SANTA TEREZINHA DO TOCANTINS - PALMEIRAS DO TOCANTINS</t>
        </is>
      </c>
      <c r="F210" s="18" t="inlineStr">
        <is>
          <t>415ETO0060</t>
        </is>
      </c>
      <c r="G210" s="21" t="inlineStr">
        <is>
          <t>FIM PU SANTA TEREZINHA DO TOCANTINS - IMBIRA</t>
        </is>
      </c>
      <c r="H210" s="18" t="inlineStr">
        <is>
          <t>PPS</t>
        </is>
      </c>
      <c r="I210" s="18" t="inlineStr">
        <is>
          <t>-47.604132, -6.534693</t>
        </is>
      </c>
      <c r="J210" s="18" t="inlineStr">
        <is>
          <t>-47.66774, -6.437034</t>
        </is>
      </c>
      <c r="K210" s="19" t="n">
        <v>13.6003314281</v>
      </c>
    </row>
    <row r="211" ht="30" customHeight="1">
      <c r="A211" s="20" t="n">
        <v>1</v>
      </c>
      <c r="B211" s="21" t="inlineStr">
        <is>
          <t>TOCANTINÓPOLIS</t>
        </is>
      </c>
      <c r="C211" s="22" t="n">
        <v>35</v>
      </c>
      <c r="D211" s="18" t="inlineStr">
        <is>
          <t>TO-415</t>
        </is>
      </c>
      <c r="E211" s="21" t="inlineStr">
        <is>
          <t>RODOVIA TO-415 - TRECHO SANTA TEREZINHA DO TOCANTINS - PALMEIRAS DO TOCANTINS</t>
        </is>
      </c>
      <c r="F211" s="18" t="inlineStr">
        <is>
          <t>415ETO0070</t>
        </is>
      </c>
      <c r="G211" s="21" t="inlineStr">
        <is>
          <t>IMBIRA - PALMEIRAS DO TOCANTINS *TRECHO URBANO*</t>
        </is>
      </c>
      <c r="H211" s="18" t="inlineStr">
        <is>
          <t>PPS</t>
        </is>
      </c>
      <c r="I211" s="18" t="inlineStr">
        <is>
          <t>-47.556982, -6.612274</t>
        </is>
      </c>
      <c r="J211" s="18" t="inlineStr">
        <is>
          <t>-47.604132, -6.534693</t>
        </is>
      </c>
      <c r="K211" s="19" t="n">
        <v>10.4501594333</v>
      </c>
    </row>
    <row r="212" ht="30" customHeight="1">
      <c r="A212" s="20" t="n">
        <v>1</v>
      </c>
      <c r="B212" s="21" t="inlineStr">
        <is>
          <t>TOCANTINÓPOLIS</t>
        </is>
      </c>
      <c r="C212" s="22" t="n">
        <v>35</v>
      </c>
      <c r="D212" s="18" t="inlineStr">
        <is>
          <t>TO-415</t>
        </is>
      </c>
      <c r="E212" s="21" t="inlineStr">
        <is>
          <t>RODOVIA TO-415 - TRECHO SANTA TEREZINHA DO TOCANTINS - PALMEIRAS DO TOCANTINS</t>
        </is>
      </c>
      <c r="F212" s="18" t="inlineStr">
        <is>
          <t>415ETO0072</t>
        </is>
      </c>
      <c r="G212" s="21" t="inlineStr">
        <is>
          <t>INÍCIO PU PALMEIRAS DO TOCANTINS - INÍCIO DUPLICAÇÃO(PU PALMEIRAS DO TOCANTINS)</t>
        </is>
      </c>
      <c r="H212" s="18" t="inlineStr">
        <is>
          <t>PSU</t>
        </is>
      </c>
      <c r="I212" s="18" t="inlineStr">
        <is>
          <t>-47.551318, -6.613186</t>
        </is>
      </c>
      <c r="J212" s="18" t="inlineStr">
        <is>
          <t>-47.556982, -6.612274</t>
        </is>
      </c>
      <c r="K212" s="19" t="n">
        <v>0.634811702</v>
      </c>
    </row>
    <row r="213" ht="30" customHeight="1">
      <c r="A213" s="20" t="n">
        <v>1</v>
      </c>
      <c r="B213" s="21" t="inlineStr">
        <is>
          <t>TOCANTINÓPOLIS</t>
        </is>
      </c>
      <c r="C213" s="22" t="n">
        <v>35</v>
      </c>
      <c r="D213" s="18" t="inlineStr">
        <is>
          <t>TO-415</t>
        </is>
      </c>
      <c r="E213" s="21" t="inlineStr">
        <is>
          <t>RODOVIA TO-415 - TRECHO SANTA TEREZINHA DO TOCANTINS - PALMEIRAS DO TOCANTINS</t>
        </is>
      </c>
      <c r="F213" s="18" t="inlineStr">
        <is>
          <t>415ETO0073D</t>
        </is>
      </c>
      <c r="G213" s="21" t="inlineStr">
        <is>
          <t>INÍCIO DUPLICAÇÃO(PU PALMEIRAS DO TOCANTINS) - ENTR. BR-226(PU PALMEIRAS DO TOCANTINS</t>
        </is>
      </c>
      <c r="H213" s="18" t="inlineStr">
        <is>
          <t>PDU</t>
        </is>
      </c>
      <c r="I213" s="18" t="inlineStr">
        <is>
          <t>-47.551318, -6.613186</t>
        </is>
      </c>
      <c r="J213" s="18" t="inlineStr">
        <is>
          <t>-47.546357188, -6.613468118</t>
        </is>
      </c>
      <c r="K213" s="19" t="n">
        <v>0.55447128</v>
      </c>
    </row>
    <row r="214" ht="30.75" customHeight="1" thickBot="1">
      <c r="A214" s="23" t="n">
        <v>1</v>
      </c>
      <c r="B214" s="24" t="inlineStr">
        <is>
          <t>TOCANTINÓPOLIS</t>
        </is>
      </c>
      <c r="C214" s="25" t="n">
        <v>35</v>
      </c>
      <c r="D214" s="26" t="inlineStr">
        <is>
          <t>TO-415</t>
        </is>
      </c>
      <c r="E214" s="24" t="inlineStr">
        <is>
          <t>RODOVIA TO-415 - TRECHO SANTA TEREZINHA DO TOCANTINS - PALMEIRAS DO TOCANTINS</t>
        </is>
      </c>
      <c r="F214" s="26" t="inlineStr">
        <is>
          <t>415ETO0073E</t>
        </is>
      </c>
      <c r="G214" s="24" t="inlineStr">
        <is>
          <t>INÍCIO DUPLICAÇÃO(PU PALMEIRAS DO TOCANTINS) - ENTR. BR-226(PU PALMEIRAS DO TOCANTINS</t>
        </is>
      </c>
      <c r="H214" s="26" t="inlineStr">
        <is>
          <t>PDU</t>
        </is>
      </c>
      <c r="I214" s="26" t="inlineStr">
        <is>
          <t>-47.551318, -6.613186</t>
        </is>
      </c>
      <c r="J214" s="26" t="inlineStr">
        <is>
          <t>-47.546357188, -6.613468118</t>
        </is>
      </c>
      <c r="K214" s="27" t="n">
        <v>0.567338228</v>
      </c>
    </row>
    <row r="215">
      <c r="A215" s="29" t="n"/>
      <c r="B215" s="28" t="n"/>
      <c r="C215" s="29" t="n"/>
      <c r="D215" s="29" t="n"/>
      <c r="E215" s="29" t="n"/>
      <c r="F215" s="29" t="n"/>
      <c r="G215" s="29" t="n"/>
      <c r="H215" s="29" t="n"/>
      <c r="I215" s="29" t="n"/>
      <c r="J215" s="29" t="n"/>
      <c r="K215" s="29" t="n"/>
    </row>
    <row r="216">
      <c r="A216" s="29" t="n"/>
      <c r="B216" s="28" t="n"/>
      <c r="C216" s="28" t="n"/>
      <c r="D216" s="28" t="n"/>
      <c r="E216" s="28" t="n"/>
      <c r="F216" s="28" t="n"/>
      <c r="G216" s="28" t="n"/>
      <c r="H216" s="28" t="n"/>
      <c r="I216" s="29" t="n"/>
      <c r="J216" s="29" t="n"/>
      <c r="K216" s="28" t="n"/>
    </row>
    <row r="217">
      <c r="A217" s="29" t="n"/>
      <c r="B217" s="28" t="n"/>
      <c r="C217" s="28" t="n"/>
      <c r="D217" s="28" t="n"/>
      <c r="E217" s="28" t="n"/>
      <c r="F217" s="28" t="n"/>
      <c r="G217" s="28" t="n"/>
      <c r="H217" s="28" t="n"/>
      <c r="I217" s="29" t="n"/>
      <c r="J217" s="29" t="n"/>
      <c r="K217" s="28" t="n"/>
    </row>
    <row r="218">
      <c r="A218" s="29" t="n"/>
      <c r="B218" s="28" t="n"/>
      <c r="C218" s="28" t="n"/>
      <c r="D218" s="28" t="n"/>
      <c r="E218" s="28" t="n"/>
      <c r="F218" s="28" t="n"/>
      <c r="G218" s="28" t="n"/>
      <c r="H218" s="28" t="n"/>
      <c r="I218" s="29" t="n"/>
      <c r="J218" s="29" t="n"/>
      <c r="K218" s="28" t="n"/>
    </row>
    <row r="219">
      <c r="A219" s="29" t="n"/>
      <c r="B219" s="28" t="n"/>
      <c r="C219" s="28" t="n"/>
      <c r="D219" s="28" t="n"/>
      <c r="E219" s="28" t="n"/>
      <c r="F219" s="28" t="n"/>
      <c r="G219" s="28" t="n"/>
      <c r="H219" s="28" t="n"/>
      <c r="I219" s="29" t="n"/>
      <c r="J219" s="29" t="n"/>
      <c r="K219" s="28" t="n"/>
    </row>
    <row r="220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</row>
    <row r="221">
      <c r="A221" s="28" t="n"/>
      <c r="B221" s="28" t="n"/>
      <c r="C221" s="28" t="n"/>
      <c r="D221" s="28" t="n"/>
      <c r="E221" s="28" t="n"/>
      <c r="F221" s="28" t="n"/>
      <c r="G221" s="28" t="n"/>
      <c r="H221" s="28" t="n"/>
      <c r="I221" s="28" t="n"/>
      <c r="J221" s="28" t="n"/>
      <c r="K221" s="28" t="n"/>
    </row>
    <row r="222">
      <c r="A222" s="28" t="n"/>
      <c r="B222" s="28" t="n"/>
      <c r="C222" s="28" t="n"/>
      <c r="D222" s="28" t="n"/>
      <c r="E222" s="28" t="n"/>
      <c r="F222" s="28" t="n"/>
      <c r="G222" s="28" t="n"/>
      <c r="H222" s="28" t="n"/>
      <c r="I222" s="28" t="n"/>
      <c r="J222" s="28" t="n"/>
      <c r="K222" s="28" t="n"/>
    </row>
    <row r="223">
      <c r="A223" s="28" t="n"/>
      <c r="B223" s="28" t="n"/>
      <c r="C223" s="28" t="n"/>
      <c r="D223" s="28" t="n"/>
      <c r="E223" s="28" t="n"/>
      <c r="F223" s="28" t="n"/>
      <c r="G223" s="28" t="n"/>
      <c r="H223" s="28" t="n"/>
      <c r="I223" s="28" t="n"/>
      <c r="J223" s="28" t="n"/>
      <c r="K223" s="28" t="n"/>
    </row>
    <row r="224">
      <c r="A224" s="28" t="n"/>
      <c r="B224" s="28" t="n"/>
      <c r="C224" s="28" t="n"/>
      <c r="D224" s="28" t="n"/>
      <c r="E224" s="28" t="n"/>
      <c r="F224" s="28" t="n"/>
      <c r="G224" s="28" t="n"/>
      <c r="H224" s="28" t="n"/>
      <c r="I224" s="28" t="n"/>
      <c r="J224" s="28" t="n"/>
      <c r="K224" s="28" t="n"/>
    </row>
    <row r="225">
      <c r="A225" s="28" t="n"/>
      <c r="B225" s="28" t="n"/>
      <c r="C225" s="28" t="n"/>
      <c r="D225" s="28" t="n"/>
      <c r="E225" s="28" t="n"/>
      <c r="F225" s="28" t="n"/>
      <c r="G225" s="28" t="n"/>
      <c r="H225" s="28" t="n"/>
      <c r="I225" s="28" t="n"/>
      <c r="J225" s="28" t="n"/>
      <c r="K225" s="28" t="n"/>
    </row>
    <row r="226">
      <c r="A226" s="28" t="n"/>
      <c r="B226" s="28" t="n"/>
      <c r="C226" s="28" t="n"/>
      <c r="D226" s="28" t="n"/>
      <c r="E226" s="28" t="n"/>
      <c r="F226" s="28" t="n"/>
      <c r="G226" s="28" t="n"/>
      <c r="H226" s="28" t="n"/>
      <c r="I226" s="28" t="n"/>
      <c r="J226" s="28" t="n"/>
      <c r="K226" s="28" t="n"/>
    </row>
    <row r="227">
      <c r="A227" s="28" t="n"/>
      <c r="B227" s="28" t="n"/>
      <c r="C227" s="28" t="n"/>
      <c r="D227" s="28" t="n"/>
      <c r="E227" s="28" t="n"/>
      <c r="F227" s="28" t="n"/>
      <c r="G227" s="28" t="n"/>
      <c r="H227" s="28" t="n"/>
      <c r="I227" s="28" t="n"/>
      <c r="J227" s="28" t="n"/>
      <c r="K227" s="28" t="n"/>
    </row>
    <row r="228">
      <c r="A228" s="28" t="n"/>
      <c r="B228" s="28" t="n"/>
      <c r="C228" s="28" t="n"/>
      <c r="D228" s="28" t="n"/>
      <c r="E228" s="28" t="n"/>
      <c r="F228" s="28" t="n"/>
      <c r="G228" s="28" t="n"/>
      <c r="H228" s="28" t="n"/>
      <c r="I228" s="28" t="n"/>
      <c r="J228" s="28" t="n"/>
      <c r="K228" s="28" t="n"/>
    </row>
    <row r="229">
      <c r="A229" s="28" t="n"/>
      <c r="B229" s="28" t="n"/>
      <c r="C229" s="28" t="n"/>
      <c r="D229" s="28" t="n"/>
      <c r="E229" s="28" t="n"/>
      <c r="F229" s="28" t="n"/>
      <c r="G229" s="28" t="n"/>
      <c r="H229" s="28" t="n"/>
      <c r="I229" s="28" t="n"/>
      <c r="J229" s="28" t="n"/>
      <c r="K229" s="28" t="n"/>
    </row>
    <row r="230">
      <c r="A230" s="28" t="n"/>
      <c r="B230" s="28" t="n"/>
      <c r="C230" s="28" t="n"/>
      <c r="D230" s="28" t="n"/>
      <c r="E230" s="28" t="n"/>
      <c r="F230" s="28" t="n"/>
      <c r="G230" s="28" t="n"/>
      <c r="H230" s="28" t="n"/>
      <c r="I230" s="28" t="n"/>
      <c r="J230" s="28" t="n"/>
      <c r="K230" s="28" t="n"/>
    </row>
    <row r="231">
      <c r="A231" s="28" t="n"/>
      <c r="B231" s="28" t="n"/>
      <c r="C231" s="28" t="n"/>
      <c r="D231" s="28" t="n"/>
      <c r="E231" s="28" t="n"/>
      <c r="F231" s="28" t="n"/>
      <c r="G231" s="28" t="n"/>
      <c r="H231" s="28" t="n"/>
      <c r="I231" s="28" t="n"/>
      <c r="J231" s="28" t="n"/>
      <c r="K231" s="28" t="n"/>
    </row>
    <row r="232">
      <c r="A232" s="28" t="n"/>
      <c r="B232" s="28" t="n"/>
      <c r="C232" s="28" t="n"/>
      <c r="D232" s="28" t="n"/>
      <c r="E232" s="28" t="n"/>
      <c r="F232" s="28" t="n"/>
      <c r="G232" s="28" t="n"/>
      <c r="H232" s="28" t="n"/>
      <c r="I232" s="28" t="n"/>
      <c r="J232" s="28" t="n"/>
      <c r="K232" s="28" t="n"/>
    </row>
    <row r="233">
      <c r="A233" s="28" t="n"/>
      <c r="B233" s="28" t="n"/>
      <c r="C233" s="28" t="n"/>
      <c r="D233" s="28" t="n"/>
      <c r="E233" s="28" t="n"/>
      <c r="F233" s="28" t="n"/>
      <c r="G233" s="28" t="n"/>
      <c r="H233" s="28" t="n"/>
      <c r="I233" s="28" t="n"/>
      <c r="J233" s="28" t="n"/>
      <c r="K233" s="28" t="n"/>
    </row>
    <row r="234">
      <c r="A234" s="28" t="n"/>
      <c r="B234" s="28" t="n"/>
      <c r="C234" s="28" t="n"/>
      <c r="D234" s="28" t="n"/>
      <c r="E234" s="28" t="n"/>
      <c r="F234" s="28" t="n"/>
      <c r="G234" s="28" t="n"/>
      <c r="H234" s="28" t="n"/>
      <c r="I234" s="28" t="n"/>
      <c r="J234" s="28" t="n"/>
      <c r="K234" s="28" t="n"/>
    </row>
    <row r="235">
      <c r="A235" s="28" t="n"/>
      <c r="B235" s="28" t="n"/>
      <c r="C235" s="28" t="n"/>
      <c r="D235" s="28" t="n"/>
      <c r="E235" s="28" t="n"/>
      <c r="F235" s="28" t="n"/>
      <c r="G235" s="28" t="n"/>
      <c r="H235" s="28" t="n"/>
      <c r="I235" s="28" t="n"/>
      <c r="J235" s="28" t="n"/>
      <c r="K235" s="28" t="n"/>
    </row>
    <row r="236">
      <c r="A236" s="28" t="n"/>
      <c r="B236" s="28" t="n"/>
      <c r="C236" s="28" t="n"/>
      <c r="D236" s="28" t="n"/>
      <c r="E236" s="28" t="n"/>
      <c r="F236" s="28" t="n"/>
      <c r="G236" s="28" t="n"/>
      <c r="H236" s="28" t="n"/>
      <c r="I236" s="28" t="n"/>
      <c r="J236" s="28" t="n"/>
      <c r="K236" s="28" t="n"/>
    </row>
    <row r="237">
      <c r="A237" s="28" t="n"/>
      <c r="B237" s="28" t="n"/>
      <c r="C237" s="28" t="n"/>
      <c r="D237" s="28" t="n"/>
      <c r="E237" s="28" t="n"/>
      <c r="F237" s="28" t="n"/>
      <c r="G237" s="28" t="n"/>
      <c r="H237" s="28" t="n"/>
      <c r="I237" s="28" t="n"/>
      <c r="J237" s="28" t="n"/>
      <c r="K237" s="28" t="n"/>
    </row>
    <row r="238">
      <c r="A238" s="28" t="n"/>
      <c r="B238" s="28" t="n"/>
      <c r="C238" s="28" t="n"/>
      <c r="D238" s="28" t="n"/>
      <c r="E238" s="28" t="n"/>
      <c r="F238" s="28" t="n"/>
      <c r="G238" s="28" t="n"/>
      <c r="H238" s="28" t="n"/>
      <c r="I238" s="28" t="n"/>
      <c r="J238" s="28" t="n"/>
      <c r="K238" s="28" t="n"/>
    </row>
    <row r="239">
      <c r="A239" s="28" t="n"/>
      <c r="B239" s="28" t="n"/>
      <c r="C239" s="28" t="n"/>
      <c r="D239" s="28" t="n"/>
      <c r="E239" s="28" t="n"/>
      <c r="F239" s="28" t="n"/>
      <c r="G239" s="28" t="n"/>
      <c r="H239" s="28" t="n"/>
      <c r="I239" s="28" t="n"/>
      <c r="J239" s="28" t="n"/>
      <c r="K239" s="28" t="n"/>
    </row>
    <row r="240">
      <c r="A240" s="28" t="n"/>
      <c r="B240" s="28" t="n"/>
      <c r="C240" s="28" t="n"/>
      <c r="D240" s="28" t="n"/>
      <c r="E240" s="28" t="n"/>
      <c r="F240" s="28" t="n"/>
      <c r="G240" s="28" t="n"/>
      <c r="H240" s="28" t="n"/>
      <c r="I240" s="28" t="n"/>
      <c r="J240" s="28" t="n"/>
      <c r="K240" s="28" t="n"/>
    </row>
    <row r="241">
      <c r="A241" s="28" t="n"/>
      <c r="B241" s="28" t="n"/>
      <c r="C241" s="28" t="n"/>
      <c r="D241" s="28" t="n"/>
      <c r="E241" s="28" t="n"/>
      <c r="F241" s="28" t="n"/>
      <c r="G241" s="28" t="n"/>
      <c r="H241" s="28" t="n"/>
      <c r="I241" s="28" t="n"/>
      <c r="J241" s="28" t="n"/>
      <c r="K241" s="28" t="n"/>
    </row>
    <row r="242">
      <c r="A242" s="28" t="n"/>
      <c r="B242" s="28" t="n"/>
      <c r="C242" s="28" t="n"/>
      <c r="D242" s="28" t="n"/>
      <c r="E242" s="28" t="n"/>
      <c r="F242" s="28" t="n"/>
      <c r="G242" s="28" t="n"/>
      <c r="H242" s="28" t="n"/>
      <c r="I242" s="28" t="n"/>
      <c r="J242" s="28" t="n"/>
      <c r="K242" s="28" t="n"/>
    </row>
    <row r="243">
      <c r="A243" s="28" t="n"/>
      <c r="B243" s="28" t="n"/>
      <c r="C243" s="28" t="n"/>
      <c r="D243" s="28" t="n"/>
      <c r="E243" s="28" t="n"/>
      <c r="F243" s="28" t="n"/>
      <c r="G243" s="28" t="n"/>
      <c r="H243" s="28" t="n"/>
      <c r="I243" s="28" t="n"/>
      <c r="J243" s="28" t="n"/>
      <c r="K243" s="28" t="n"/>
    </row>
    <row r="244">
      <c r="A244" s="28" t="n"/>
      <c r="B244" s="28" t="n"/>
      <c r="C244" s="28" t="n"/>
      <c r="D244" s="28" t="n"/>
      <c r="E244" s="28" t="n"/>
      <c r="F244" s="28" t="n"/>
      <c r="G244" s="28" t="n"/>
      <c r="H244" s="28" t="n"/>
      <c r="I244" s="28" t="n"/>
      <c r="J244" s="28" t="n"/>
      <c r="K244" s="28" t="n"/>
    </row>
    <row r="245">
      <c r="A245" s="28" t="n"/>
      <c r="B245" s="28" t="n"/>
      <c r="C245" s="28" t="n"/>
      <c r="D245" s="28" t="n"/>
      <c r="E245" s="28" t="n"/>
      <c r="F245" s="28" t="n"/>
      <c r="G245" s="28" t="n"/>
      <c r="H245" s="28" t="n"/>
      <c r="I245" s="28" t="n"/>
      <c r="J245" s="28" t="n"/>
      <c r="K245" s="28" t="n"/>
    </row>
    <row r="246">
      <c r="A246" s="28" t="n"/>
      <c r="B246" s="28" t="n"/>
      <c r="C246" s="28" t="n"/>
      <c r="D246" s="28" t="n"/>
      <c r="E246" s="28" t="n"/>
      <c r="F246" s="28" t="n"/>
      <c r="G246" s="28" t="n"/>
      <c r="H246" s="28" t="n"/>
      <c r="I246" s="28" t="n"/>
      <c r="J246" s="28" t="n"/>
      <c r="K246" s="28" t="n"/>
    </row>
    <row r="247">
      <c r="A247" s="28" t="n"/>
      <c r="B247" s="28" t="n"/>
      <c r="C247" s="28" t="n"/>
      <c r="D247" s="28" t="n"/>
      <c r="E247" s="28" t="n"/>
      <c r="F247" s="28" t="n"/>
      <c r="G247" s="28" t="n"/>
      <c r="H247" s="28" t="n"/>
      <c r="I247" s="28" t="n"/>
      <c r="J247" s="28" t="n"/>
      <c r="K247" s="28" t="n"/>
    </row>
    <row r="248">
      <c r="A248" s="28" t="n"/>
      <c r="B248" s="28" t="n"/>
      <c r="C248" s="28" t="n"/>
      <c r="D248" s="28" t="n"/>
      <c r="E248" s="28" t="n"/>
      <c r="F248" s="28" t="n"/>
      <c r="G248" s="28" t="n"/>
      <c r="H248" s="28" t="n"/>
      <c r="I248" s="28" t="n"/>
      <c r="J248" s="28" t="n"/>
      <c r="K248" s="28" t="n"/>
    </row>
    <row r="249">
      <c r="A249" s="28" t="n"/>
      <c r="B249" s="28" t="n"/>
      <c r="C249" s="28" t="n"/>
      <c r="D249" s="28" t="n"/>
      <c r="E249" s="28" t="n"/>
      <c r="F249" s="28" t="n"/>
      <c r="G249" s="28" t="n"/>
      <c r="H249" s="28" t="n"/>
      <c r="I249" s="28" t="n"/>
      <c r="J249" s="28" t="n"/>
      <c r="K249" s="28" t="n"/>
    </row>
    <row r="250">
      <c r="A250" s="28" t="n"/>
      <c r="B250" s="28" t="n"/>
      <c r="C250" s="28" t="n"/>
      <c r="D250" s="28" t="n"/>
      <c r="E250" s="28" t="n"/>
      <c r="F250" s="28" t="n"/>
      <c r="G250" s="28" t="n"/>
      <c r="H250" s="28" t="n"/>
      <c r="I250" s="28" t="n"/>
      <c r="J250" s="28" t="n"/>
      <c r="K250" s="28" t="n"/>
    </row>
    <row r="251">
      <c r="A251" s="28" t="n"/>
      <c r="B251" s="28" t="n"/>
      <c r="C251" s="28" t="n"/>
      <c r="D251" s="28" t="n"/>
      <c r="E251" s="28" t="n"/>
      <c r="F251" s="28" t="n"/>
      <c r="G251" s="28" t="n"/>
      <c r="H251" s="28" t="n"/>
      <c r="I251" s="28" t="n"/>
      <c r="J251" s="28" t="n"/>
      <c r="K251" s="28" t="n"/>
    </row>
    <row r="252">
      <c r="A252" s="28" t="n"/>
      <c r="B252" s="28" t="n"/>
      <c r="C252" s="28" t="n"/>
      <c r="D252" s="28" t="n"/>
      <c r="E252" s="28" t="n"/>
      <c r="F252" s="28" t="n"/>
      <c r="G252" s="28" t="n"/>
      <c r="H252" s="28" t="n"/>
      <c r="I252" s="28" t="n"/>
      <c r="J252" s="28" t="n"/>
      <c r="K252" s="28" t="n"/>
    </row>
    <row r="253">
      <c r="A253" s="28" t="n"/>
      <c r="B253" s="28" t="n"/>
      <c r="C253" s="28" t="n"/>
      <c r="D253" s="28" t="n"/>
      <c r="E253" s="28" t="n"/>
      <c r="F253" s="28" t="n"/>
      <c r="G253" s="28" t="n"/>
      <c r="H253" s="28" t="n"/>
      <c r="I253" s="28" t="n"/>
      <c r="J253" s="28" t="n"/>
      <c r="K253" s="28" t="n"/>
    </row>
    <row r="254">
      <c r="A254" s="28" t="n"/>
      <c r="B254" s="28" t="n"/>
      <c r="C254" s="28" t="n"/>
      <c r="D254" s="28" t="n"/>
      <c r="E254" s="28" t="n"/>
      <c r="F254" s="28" t="n"/>
      <c r="G254" s="28" t="n"/>
      <c r="H254" s="28" t="n"/>
      <c r="I254" s="28" t="n"/>
      <c r="J254" s="28" t="n"/>
      <c r="K254" s="28" t="n"/>
    </row>
    <row r="255">
      <c r="A255" s="28" t="n"/>
      <c r="B255" s="28" t="n"/>
      <c r="C255" s="28" t="n"/>
      <c r="D255" s="28" t="n"/>
      <c r="E255" s="28" t="n"/>
      <c r="F255" s="28" t="n"/>
      <c r="G255" s="28" t="n"/>
      <c r="H255" s="28" t="n"/>
      <c r="I255" s="28" t="n"/>
      <c r="J255" s="28" t="n"/>
      <c r="K255" s="28" t="n"/>
    </row>
    <row r="256">
      <c r="A256" s="28" t="n"/>
      <c r="B256" s="28" t="n"/>
      <c r="C256" s="28" t="n"/>
      <c r="D256" s="28" t="n"/>
      <c r="E256" s="28" t="n"/>
      <c r="F256" s="28" t="n"/>
      <c r="G256" s="28" t="n"/>
      <c r="H256" s="28" t="n"/>
      <c r="I256" s="28" t="n"/>
      <c r="J256" s="28" t="n"/>
      <c r="K256" s="28" t="n"/>
    </row>
    <row r="257">
      <c r="A257" s="28" t="n"/>
      <c r="B257" s="28" t="n"/>
      <c r="C257" s="28" t="n"/>
      <c r="D257" s="28" t="n"/>
      <c r="E257" s="28" t="n"/>
      <c r="F257" s="28" t="n"/>
      <c r="G257" s="28" t="n"/>
      <c r="H257" s="28" t="n"/>
      <c r="I257" s="28" t="n"/>
      <c r="J257" s="28" t="n"/>
      <c r="K257" s="28" t="n"/>
    </row>
    <row r="258">
      <c r="A258" s="28" t="n"/>
      <c r="B258" s="28" t="n"/>
      <c r="C258" s="28" t="n"/>
      <c r="D258" s="28" t="n"/>
      <c r="E258" s="28" t="n"/>
      <c r="F258" s="28" t="n"/>
      <c r="G258" s="28" t="n"/>
      <c r="H258" s="28" t="n"/>
      <c r="I258" s="28" t="n"/>
      <c r="J258" s="28" t="n"/>
      <c r="K258" s="28" t="n"/>
    </row>
    <row r="259">
      <c r="A259" s="28" t="n"/>
      <c r="B259" s="28" t="n"/>
      <c r="C259" s="28" t="n"/>
      <c r="D259" s="28" t="n"/>
      <c r="E259" s="28" t="n"/>
      <c r="F259" s="28" t="n"/>
      <c r="G259" s="28" t="n"/>
      <c r="H259" s="28" t="n"/>
      <c r="I259" s="28" t="n"/>
      <c r="J259" s="28" t="n"/>
      <c r="K259" s="28" t="n"/>
    </row>
    <row r="260">
      <c r="A260" s="28" t="n"/>
      <c r="B260" s="28" t="n"/>
      <c r="C260" s="28" t="n"/>
      <c r="D260" s="28" t="n"/>
      <c r="E260" s="28" t="n"/>
      <c r="F260" s="28" t="n"/>
      <c r="G260" s="28" t="n"/>
      <c r="H260" s="28" t="n"/>
      <c r="I260" s="28" t="n"/>
      <c r="J260" s="28" t="n"/>
      <c r="K260" s="28" t="n"/>
    </row>
    <row r="261">
      <c r="A261" s="28" t="n"/>
      <c r="B261" s="28" t="n"/>
      <c r="C261" s="28" t="n"/>
      <c r="D261" s="28" t="n"/>
      <c r="E261" s="28" t="n"/>
      <c r="F261" s="28" t="n"/>
      <c r="G261" s="28" t="n"/>
      <c r="H261" s="28" t="n"/>
      <c r="I261" s="28" t="n"/>
      <c r="J261" s="28" t="n"/>
      <c r="K261" s="28" t="n"/>
    </row>
    <row r="262">
      <c r="A262" s="28" t="n"/>
      <c r="B262" s="28" t="n"/>
      <c r="C262" s="28" t="n"/>
      <c r="D262" s="28" t="n"/>
      <c r="E262" s="28" t="n"/>
      <c r="F262" s="28" t="n"/>
      <c r="G262" s="28" t="n"/>
      <c r="H262" s="28" t="n"/>
      <c r="I262" s="28" t="n"/>
      <c r="J262" s="28" t="n"/>
      <c r="K262" s="28" t="n"/>
    </row>
    <row r="263">
      <c r="A263" s="28" t="n"/>
      <c r="B263" s="28" t="n"/>
      <c r="C263" s="28" t="n"/>
      <c r="D263" s="28" t="n"/>
      <c r="E263" s="28" t="n"/>
      <c r="F263" s="28" t="n"/>
      <c r="G263" s="28" t="n"/>
      <c r="H263" s="28" t="n"/>
      <c r="I263" s="28" t="n"/>
      <c r="J263" s="28" t="n"/>
      <c r="K263" s="28" t="n"/>
    </row>
    <row r="264">
      <c r="A264" s="28" t="n"/>
      <c r="B264" s="28" t="n"/>
      <c r="C264" s="28" t="n"/>
      <c r="D264" s="28" t="n"/>
      <c r="E264" s="28" t="n"/>
      <c r="F264" s="28" t="n"/>
      <c r="G264" s="28" t="n"/>
      <c r="H264" s="28" t="n"/>
      <c r="I264" s="28" t="n"/>
      <c r="J264" s="28" t="n"/>
      <c r="K264" s="28" t="n"/>
    </row>
    <row r="265">
      <c r="A265" s="28" t="n"/>
      <c r="B265" s="28" t="n"/>
      <c r="C265" s="28" t="n"/>
      <c r="D265" s="28" t="n"/>
      <c r="E265" s="28" t="n"/>
      <c r="F265" s="28" t="n"/>
      <c r="G265" s="28" t="n"/>
      <c r="H265" s="28" t="n"/>
      <c r="I265" s="28" t="n"/>
      <c r="J265" s="28" t="n"/>
      <c r="K265" s="28" t="n"/>
    </row>
    <row r="266">
      <c r="A266" s="28" t="n"/>
      <c r="B266" s="28" t="n"/>
      <c r="C266" s="28" t="n"/>
      <c r="D266" s="28" t="n"/>
      <c r="E266" s="28" t="n"/>
      <c r="F266" s="28" t="n"/>
      <c r="G266" s="28" t="n"/>
      <c r="H266" s="28" t="n"/>
      <c r="I266" s="28" t="n"/>
      <c r="J266" s="28" t="n"/>
      <c r="K266" s="28" t="n"/>
    </row>
    <row r="267">
      <c r="A267" s="28" t="n"/>
      <c r="B267" s="28" t="n"/>
      <c r="C267" s="28" t="n"/>
      <c r="D267" s="28" t="n"/>
      <c r="E267" s="28" t="n"/>
      <c r="F267" s="28" t="n"/>
      <c r="G267" s="28" t="n"/>
      <c r="H267" s="28" t="n"/>
      <c r="I267" s="28" t="n"/>
      <c r="J267" s="28" t="n"/>
      <c r="K267" s="28" t="n"/>
    </row>
    <row r="268">
      <c r="A268" s="28" t="n"/>
      <c r="B268" s="28" t="n"/>
      <c r="C268" s="28" t="n"/>
      <c r="D268" s="28" t="n"/>
      <c r="E268" s="28" t="n"/>
      <c r="F268" s="28" t="n"/>
      <c r="G268" s="28" t="n"/>
      <c r="H268" s="28" t="n"/>
      <c r="I268" s="28" t="n"/>
      <c r="J268" s="28" t="n"/>
      <c r="K268" s="28" t="n"/>
    </row>
    <row r="269">
      <c r="A269" s="28" t="n"/>
      <c r="B269" s="28" t="n"/>
      <c r="C269" s="28" t="n"/>
      <c r="D269" s="28" t="n"/>
      <c r="E269" s="28" t="n"/>
      <c r="F269" s="28" t="n"/>
      <c r="G269" s="28" t="n"/>
      <c r="H269" s="28" t="n"/>
      <c r="I269" s="28" t="n"/>
      <c r="J269" s="28" t="n"/>
      <c r="K269" s="28" t="n"/>
    </row>
    <row r="270">
      <c r="A270" s="28" t="n"/>
      <c r="B270" s="28" t="n"/>
      <c r="C270" s="28" t="n"/>
      <c r="D270" s="28" t="n"/>
      <c r="E270" s="28" t="n"/>
      <c r="F270" s="28" t="n"/>
      <c r="G270" s="28" t="n"/>
      <c r="H270" s="28" t="n"/>
      <c r="I270" s="28" t="n"/>
      <c r="J270" s="28" t="n"/>
      <c r="K270" s="28" t="n"/>
    </row>
    <row r="271">
      <c r="A271" s="28" t="n"/>
      <c r="B271" s="28" t="n"/>
      <c r="C271" s="28" t="n"/>
      <c r="D271" s="28" t="n"/>
      <c r="E271" s="28" t="n"/>
      <c r="F271" s="28" t="n"/>
      <c r="G271" s="28" t="n"/>
      <c r="H271" s="28" t="n"/>
      <c r="I271" s="28" t="n"/>
      <c r="J271" s="28" t="n"/>
      <c r="K271" s="28" t="n"/>
    </row>
    <row r="272">
      <c r="A272" s="28" t="n"/>
      <c r="B272" s="28" t="n"/>
      <c r="C272" s="28" t="n"/>
      <c r="D272" s="28" t="n"/>
      <c r="E272" s="28" t="n"/>
      <c r="F272" s="28" t="n"/>
      <c r="G272" s="28" t="n"/>
      <c r="H272" s="28" t="n"/>
      <c r="I272" s="28" t="n"/>
      <c r="J272" s="28" t="n"/>
      <c r="K272" s="28" t="n"/>
    </row>
    <row r="273">
      <c r="A273" s="28" t="n"/>
      <c r="B273" s="28" t="n"/>
      <c r="C273" s="28" t="n"/>
      <c r="D273" s="28" t="n"/>
      <c r="E273" s="28" t="n"/>
      <c r="F273" s="28" t="n"/>
      <c r="G273" s="28" t="n"/>
      <c r="H273" s="28" t="n"/>
      <c r="I273" s="28" t="n"/>
      <c r="J273" s="28" t="n"/>
      <c r="K273" s="28" t="n"/>
    </row>
    <row r="274">
      <c r="A274" s="28" t="n"/>
      <c r="B274" s="28" t="n"/>
      <c r="C274" s="28" t="n"/>
      <c r="D274" s="28" t="n"/>
      <c r="E274" s="28" t="n"/>
      <c r="F274" s="28" t="n"/>
      <c r="G274" s="28" t="n"/>
      <c r="H274" s="28" t="n"/>
      <c r="I274" s="28" t="n"/>
      <c r="J274" s="28" t="n"/>
      <c r="K274" s="28" t="n"/>
    </row>
    <row r="275">
      <c r="A275" s="28" t="n"/>
      <c r="B275" s="28" t="n"/>
      <c r="C275" s="28" t="n"/>
      <c r="D275" s="28" t="n"/>
      <c r="E275" s="28" t="n"/>
      <c r="F275" s="28" t="n"/>
      <c r="G275" s="28" t="n"/>
      <c r="H275" s="28" t="n"/>
      <c r="I275" s="28" t="n"/>
      <c r="J275" s="28" t="n"/>
      <c r="K275" s="28" t="n"/>
    </row>
    <row r="276">
      <c r="A276" s="28" t="n"/>
      <c r="B276" s="28" t="n"/>
      <c r="C276" s="28" t="n"/>
      <c r="D276" s="28" t="n"/>
      <c r="E276" s="28" t="n"/>
      <c r="F276" s="28" t="n"/>
      <c r="G276" s="28" t="n"/>
      <c r="H276" s="28" t="n"/>
      <c r="I276" s="28" t="n"/>
      <c r="J276" s="28" t="n"/>
      <c r="K276" s="28" t="n"/>
    </row>
    <row r="277">
      <c r="A277" s="28" t="n"/>
      <c r="B277" s="28" t="n"/>
      <c r="C277" s="28" t="n"/>
      <c r="D277" s="28" t="n"/>
      <c r="E277" s="28" t="n"/>
      <c r="F277" s="28" t="n"/>
      <c r="G277" s="28" t="n"/>
      <c r="H277" s="28" t="n"/>
      <c r="I277" s="28" t="n"/>
      <c r="J277" s="28" t="n"/>
      <c r="K277" s="28" t="n"/>
    </row>
    <row r="278">
      <c r="A278" s="28" t="n"/>
      <c r="B278" s="28" t="n"/>
      <c r="C278" s="28" t="n"/>
      <c r="D278" s="28" t="n"/>
      <c r="E278" s="28" t="n"/>
      <c r="F278" s="28" t="n"/>
      <c r="G278" s="28" t="n"/>
      <c r="H278" s="28" t="n"/>
      <c r="I278" s="28" t="n"/>
      <c r="J278" s="28" t="n"/>
      <c r="K278" s="28" t="n"/>
    </row>
    <row r="279">
      <c r="A279" s="28" t="n"/>
      <c r="B279" s="28" t="n"/>
      <c r="C279" s="28" t="n"/>
      <c r="D279" s="28" t="n"/>
      <c r="E279" s="28" t="n"/>
      <c r="F279" s="28" t="n"/>
      <c r="G279" s="28" t="n"/>
      <c r="H279" s="28" t="n"/>
      <c r="I279" s="28" t="n"/>
      <c r="J279" s="28" t="n"/>
      <c r="K279" s="28" t="n"/>
    </row>
    <row r="280">
      <c r="A280" s="28" t="n"/>
      <c r="B280" s="28" t="n"/>
      <c r="C280" s="28" t="n"/>
      <c r="D280" s="28" t="n"/>
      <c r="E280" s="28" t="n"/>
      <c r="F280" s="28" t="n"/>
      <c r="G280" s="28" t="n"/>
      <c r="H280" s="28" t="n"/>
      <c r="I280" s="28" t="n"/>
      <c r="J280" s="28" t="n"/>
      <c r="K280" s="28" t="n"/>
    </row>
    <row r="281">
      <c r="A281" s="28" t="n"/>
      <c r="B281" s="28" t="n"/>
      <c r="C281" s="28" t="n"/>
      <c r="D281" s="28" t="n"/>
      <c r="E281" s="28" t="n"/>
      <c r="F281" s="28" t="n"/>
      <c r="G281" s="28" t="n"/>
      <c r="H281" s="28" t="n"/>
      <c r="I281" s="28" t="n"/>
      <c r="J281" s="28" t="n"/>
      <c r="K281" s="28" t="n"/>
    </row>
    <row r="282">
      <c r="A282" s="28" t="n"/>
      <c r="B282" s="28" t="n"/>
      <c r="C282" s="28" t="n"/>
      <c r="D282" s="28" t="n"/>
      <c r="E282" s="28" t="n"/>
      <c r="F282" s="28" t="n"/>
      <c r="G282" s="28" t="n"/>
      <c r="H282" s="28" t="n"/>
      <c r="I282" s="28" t="n"/>
      <c r="J282" s="28" t="n"/>
      <c r="K282" s="28" t="n"/>
    </row>
    <row r="283">
      <c r="A283" s="28" t="n"/>
      <c r="B283" s="28" t="n"/>
      <c r="C283" s="28" t="n"/>
      <c r="D283" s="28" t="n"/>
      <c r="E283" s="28" t="n"/>
      <c r="F283" s="28" t="n"/>
      <c r="G283" s="28" t="n"/>
      <c r="H283" s="28" t="n"/>
      <c r="I283" s="28" t="n"/>
      <c r="J283" s="28" t="n"/>
      <c r="K283" s="28" t="n"/>
    </row>
    <row r="284">
      <c r="A284" s="28" t="n"/>
      <c r="B284" s="28" t="n"/>
      <c r="C284" s="28" t="n"/>
      <c r="D284" s="28" t="n"/>
      <c r="E284" s="28" t="n"/>
      <c r="F284" s="28" t="n"/>
      <c r="G284" s="28" t="n"/>
      <c r="H284" s="28" t="n"/>
      <c r="I284" s="28" t="n"/>
      <c r="J284" s="28" t="n"/>
      <c r="K284" s="28" t="n"/>
    </row>
    <row r="285">
      <c r="A285" s="28" t="n"/>
      <c r="B285" s="28" t="n"/>
      <c r="C285" s="28" t="n"/>
      <c r="D285" s="28" t="n"/>
      <c r="E285" s="28" t="n"/>
      <c r="F285" s="28" t="n"/>
      <c r="G285" s="28" t="n"/>
      <c r="H285" s="28" t="n"/>
      <c r="I285" s="28" t="n"/>
      <c r="J285" s="28" t="n"/>
      <c r="K285" s="28" t="n"/>
    </row>
    <row r="286">
      <c r="A286" s="28" t="n"/>
      <c r="B286" s="28" t="n"/>
      <c r="C286" s="28" t="n"/>
      <c r="D286" s="28" t="n"/>
      <c r="E286" s="28" t="n"/>
      <c r="F286" s="28" t="n"/>
      <c r="G286" s="28" t="n"/>
      <c r="H286" s="28" t="n"/>
      <c r="I286" s="28" t="n"/>
      <c r="J286" s="28" t="n"/>
      <c r="K286" s="28" t="n"/>
    </row>
    <row r="287">
      <c r="A287" s="28" t="n"/>
      <c r="B287" s="28" t="n"/>
      <c r="C287" s="28" t="n"/>
      <c r="D287" s="28" t="n"/>
      <c r="E287" s="28" t="n"/>
      <c r="F287" s="28" t="n"/>
      <c r="G287" s="28" t="n"/>
      <c r="H287" s="28" t="n"/>
      <c r="I287" s="28" t="n"/>
      <c r="J287" s="28" t="n"/>
      <c r="K287" s="28" t="n"/>
    </row>
    <row r="288">
      <c r="A288" s="28" t="n"/>
      <c r="B288" s="28" t="n"/>
      <c r="C288" s="28" t="n"/>
      <c r="D288" s="28" t="n"/>
      <c r="E288" s="28" t="n"/>
      <c r="F288" s="28" t="n"/>
      <c r="G288" s="28" t="n"/>
      <c r="H288" s="28" t="n"/>
      <c r="I288" s="28" t="n"/>
      <c r="J288" s="28" t="n"/>
      <c r="K288" s="28" t="n"/>
    </row>
    <row r="289">
      <c r="A289" s="28" t="n"/>
      <c r="B289" s="28" t="n"/>
      <c r="C289" s="28" t="n"/>
      <c r="D289" s="28" t="n"/>
      <c r="E289" s="28" t="n"/>
      <c r="F289" s="28" t="n"/>
      <c r="G289" s="28" t="n"/>
      <c r="H289" s="28" t="n"/>
      <c r="I289" s="28" t="n"/>
      <c r="J289" s="28" t="n"/>
      <c r="K289" s="28" t="n"/>
    </row>
    <row r="290">
      <c r="A290" s="28" t="n"/>
      <c r="B290" s="28" t="n"/>
      <c r="C290" s="28" t="n"/>
      <c r="D290" s="28" t="n"/>
      <c r="E290" s="28" t="n"/>
      <c r="F290" s="28" t="n"/>
      <c r="G290" s="28" t="n"/>
      <c r="H290" s="28" t="n"/>
      <c r="I290" s="28" t="n"/>
      <c r="J290" s="28" t="n"/>
      <c r="K290" s="28" t="n"/>
    </row>
    <row r="291">
      <c r="A291" s="28" t="n"/>
      <c r="B291" s="28" t="n"/>
      <c r="C291" s="28" t="n"/>
      <c r="D291" s="28" t="n"/>
      <c r="E291" s="28" t="n"/>
      <c r="F291" s="28" t="n"/>
      <c r="G291" s="28" t="n"/>
      <c r="H291" s="28" t="n"/>
      <c r="I291" s="28" t="n"/>
      <c r="J291" s="28" t="n"/>
      <c r="K291" s="28" t="n"/>
    </row>
    <row r="292">
      <c r="A292" s="28" t="n"/>
      <c r="B292" s="28" t="n"/>
      <c r="C292" s="28" t="n"/>
      <c r="D292" s="28" t="n"/>
      <c r="E292" s="28" t="n"/>
      <c r="F292" s="28" t="n"/>
      <c r="G292" s="28" t="n"/>
      <c r="H292" s="28" t="n"/>
      <c r="I292" s="28" t="n"/>
      <c r="J292" s="28" t="n"/>
      <c r="K292" s="28" t="n"/>
    </row>
    <row r="293">
      <c r="A293" s="28" t="n"/>
      <c r="B293" s="28" t="n"/>
      <c r="C293" s="28" t="n"/>
      <c r="D293" s="28" t="n"/>
      <c r="E293" s="28" t="n"/>
      <c r="F293" s="28" t="n"/>
      <c r="G293" s="28" t="n"/>
      <c r="H293" s="28" t="n"/>
      <c r="I293" s="28" t="n"/>
      <c r="J293" s="28" t="n"/>
      <c r="K293" s="28" t="n"/>
    </row>
    <row r="294">
      <c r="A294" s="28" t="n"/>
      <c r="B294" s="28" t="n"/>
      <c r="C294" s="28" t="n"/>
      <c r="D294" s="28" t="n"/>
      <c r="E294" s="28" t="n"/>
      <c r="F294" s="28" t="n"/>
      <c r="G294" s="28" t="n"/>
      <c r="H294" s="28" t="n"/>
      <c r="I294" s="28" t="n"/>
      <c r="J294" s="28" t="n"/>
      <c r="K294" s="28" t="n"/>
    </row>
    <row r="295">
      <c r="A295" s="28" t="n"/>
      <c r="B295" s="28" t="n"/>
      <c r="C295" s="28" t="n"/>
      <c r="D295" s="28" t="n"/>
      <c r="E295" s="28" t="n"/>
      <c r="F295" s="28" t="n"/>
      <c r="G295" s="28" t="n"/>
      <c r="H295" s="28" t="n"/>
      <c r="I295" s="28" t="n"/>
      <c r="J295" s="28" t="n"/>
      <c r="K295" s="28" t="n"/>
    </row>
    <row r="296">
      <c r="A296" s="28" t="n"/>
      <c r="B296" s="28" t="n"/>
      <c r="C296" s="28" t="n"/>
      <c r="D296" s="28" t="n"/>
      <c r="E296" s="28" t="n"/>
      <c r="F296" s="28" t="n"/>
      <c r="G296" s="28" t="n"/>
      <c r="H296" s="28" t="n"/>
      <c r="I296" s="28" t="n"/>
      <c r="J296" s="28" t="n"/>
      <c r="K296" s="28" t="n"/>
    </row>
    <row r="297">
      <c r="A297" s="28" t="n"/>
      <c r="B297" s="28" t="n"/>
      <c r="C297" s="28" t="n"/>
      <c r="D297" s="28" t="n"/>
      <c r="E297" s="28" t="n"/>
      <c r="F297" s="28" t="n"/>
      <c r="G297" s="28" t="n"/>
      <c r="H297" s="28" t="n"/>
      <c r="I297" s="28" t="n"/>
      <c r="J297" s="28" t="n"/>
      <c r="K297" s="28" t="n"/>
    </row>
    <row r="298">
      <c r="A298" s="28" t="n"/>
      <c r="B298" s="28" t="n"/>
      <c r="C298" s="28" t="n"/>
      <c r="D298" s="28" t="n"/>
      <c r="E298" s="28" t="n"/>
      <c r="F298" s="28" t="n"/>
      <c r="G298" s="28" t="n"/>
      <c r="H298" s="28" t="n"/>
      <c r="I298" s="28" t="n"/>
      <c r="J298" s="28" t="n"/>
      <c r="K298" s="28" t="n"/>
    </row>
    <row r="299">
      <c r="A299" s="28" t="n"/>
      <c r="B299" s="28" t="n"/>
      <c r="C299" s="28" t="n"/>
      <c r="D299" s="28" t="n"/>
      <c r="E299" s="28" t="n"/>
      <c r="F299" s="28" t="n"/>
      <c r="G299" s="28" t="n"/>
      <c r="H299" s="28" t="n"/>
      <c r="I299" s="28" t="n"/>
      <c r="J299" s="28" t="n"/>
      <c r="K299" s="28" t="n"/>
    </row>
    <row r="300">
      <c r="A300" s="28" t="n"/>
      <c r="B300" s="28" t="n"/>
      <c r="C300" s="28" t="n"/>
      <c r="D300" s="28" t="n"/>
      <c r="E300" s="28" t="n"/>
      <c r="F300" s="28" t="n"/>
      <c r="G300" s="28" t="n"/>
      <c r="H300" s="28" t="n"/>
      <c r="I300" s="28" t="n"/>
      <c r="J300" s="28" t="n"/>
      <c r="K300" s="28" t="n"/>
    </row>
    <row r="301">
      <c r="A301" s="28" t="n"/>
      <c r="B301" s="28" t="n"/>
      <c r="C301" s="28" t="n"/>
      <c r="D301" s="28" t="n"/>
      <c r="E301" s="28" t="n"/>
      <c r="F301" s="28" t="n"/>
      <c r="G301" s="28" t="n"/>
      <c r="H301" s="28" t="n"/>
      <c r="I301" s="28" t="n"/>
      <c r="J301" s="28" t="n"/>
      <c r="K301" s="28" t="n"/>
    </row>
    <row r="302">
      <c r="A302" s="28" t="n"/>
      <c r="B302" s="28" t="n"/>
      <c r="C302" s="28" t="n"/>
      <c r="D302" s="28" t="n"/>
      <c r="E302" s="28" t="n"/>
      <c r="F302" s="28" t="n"/>
      <c r="G302" s="28" t="n"/>
      <c r="H302" s="28" t="n"/>
      <c r="I302" s="28" t="n"/>
      <c r="J302" s="28" t="n"/>
      <c r="K302" s="28" t="n"/>
    </row>
    <row r="303">
      <c r="A303" s="28" t="n"/>
      <c r="B303" s="28" t="n"/>
      <c r="C303" s="28" t="n"/>
      <c r="D303" s="28" t="n"/>
      <c r="E303" s="28" t="n"/>
      <c r="F303" s="28" t="n"/>
      <c r="G303" s="28" t="n"/>
      <c r="H303" s="28" t="n"/>
      <c r="I303" s="28" t="n"/>
      <c r="J303" s="28" t="n"/>
      <c r="K303" s="28" t="n"/>
    </row>
    <row r="304">
      <c r="A304" s="28" t="n"/>
      <c r="B304" s="28" t="n"/>
      <c r="C304" s="28" t="n"/>
      <c r="D304" s="28" t="n"/>
      <c r="E304" s="28" t="n"/>
      <c r="F304" s="28" t="n"/>
      <c r="G304" s="28" t="n"/>
      <c r="H304" s="28" t="n"/>
      <c r="I304" s="28" t="n"/>
      <c r="J304" s="28" t="n"/>
      <c r="K304" s="28" t="n"/>
    </row>
    <row r="305">
      <c r="A305" s="28" t="n"/>
      <c r="B305" s="28" t="n"/>
      <c r="C305" s="28" t="n"/>
      <c r="D305" s="28" t="n"/>
      <c r="E305" s="28" t="n"/>
      <c r="F305" s="28" t="n"/>
      <c r="G305" s="28" t="n"/>
      <c r="H305" s="28" t="n"/>
      <c r="I305" s="28" t="n"/>
      <c r="J305" s="28" t="n"/>
      <c r="K305" s="28" t="n"/>
    </row>
    <row r="306">
      <c r="A306" s="28" t="n"/>
      <c r="B306" s="28" t="n"/>
      <c r="C306" s="28" t="n"/>
      <c r="D306" s="28" t="n"/>
      <c r="E306" s="28" t="n"/>
      <c r="F306" s="28" t="n"/>
      <c r="G306" s="28" t="n"/>
      <c r="H306" s="28" t="n"/>
      <c r="I306" s="28" t="n"/>
      <c r="J306" s="28" t="n"/>
      <c r="K306" s="28" t="n"/>
    </row>
    <row r="307">
      <c r="A307" s="28" t="n"/>
      <c r="B307" s="28" t="n"/>
      <c r="C307" s="28" t="n"/>
      <c r="D307" s="28" t="n"/>
      <c r="E307" s="28" t="n"/>
      <c r="F307" s="28" t="n"/>
      <c r="G307" s="28" t="n"/>
      <c r="H307" s="28" t="n"/>
      <c r="I307" s="28" t="n"/>
      <c r="J307" s="28" t="n"/>
      <c r="K307" s="28" t="n"/>
    </row>
    <row r="308">
      <c r="A308" s="28" t="n"/>
      <c r="B308" s="28" t="n"/>
      <c r="C308" s="28" t="n"/>
      <c r="D308" s="28" t="n"/>
      <c r="E308" s="28" t="n"/>
      <c r="F308" s="28" t="n"/>
      <c r="G308" s="28" t="n"/>
      <c r="H308" s="28" t="n"/>
      <c r="I308" s="28" t="n"/>
      <c r="J308" s="28" t="n"/>
      <c r="K308" s="28" t="n"/>
    </row>
    <row r="309">
      <c r="A309" s="28" t="n"/>
      <c r="B309" s="28" t="n"/>
      <c r="C309" s="28" t="n"/>
      <c r="D309" s="28" t="n"/>
      <c r="E309" s="28" t="n"/>
      <c r="F309" s="28" t="n"/>
      <c r="G309" s="28" t="n"/>
      <c r="H309" s="28" t="n"/>
      <c r="I309" s="28" t="n"/>
      <c r="J309" s="28" t="n"/>
      <c r="K309" s="28" t="n"/>
    </row>
    <row r="310">
      <c r="A310" s="28" t="n"/>
      <c r="B310" s="28" t="n"/>
      <c r="C310" s="28" t="n"/>
      <c r="D310" s="28" t="n"/>
      <c r="E310" s="28" t="n"/>
      <c r="F310" s="28" t="n"/>
      <c r="G310" s="28" t="n"/>
      <c r="H310" s="28" t="n"/>
      <c r="I310" s="28" t="n"/>
      <c r="J310" s="28" t="n"/>
      <c r="K310" s="28" t="n"/>
    </row>
    <row r="311">
      <c r="A311" s="28" t="n"/>
      <c r="B311" s="28" t="n"/>
      <c r="C311" s="28" t="n"/>
      <c r="D311" s="28" t="n"/>
      <c r="E311" s="28" t="n"/>
      <c r="F311" s="28" t="n"/>
      <c r="G311" s="28" t="n"/>
      <c r="H311" s="28" t="n"/>
      <c r="I311" s="28" t="n"/>
      <c r="J311" s="28" t="n"/>
      <c r="K311" s="28" t="n"/>
    </row>
    <row r="312">
      <c r="A312" s="28" t="n"/>
      <c r="B312" s="28" t="n"/>
      <c r="C312" s="28" t="n"/>
      <c r="D312" s="28" t="n"/>
      <c r="E312" s="28" t="n"/>
      <c r="F312" s="28" t="n"/>
      <c r="G312" s="28" t="n"/>
      <c r="H312" s="28" t="n"/>
      <c r="I312" s="28" t="n"/>
      <c r="J312" s="28" t="n"/>
      <c r="K312" s="28" t="n"/>
    </row>
    <row r="313">
      <c r="A313" s="28" t="n"/>
      <c r="B313" s="28" t="n"/>
      <c r="C313" s="28" t="n"/>
      <c r="D313" s="28" t="n"/>
      <c r="E313" s="28" t="n"/>
      <c r="F313" s="28" t="n"/>
      <c r="G313" s="28" t="n"/>
      <c r="H313" s="28" t="n"/>
      <c r="I313" s="28" t="n"/>
      <c r="J313" s="28" t="n"/>
      <c r="K313" s="28" t="n"/>
    </row>
    <row r="314">
      <c r="A314" s="28" t="n"/>
      <c r="B314" s="28" t="n"/>
      <c r="C314" s="28" t="n"/>
      <c r="D314" s="28" t="n"/>
      <c r="E314" s="28" t="n"/>
      <c r="F314" s="28" t="n"/>
      <c r="G314" s="28" t="n"/>
      <c r="H314" s="28" t="n"/>
      <c r="I314" s="28" t="n"/>
      <c r="J314" s="28" t="n"/>
      <c r="K314" s="28" t="n"/>
    </row>
    <row r="315">
      <c r="A315" s="28" t="n"/>
      <c r="B315" s="28" t="n"/>
      <c r="C315" s="28" t="n"/>
      <c r="D315" s="28" t="n"/>
      <c r="E315" s="28" t="n"/>
      <c r="F315" s="28" t="n"/>
      <c r="G315" s="28" t="n"/>
      <c r="H315" s="28" t="n"/>
      <c r="I315" s="28" t="n"/>
      <c r="J315" s="28" t="n"/>
      <c r="K315" s="28" t="n"/>
    </row>
    <row r="316">
      <c r="A316" s="28" t="n"/>
      <c r="B316" s="28" t="n"/>
      <c r="C316" s="28" t="n"/>
      <c r="D316" s="28" t="n"/>
      <c r="E316" s="28" t="n"/>
      <c r="F316" s="28" t="n"/>
      <c r="G316" s="28" t="n"/>
      <c r="H316" s="28" t="n"/>
      <c r="I316" s="28" t="n"/>
      <c r="J316" s="28" t="n"/>
      <c r="K316" s="28" t="n"/>
    </row>
    <row r="317">
      <c r="A317" s="28" t="n"/>
      <c r="B317" s="28" t="n"/>
      <c r="C317" s="28" t="n"/>
      <c r="D317" s="28" t="n"/>
      <c r="E317" s="28" t="n"/>
      <c r="F317" s="28" t="n"/>
      <c r="G317" s="28" t="n"/>
      <c r="H317" s="28" t="n"/>
      <c r="I317" s="28" t="n"/>
      <c r="J317" s="28" t="n"/>
      <c r="K317" s="28" t="n"/>
    </row>
    <row r="318">
      <c r="A318" s="28" t="n"/>
      <c r="B318" s="28" t="n"/>
      <c r="C318" s="28" t="n"/>
      <c r="D318" s="28" t="n"/>
      <c r="E318" s="28" t="n"/>
      <c r="F318" s="28" t="n"/>
      <c r="G318" s="28" t="n"/>
      <c r="H318" s="28" t="n"/>
      <c r="I318" s="28" t="n"/>
      <c r="J318" s="28" t="n"/>
      <c r="K318" s="28" t="n"/>
    </row>
    <row r="319">
      <c r="A319" s="28" t="n"/>
      <c r="B319" s="28" t="n"/>
      <c r="C319" s="28" t="n"/>
      <c r="D319" s="28" t="n"/>
      <c r="E319" s="28" t="n"/>
      <c r="F319" s="28" t="n"/>
      <c r="G319" s="28" t="n"/>
      <c r="H319" s="28" t="n"/>
      <c r="I319" s="28" t="n"/>
      <c r="J319" s="28" t="n"/>
      <c r="K319" s="28" t="n"/>
    </row>
    <row r="320">
      <c r="A320" s="28" t="n"/>
      <c r="B320" s="28" t="n"/>
      <c r="C320" s="28" t="n"/>
      <c r="D320" s="28" t="n"/>
      <c r="E320" s="28" t="n"/>
      <c r="F320" s="28" t="n"/>
      <c r="G320" s="28" t="n"/>
      <c r="H320" s="28" t="n"/>
      <c r="I320" s="28" t="n"/>
      <c r="J320" s="28" t="n"/>
      <c r="K320" s="28" t="n"/>
    </row>
    <row r="321">
      <c r="A321" s="28" t="n"/>
      <c r="B321" s="28" t="n"/>
      <c r="C321" s="28" t="n"/>
      <c r="D321" s="28" t="n"/>
      <c r="E321" s="28" t="n"/>
      <c r="F321" s="28" t="n"/>
      <c r="G321" s="28" t="n"/>
      <c r="H321" s="28" t="n"/>
      <c r="I321" s="28" t="n"/>
      <c r="J321" s="28" t="n"/>
      <c r="K321" s="28" t="n"/>
    </row>
    <row r="322">
      <c r="A322" s="28" t="n"/>
      <c r="B322" s="28" t="n"/>
      <c r="C322" s="28" t="n"/>
      <c r="D322" s="28" t="n"/>
      <c r="E322" s="28" t="n"/>
      <c r="F322" s="28" t="n"/>
      <c r="G322" s="28" t="n"/>
      <c r="H322" s="28" t="n"/>
      <c r="I322" s="28" t="n"/>
      <c r="J322" s="28" t="n"/>
      <c r="K322" s="28" t="n"/>
    </row>
    <row r="323">
      <c r="A323" s="28" t="n"/>
      <c r="B323" s="28" t="n"/>
      <c r="C323" s="28" t="n"/>
      <c r="D323" s="28" t="n"/>
      <c r="E323" s="28" t="n"/>
      <c r="F323" s="28" t="n"/>
      <c r="G323" s="28" t="n"/>
      <c r="H323" s="28" t="n"/>
      <c r="I323" s="28" t="n"/>
      <c r="J323" s="28" t="n"/>
      <c r="K323" s="28" t="n"/>
    </row>
    <row r="324">
      <c r="A324" s="28" t="n"/>
      <c r="B324" s="28" t="n"/>
      <c r="C324" s="28" t="n"/>
      <c r="D324" s="28" t="n"/>
      <c r="E324" s="28" t="n"/>
      <c r="F324" s="28" t="n"/>
      <c r="G324" s="28" t="n"/>
      <c r="H324" s="28" t="n"/>
      <c r="I324" s="28" t="n"/>
      <c r="J324" s="28" t="n"/>
      <c r="K324" s="28" t="n"/>
    </row>
    <row r="325">
      <c r="A325" s="28" t="n"/>
      <c r="B325" s="28" t="n"/>
      <c r="C325" s="28" t="n"/>
      <c r="D325" s="28" t="n"/>
      <c r="E325" s="28" t="n"/>
      <c r="F325" s="28" t="n"/>
      <c r="G325" s="28" t="n"/>
      <c r="H325" s="28" t="n"/>
      <c r="I325" s="28" t="n"/>
      <c r="J325" s="28" t="n"/>
      <c r="K325" s="28" t="n"/>
    </row>
    <row r="326">
      <c r="A326" s="28" t="n"/>
      <c r="B326" s="28" t="n"/>
      <c r="C326" s="28" t="n"/>
      <c r="D326" s="28" t="n"/>
      <c r="E326" s="28" t="n"/>
      <c r="F326" s="28" t="n"/>
      <c r="G326" s="28" t="n"/>
      <c r="H326" s="28" t="n"/>
      <c r="I326" s="28" t="n"/>
      <c r="J326" s="28" t="n"/>
      <c r="K326" s="28" t="n"/>
    </row>
    <row r="327">
      <c r="A327" s="28" t="n"/>
      <c r="B327" s="28" t="n"/>
      <c r="C327" s="28" t="n"/>
      <c r="D327" s="28" t="n"/>
      <c r="E327" s="28" t="n"/>
      <c r="F327" s="28" t="n"/>
      <c r="G327" s="28" t="n"/>
      <c r="H327" s="28" t="n"/>
      <c r="I327" s="28" t="n"/>
      <c r="J327" s="28" t="n"/>
      <c r="K327" s="28" t="n"/>
    </row>
    <row r="328">
      <c r="A328" s="28" t="n"/>
      <c r="B328" s="28" t="n"/>
      <c r="C328" s="28" t="n"/>
      <c r="D328" s="28" t="n"/>
      <c r="E328" s="28" t="n"/>
      <c r="F328" s="28" t="n"/>
      <c r="G328" s="28" t="n"/>
      <c r="H328" s="28" t="n"/>
      <c r="I328" s="28" t="n"/>
      <c r="J328" s="28" t="n"/>
      <c r="K328" s="28" t="n"/>
    </row>
    <row r="329">
      <c r="A329" s="28" t="n"/>
      <c r="B329" s="28" t="n"/>
      <c r="C329" s="28" t="n"/>
      <c r="D329" s="28" t="n"/>
      <c r="E329" s="28" t="n"/>
      <c r="F329" s="28" t="n"/>
      <c r="G329" s="28" t="n"/>
      <c r="H329" s="28" t="n"/>
      <c r="I329" s="28" t="n"/>
      <c r="J329" s="28" t="n"/>
      <c r="K329" s="28" t="n"/>
    </row>
    <row r="330">
      <c r="A330" s="28" t="n"/>
      <c r="B330" s="28" t="n"/>
      <c r="C330" s="28" t="n"/>
      <c r="D330" s="28" t="n"/>
      <c r="E330" s="28" t="n"/>
      <c r="F330" s="28" t="n"/>
      <c r="G330" s="28" t="n"/>
      <c r="H330" s="28" t="n"/>
      <c r="I330" s="28" t="n"/>
      <c r="J330" s="28" t="n"/>
      <c r="K330" s="28" t="n"/>
    </row>
    <row r="331">
      <c r="A331" s="28" t="n"/>
      <c r="B331" s="28" t="n"/>
      <c r="C331" s="28" t="n"/>
      <c r="D331" s="28" t="n"/>
      <c r="E331" s="28" t="n"/>
      <c r="F331" s="28" t="n"/>
      <c r="G331" s="28" t="n"/>
      <c r="H331" s="28" t="n"/>
      <c r="I331" s="28" t="n"/>
      <c r="J331" s="28" t="n"/>
      <c r="K331" s="28" t="n"/>
    </row>
    <row r="332">
      <c r="A332" s="28" t="n"/>
      <c r="B332" s="28" t="n"/>
      <c r="C332" s="28" t="n"/>
      <c r="D332" s="28" t="n"/>
      <c r="E332" s="28" t="n"/>
      <c r="F332" s="28" t="n"/>
      <c r="G332" s="28" t="n"/>
      <c r="H332" s="28" t="n"/>
      <c r="I332" s="28" t="n"/>
      <c r="J332" s="28" t="n"/>
      <c r="K332" s="28" t="n"/>
    </row>
    <row r="333">
      <c r="A333" s="28" t="n"/>
      <c r="B333" s="28" t="n"/>
      <c r="C333" s="28" t="n"/>
      <c r="D333" s="28" t="n"/>
      <c r="E333" s="28" t="n"/>
      <c r="F333" s="28" t="n"/>
      <c r="G333" s="28" t="n"/>
      <c r="H333" s="28" t="n"/>
      <c r="I333" s="28" t="n"/>
      <c r="J333" s="28" t="n"/>
      <c r="K333" s="28" t="n"/>
    </row>
    <row r="334">
      <c r="A334" s="28" t="n"/>
      <c r="B334" s="28" t="n"/>
      <c r="C334" s="28" t="n"/>
      <c r="D334" s="28" t="n"/>
      <c r="E334" s="28" t="n"/>
      <c r="F334" s="28" t="n"/>
      <c r="G334" s="28" t="n"/>
      <c r="H334" s="28" t="n"/>
      <c r="I334" s="28" t="n"/>
      <c r="J334" s="28" t="n"/>
      <c r="K334" s="28" t="n"/>
    </row>
    <row r="335">
      <c r="A335" s="28" t="n"/>
      <c r="B335" s="28" t="n"/>
      <c r="C335" s="28" t="n"/>
      <c r="D335" s="28" t="n"/>
      <c r="E335" s="28" t="n"/>
      <c r="F335" s="28" t="n"/>
      <c r="G335" s="28" t="n"/>
      <c r="H335" s="28" t="n"/>
      <c r="I335" s="28" t="n"/>
      <c r="J335" s="28" t="n"/>
      <c r="K335" s="28" t="n"/>
    </row>
    <row r="336">
      <c r="A336" s="28" t="n"/>
      <c r="B336" s="28" t="n"/>
      <c r="C336" s="28" t="n"/>
      <c r="D336" s="28" t="n"/>
      <c r="E336" s="28" t="n"/>
      <c r="F336" s="28" t="n"/>
      <c r="G336" s="28" t="n"/>
      <c r="H336" s="28" t="n"/>
      <c r="I336" s="28" t="n"/>
      <c r="J336" s="28" t="n"/>
      <c r="K336" s="28" t="n"/>
    </row>
    <row r="337">
      <c r="A337" s="28" t="n"/>
      <c r="B337" s="28" t="n"/>
      <c r="C337" s="28" t="n"/>
      <c r="D337" s="28" t="n"/>
      <c r="E337" s="28" t="n"/>
      <c r="F337" s="28" t="n"/>
      <c r="G337" s="28" t="n"/>
      <c r="H337" s="28" t="n"/>
      <c r="I337" s="28" t="n"/>
      <c r="J337" s="28" t="n"/>
      <c r="K337" s="28" t="n"/>
    </row>
    <row r="338">
      <c r="A338" s="28" t="n"/>
      <c r="B338" s="28" t="n"/>
      <c r="C338" s="28" t="n"/>
      <c r="D338" s="28" t="n"/>
      <c r="E338" s="28" t="n"/>
      <c r="F338" s="28" t="n"/>
      <c r="G338" s="28" t="n"/>
      <c r="H338" s="28" t="n"/>
      <c r="I338" s="28" t="n"/>
      <c r="J338" s="28" t="n"/>
      <c r="K338" s="28" t="n"/>
    </row>
    <row r="339">
      <c r="A339" s="28" t="n"/>
      <c r="B339" s="28" t="n"/>
      <c r="C339" s="28" t="n"/>
      <c r="D339" s="28" t="n"/>
      <c r="E339" s="28" t="n"/>
      <c r="F339" s="28" t="n"/>
      <c r="G339" s="28" t="n"/>
      <c r="H339" s="28" t="n"/>
      <c r="I339" s="28" t="n"/>
      <c r="J339" s="28" t="n"/>
      <c r="K339" s="28" t="n"/>
    </row>
    <row r="340">
      <c r="A340" s="28" t="n"/>
      <c r="B340" s="28" t="n"/>
      <c r="C340" s="28" t="n"/>
      <c r="D340" s="28" t="n"/>
      <c r="E340" s="28" t="n"/>
      <c r="F340" s="28" t="n"/>
      <c r="G340" s="28" t="n"/>
      <c r="H340" s="28" t="n"/>
      <c r="I340" s="28" t="n"/>
      <c r="J340" s="28" t="n"/>
      <c r="K340" s="28" t="n"/>
    </row>
    <row r="341">
      <c r="A341" s="28" t="n"/>
      <c r="B341" s="28" t="n"/>
      <c r="C341" s="28" t="n"/>
      <c r="D341" s="28" t="n"/>
      <c r="E341" s="28" t="n"/>
      <c r="F341" s="28" t="n"/>
      <c r="G341" s="28" t="n"/>
      <c r="H341" s="28" t="n"/>
      <c r="I341" s="28" t="n"/>
      <c r="J341" s="28" t="n"/>
      <c r="K341" s="28" t="n"/>
    </row>
    <row r="342">
      <c r="A342" s="28" t="n"/>
      <c r="B342" s="28" t="n"/>
      <c r="C342" s="28" t="n"/>
      <c r="D342" s="28" t="n"/>
      <c r="E342" s="28" t="n"/>
      <c r="F342" s="28" t="n"/>
      <c r="G342" s="28" t="n"/>
      <c r="H342" s="28" t="n"/>
      <c r="I342" s="28" t="n"/>
      <c r="J342" s="28" t="n"/>
      <c r="K342" s="28" t="n"/>
    </row>
    <row r="343">
      <c r="A343" s="28" t="n"/>
      <c r="B343" s="28" t="n"/>
      <c r="C343" s="28" t="n"/>
      <c r="D343" s="28" t="n"/>
      <c r="E343" s="28" t="n"/>
      <c r="F343" s="28" t="n"/>
      <c r="G343" s="28" t="n"/>
      <c r="H343" s="28" t="n"/>
      <c r="I343" s="28" t="n"/>
      <c r="J343" s="28" t="n"/>
      <c r="K343" s="28" t="n"/>
    </row>
    <row r="344">
      <c r="A344" s="28" t="n"/>
      <c r="B344" s="28" t="n"/>
      <c r="C344" s="28" t="n"/>
      <c r="D344" s="28" t="n"/>
      <c r="E344" s="28" t="n"/>
      <c r="F344" s="28" t="n"/>
      <c r="G344" s="28" t="n"/>
      <c r="H344" s="28" t="n"/>
      <c r="I344" s="28" t="n"/>
      <c r="J344" s="28" t="n"/>
      <c r="K344" s="28" t="n"/>
    </row>
    <row r="345">
      <c r="A345" s="28" t="n"/>
      <c r="B345" s="28" t="n"/>
      <c r="C345" s="28" t="n"/>
      <c r="D345" s="28" t="n"/>
      <c r="E345" s="28" t="n"/>
      <c r="F345" s="28" t="n"/>
      <c r="G345" s="28" t="n"/>
      <c r="H345" s="28" t="n"/>
      <c r="I345" s="28" t="n"/>
      <c r="J345" s="28" t="n"/>
      <c r="K345" s="28" t="n"/>
    </row>
    <row r="346">
      <c r="A346" s="28" t="n"/>
      <c r="B346" s="28" t="n"/>
      <c r="C346" s="28" t="n"/>
      <c r="D346" s="28" t="n"/>
      <c r="E346" s="28" t="n"/>
      <c r="F346" s="28" t="n"/>
      <c r="G346" s="28" t="n"/>
      <c r="H346" s="28" t="n"/>
      <c r="I346" s="28" t="n"/>
      <c r="J346" s="28" t="n"/>
      <c r="K346" s="28" t="n"/>
    </row>
    <row r="347">
      <c r="A347" s="28" t="n"/>
      <c r="B347" s="28" t="n"/>
      <c r="C347" s="28" t="n"/>
      <c r="D347" s="28" t="n"/>
      <c r="E347" s="28" t="n"/>
      <c r="F347" s="28" t="n"/>
      <c r="G347" s="28" t="n"/>
      <c r="H347" s="28" t="n"/>
      <c r="I347" s="28" t="n"/>
      <c r="J347" s="28" t="n"/>
      <c r="K347" s="28" t="n"/>
    </row>
    <row r="348">
      <c r="A348" s="28" t="n"/>
      <c r="B348" s="28" t="n"/>
      <c r="C348" s="28" t="n"/>
      <c r="D348" s="28" t="n"/>
      <c r="E348" s="28" t="n"/>
      <c r="F348" s="28" t="n"/>
      <c r="G348" s="28" t="n"/>
      <c r="H348" s="28" t="n"/>
      <c r="I348" s="28" t="n"/>
      <c r="J348" s="28" t="n"/>
      <c r="K348" s="28" t="n"/>
    </row>
    <row r="349">
      <c r="A349" s="28" t="n"/>
      <c r="B349" s="28" t="n"/>
      <c r="C349" s="28" t="n"/>
      <c r="D349" s="28" t="n"/>
      <c r="E349" s="28" t="n"/>
      <c r="F349" s="28" t="n"/>
      <c r="G349" s="28" t="n"/>
      <c r="H349" s="28" t="n"/>
      <c r="I349" s="28" t="n"/>
      <c r="J349" s="28" t="n"/>
      <c r="K349" s="28" t="n"/>
    </row>
    <row r="350">
      <c r="A350" s="28" t="n"/>
      <c r="B350" s="28" t="n"/>
      <c r="C350" s="28" t="n"/>
      <c r="D350" s="28" t="n"/>
      <c r="E350" s="28" t="n"/>
      <c r="F350" s="28" t="n"/>
      <c r="G350" s="28" t="n"/>
      <c r="H350" s="28" t="n"/>
      <c r="I350" s="28" t="n"/>
      <c r="J350" s="28" t="n"/>
      <c r="K350" s="28" t="n"/>
    </row>
    <row r="351">
      <c r="A351" s="28" t="n"/>
      <c r="B351" s="28" t="n"/>
      <c r="C351" s="28" t="n"/>
      <c r="D351" s="28" t="n"/>
      <c r="E351" s="28" t="n"/>
      <c r="F351" s="28" t="n"/>
      <c r="G351" s="28" t="n"/>
      <c r="H351" s="28" t="n"/>
      <c r="I351" s="28" t="n"/>
      <c r="J351" s="28" t="n"/>
      <c r="K351" s="28" t="n"/>
    </row>
    <row r="352">
      <c r="A352" s="28" t="n"/>
      <c r="B352" s="28" t="n"/>
      <c r="C352" s="28" t="n"/>
      <c r="D352" s="28" t="n"/>
      <c r="E352" s="28" t="n"/>
      <c r="F352" s="28" t="n"/>
      <c r="G352" s="28" t="n"/>
      <c r="H352" s="28" t="n"/>
      <c r="I352" s="28" t="n"/>
      <c r="J352" s="28" t="n"/>
      <c r="K352" s="28" t="n"/>
    </row>
    <row r="353">
      <c r="A353" s="28" t="n"/>
      <c r="B353" s="28" t="n"/>
      <c r="C353" s="28" t="n"/>
      <c r="D353" s="28" t="n"/>
      <c r="E353" s="28" t="n"/>
      <c r="F353" s="28" t="n"/>
      <c r="G353" s="28" t="n"/>
      <c r="H353" s="28" t="n"/>
      <c r="I353" s="28" t="n"/>
      <c r="J353" s="28" t="n"/>
      <c r="K353" s="28" t="n"/>
    </row>
    <row r="354">
      <c r="A354" s="28" t="n"/>
      <c r="B354" s="28" t="n"/>
      <c r="C354" s="28" t="n"/>
      <c r="D354" s="28" t="n"/>
      <c r="E354" s="28" t="n"/>
      <c r="F354" s="28" t="n"/>
      <c r="G354" s="28" t="n"/>
      <c r="H354" s="28" t="n"/>
      <c r="I354" s="28" t="n"/>
      <c r="J354" s="28" t="n"/>
      <c r="K354" s="28" t="n"/>
    </row>
    <row r="355">
      <c r="A355" s="28" t="n"/>
      <c r="B355" s="28" t="n"/>
      <c r="C355" s="28" t="n"/>
      <c r="D355" s="28" t="n"/>
      <c r="E355" s="28" t="n"/>
      <c r="F355" s="28" t="n"/>
      <c r="G355" s="28" t="n"/>
      <c r="H355" s="28" t="n"/>
      <c r="I355" s="28" t="n"/>
      <c r="J355" s="28" t="n"/>
      <c r="K355" s="28" t="n"/>
    </row>
    <row r="356">
      <c r="A356" s="28" t="n"/>
      <c r="B356" s="28" t="n"/>
      <c r="C356" s="28" t="n"/>
      <c r="D356" s="28" t="n"/>
      <c r="E356" s="28" t="n"/>
      <c r="F356" s="28" t="n"/>
      <c r="G356" s="28" t="n"/>
      <c r="H356" s="28" t="n"/>
      <c r="I356" s="28" t="n"/>
      <c r="J356" s="28" t="n"/>
      <c r="K356" s="28" t="n"/>
    </row>
    <row r="357">
      <c r="A357" s="28" t="n"/>
      <c r="B357" s="28" t="n"/>
      <c r="C357" s="28" t="n"/>
      <c r="D357" s="28" t="n"/>
      <c r="E357" s="28" t="n"/>
      <c r="F357" s="28" t="n"/>
      <c r="G357" s="28" t="n"/>
      <c r="H357" s="28" t="n"/>
      <c r="I357" s="28" t="n"/>
      <c r="J357" s="28" t="n"/>
      <c r="K357" s="28" t="n"/>
    </row>
    <row r="358">
      <c r="A358" s="28" t="n"/>
      <c r="B358" s="28" t="n"/>
      <c r="C358" s="28" t="n"/>
      <c r="D358" s="28" t="n"/>
      <c r="E358" s="28" t="n"/>
      <c r="F358" s="28" t="n"/>
      <c r="G358" s="28" t="n"/>
      <c r="H358" s="28" t="n"/>
      <c r="I358" s="28" t="n"/>
      <c r="J358" s="28" t="n"/>
      <c r="K358" s="28" t="n"/>
    </row>
    <row r="359">
      <c r="A359" s="28" t="n"/>
      <c r="B359" s="28" t="n"/>
      <c r="C359" s="28" t="n"/>
      <c r="D359" s="28" t="n"/>
      <c r="E359" s="28" t="n"/>
      <c r="F359" s="28" t="n"/>
      <c r="G359" s="28" t="n"/>
      <c r="H359" s="28" t="n"/>
      <c r="I359" s="28" t="n"/>
      <c r="J359" s="28" t="n"/>
      <c r="K359" s="28" t="n"/>
    </row>
    <row r="360">
      <c r="A360" s="28" t="n"/>
      <c r="B360" s="28" t="n"/>
      <c r="C360" s="28" t="n"/>
      <c r="D360" s="28" t="n"/>
      <c r="E360" s="28" t="n"/>
      <c r="F360" s="28" t="n"/>
      <c r="G360" s="28" t="n"/>
      <c r="H360" s="28" t="n"/>
      <c r="I360" s="28" t="n"/>
      <c r="J360" s="28" t="n"/>
      <c r="K360" s="28" t="n"/>
    </row>
    <row r="361">
      <c r="A361" s="28" t="n"/>
      <c r="B361" s="28" t="n"/>
      <c r="C361" s="28" t="n"/>
      <c r="D361" s="28" t="n"/>
      <c r="E361" s="28" t="n"/>
      <c r="F361" s="28" t="n"/>
      <c r="G361" s="28" t="n"/>
      <c r="H361" s="28" t="n"/>
      <c r="I361" s="28" t="n"/>
      <c r="J361" s="28" t="n"/>
      <c r="K361" s="28" t="n"/>
    </row>
    <row r="362">
      <c r="A362" s="28" t="n"/>
      <c r="B362" s="28" t="n"/>
      <c r="C362" s="28" t="n"/>
      <c r="D362" s="28" t="n"/>
      <c r="E362" s="28" t="n"/>
      <c r="F362" s="28" t="n"/>
      <c r="G362" s="28" t="n"/>
      <c r="H362" s="28" t="n"/>
      <c r="I362" s="28" t="n"/>
      <c r="J362" s="28" t="n"/>
      <c r="K362" s="28" t="n"/>
    </row>
    <row r="363">
      <c r="A363" s="28" t="n"/>
      <c r="B363" s="28" t="n"/>
      <c r="C363" s="28" t="n"/>
      <c r="D363" s="28" t="n"/>
      <c r="E363" s="28" t="n"/>
      <c r="F363" s="28" t="n"/>
      <c r="G363" s="28" t="n"/>
      <c r="H363" s="28" t="n"/>
      <c r="I363" s="28" t="n"/>
      <c r="J363" s="28" t="n"/>
      <c r="K363" s="28" t="n"/>
    </row>
    <row r="364">
      <c r="A364" s="28" t="n"/>
      <c r="B364" s="28" t="n"/>
      <c r="C364" s="28" t="n"/>
      <c r="D364" s="28" t="n"/>
      <c r="E364" s="28" t="n"/>
      <c r="F364" s="28" t="n"/>
      <c r="G364" s="28" t="n"/>
      <c r="H364" s="28" t="n"/>
      <c r="I364" s="28" t="n"/>
      <c r="J364" s="28" t="n"/>
      <c r="K364" s="28" t="n"/>
    </row>
    <row r="365">
      <c r="A365" s="28" t="n"/>
      <c r="B365" s="28" t="n"/>
      <c r="C365" s="28" t="n"/>
      <c r="D365" s="28" t="n"/>
      <c r="E365" s="28" t="n"/>
      <c r="F365" s="28" t="n"/>
      <c r="G365" s="28" t="n"/>
      <c r="H365" s="28" t="n"/>
      <c r="I365" s="28" t="n"/>
      <c r="J365" s="28" t="n"/>
      <c r="K365" s="28" t="n"/>
    </row>
    <row r="366">
      <c r="A366" s="28" t="n"/>
      <c r="B366" s="28" t="n"/>
      <c r="C366" s="28" t="n"/>
      <c r="D366" s="28" t="n"/>
      <c r="E366" s="28" t="n"/>
      <c r="F366" s="28" t="n"/>
      <c r="G366" s="28" t="n"/>
      <c r="H366" s="28" t="n"/>
      <c r="I366" s="28" t="n"/>
      <c r="J366" s="28" t="n"/>
      <c r="K366" s="28" t="n"/>
    </row>
    <row r="367">
      <c r="A367" s="28" t="n"/>
      <c r="B367" s="28" t="n"/>
      <c r="C367" s="28" t="n"/>
      <c r="D367" s="28" t="n"/>
      <c r="E367" s="28" t="n"/>
      <c r="F367" s="28" t="n"/>
      <c r="G367" s="28" t="n"/>
      <c r="H367" s="28" t="n"/>
      <c r="I367" s="28" t="n"/>
      <c r="J367" s="28" t="n"/>
      <c r="K367" s="28" t="n"/>
    </row>
    <row r="368">
      <c r="A368" s="28" t="n"/>
      <c r="B368" s="28" t="n"/>
      <c r="C368" s="28" t="n"/>
      <c r="D368" s="28" t="n"/>
      <c r="E368" s="28" t="n"/>
      <c r="F368" s="28" t="n"/>
      <c r="G368" s="28" t="n"/>
      <c r="H368" s="28" t="n"/>
      <c r="I368" s="28" t="n"/>
      <c r="J368" s="28" t="n"/>
      <c r="K368" s="28" t="n"/>
    </row>
    <row r="369">
      <c r="A369" s="28" t="n"/>
      <c r="B369" s="28" t="n"/>
      <c r="C369" s="28" t="n"/>
      <c r="D369" s="28" t="n"/>
      <c r="E369" s="28" t="n"/>
      <c r="F369" s="28" t="n"/>
      <c r="G369" s="28" t="n"/>
      <c r="H369" s="28" t="n"/>
      <c r="I369" s="28" t="n"/>
      <c r="J369" s="28" t="n"/>
      <c r="K369" s="28" t="n"/>
    </row>
    <row r="370">
      <c r="A370" s="28" t="n"/>
      <c r="B370" s="28" t="n"/>
      <c r="C370" s="28" t="n"/>
      <c r="D370" s="28" t="n"/>
      <c r="E370" s="28" t="n"/>
      <c r="F370" s="28" t="n"/>
      <c r="G370" s="28" t="n"/>
      <c r="H370" s="28" t="n"/>
      <c r="I370" s="28" t="n"/>
      <c r="J370" s="28" t="n"/>
      <c r="K370" s="28" t="n"/>
    </row>
    <row r="371">
      <c r="A371" s="28" t="n"/>
      <c r="B371" s="28" t="n"/>
      <c r="C371" s="28" t="n"/>
      <c r="D371" s="28" t="n"/>
      <c r="E371" s="28" t="n"/>
      <c r="F371" s="28" t="n"/>
      <c r="G371" s="28" t="n"/>
      <c r="H371" s="28" t="n"/>
      <c r="I371" s="28" t="n"/>
      <c r="J371" s="28" t="n"/>
      <c r="K371" s="28" t="n"/>
    </row>
    <row r="372">
      <c r="A372" s="28" t="n"/>
      <c r="B372" s="28" t="n"/>
      <c r="C372" s="28" t="n"/>
      <c r="D372" s="28" t="n"/>
      <c r="E372" s="28" t="n"/>
      <c r="F372" s="28" t="n"/>
      <c r="G372" s="28" t="n"/>
      <c r="H372" s="28" t="n"/>
      <c r="I372" s="28" t="n"/>
      <c r="J372" s="28" t="n"/>
      <c r="K372" s="28" t="n"/>
    </row>
    <row r="373">
      <c r="A373" s="28" t="n"/>
      <c r="B373" s="28" t="n"/>
      <c r="C373" s="28" t="n"/>
      <c r="D373" s="28" t="n"/>
      <c r="E373" s="28" t="n"/>
      <c r="F373" s="28" t="n"/>
      <c r="G373" s="28" t="n"/>
      <c r="H373" s="28" t="n"/>
      <c r="I373" s="28" t="n"/>
      <c r="J373" s="28" t="n"/>
      <c r="K373" s="28" t="n"/>
    </row>
    <row r="374">
      <c r="A374" s="28" t="n"/>
      <c r="B374" s="28" t="n"/>
      <c r="C374" s="28" t="n"/>
      <c r="D374" s="28" t="n"/>
      <c r="E374" s="28" t="n"/>
      <c r="F374" s="28" t="n"/>
      <c r="G374" s="28" t="n"/>
      <c r="H374" s="28" t="n"/>
      <c r="I374" s="28" t="n"/>
      <c r="J374" s="28" t="n"/>
      <c r="K374" s="28" t="n"/>
    </row>
    <row r="375">
      <c r="A375" s="28" t="n"/>
      <c r="B375" s="28" t="n"/>
      <c r="C375" s="28" t="n"/>
      <c r="D375" s="28" t="n"/>
      <c r="E375" s="28" t="n"/>
      <c r="F375" s="28" t="n"/>
      <c r="G375" s="28" t="n"/>
      <c r="H375" s="28" t="n"/>
      <c r="I375" s="28" t="n"/>
      <c r="J375" s="28" t="n"/>
      <c r="K375" s="28" t="n"/>
    </row>
    <row r="376">
      <c r="A376" s="28" t="n"/>
      <c r="B376" s="28" t="n"/>
      <c r="C376" s="28" t="n"/>
      <c r="D376" s="28" t="n"/>
      <c r="E376" s="28" t="n"/>
      <c r="F376" s="28" t="n"/>
      <c r="G376" s="28" t="n"/>
      <c r="H376" s="28" t="n"/>
      <c r="I376" s="28" t="n"/>
      <c r="J376" s="28" t="n"/>
      <c r="K376" s="28" t="n"/>
    </row>
    <row r="377">
      <c r="A377" s="28" t="n"/>
      <c r="B377" s="28" t="n"/>
      <c r="C377" s="28" t="n"/>
      <c r="D377" s="28" t="n"/>
      <c r="E377" s="28" t="n"/>
      <c r="F377" s="28" t="n"/>
      <c r="G377" s="28" t="n"/>
      <c r="H377" s="28" t="n"/>
      <c r="I377" s="28" t="n"/>
      <c r="J377" s="28" t="n"/>
      <c r="K377" s="28" t="n"/>
    </row>
    <row r="378">
      <c r="A378" s="28" t="n"/>
      <c r="B378" s="28" t="n"/>
      <c r="C378" s="28" t="n"/>
      <c r="D378" s="28" t="n"/>
      <c r="E378" s="28" t="n"/>
      <c r="F378" s="28" t="n"/>
      <c r="G378" s="28" t="n"/>
      <c r="H378" s="28" t="n"/>
      <c r="I378" s="28" t="n"/>
      <c r="J378" s="28" t="n"/>
      <c r="K378" s="28" t="n"/>
    </row>
    <row r="379">
      <c r="A379" s="28" t="n"/>
      <c r="B379" s="28" t="n"/>
      <c r="C379" s="28" t="n"/>
      <c r="D379" s="28" t="n"/>
      <c r="E379" s="28" t="n"/>
      <c r="F379" s="28" t="n"/>
      <c r="G379" s="28" t="n"/>
      <c r="H379" s="28" t="n"/>
      <c r="I379" s="28" t="n"/>
      <c r="J379" s="28" t="n"/>
      <c r="K379" s="28" t="n"/>
    </row>
    <row r="380">
      <c r="A380" s="28" t="n"/>
      <c r="B380" s="28" t="n"/>
      <c r="C380" s="28" t="n"/>
      <c r="D380" s="28" t="n"/>
      <c r="E380" s="28" t="n"/>
      <c r="F380" s="28" t="n"/>
      <c r="G380" s="28" t="n"/>
      <c r="H380" s="28" t="n"/>
      <c r="I380" s="28" t="n"/>
      <c r="J380" s="28" t="n"/>
      <c r="K380" s="28" t="n"/>
    </row>
    <row r="381">
      <c r="A381" s="28" t="n"/>
      <c r="B381" s="28" t="n"/>
      <c r="C381" s="28" t="n"/>
      <c r="D381" s="28" t="n"/>
      <c r="E381" s="28" t="n"/>
      <c r="F381" s="28" t="n"/>
      <c r="G381" s="28" t="n"/>
      <c r="H381" s="28" t="n"/>
      <c r="I381" s="28" t="n"/>
      <c r="J381" s="28" t="n"/>
      <c r="K381" s="28" t="n"/>
    </row>
    <row r="382">
      <c r="A382" s="28" t="n"/>
      <c r="B382" s="28" t="n"/>
      <c r="C382" s="28" t="n"/>
      <c r="D382" s="28" t="n"/>
      <c r="E382" s="28" t="n"/>
      <c r="F382" s="28" t="n"/>
      <c r="G382" s="28" t="n"/>
      <c r="H382" s="28" t="n"/>
      <c r="I382" s="28" t="n"/>
      <c r="J382" s="28" t="n"/>
      <c r="K382" s="28" t="n"/>
    </row>
    <row r="383">
      <c r="A383" s="28" t="n"/>
      <c r="B383" s="28" t="n"/>
      <c r="C383" s="28" t="n"/>
      <c r="D383" s="28" t="n"/>
      <c r="E383" s="28" t="n"/>
      <c r="F383" s="28" t="n"/>
      <c r="G383" s="28" t="n"/>
      <c r="H383" s="28" t="n"/>
      <c r="I383" s="28" t="n"/>
      <c r="J383" s="28" t="n"/>
      <c r="K383" s="28" t="n"/>
    </row>
    <row r="384">
      <c r="A384" s="28" t="n"/>
      <c r="B384" s="28" t="n"/>
      <c r="C384" s="28" t="n"/>
      <c r="D384" s="28" t="n"/>
      <c r="E384" s="28" t="n"/>
      <c r="F384" s="28" t="n"/>
      <c r="G384" s="28" t="n"/>
      <c r="H384" s="28" t="n"/>
      <c r="I384" s="28" t="n"/>
      <c r="J384" s="28" t="n"/>
      <c r="K384" s="28" t="n"/>
    </row>
    <row r="385">
      <c r="A385" s="28" t="n"/>
      <c r="B385" s="28" t="n"/>
      <c r="C385" s="28" t="n"/>
      <c r="D385" s="28" t="n"/>
      <c r="E385" s="28" t="n"/>
      <c r="F385" s="28" t="n"/>
      <c r="G385" s="28" t="n"/>
      <c r="H385" s="28" t="n"/>
      <c r="I385" s="28" t="n"/>
      <c r="J385" s="28" t="n"/>
      <c r="K385" s="28" t="n"/>
    </row>
    <row r="386">
      <c r="A386" s="28" t="n"/>
      <c r="B386" s="28" t="n"/>
      <c r="C386" s="28" t="n"/>
      <c r="D386" s="28" t="n"/>
      <c r="E386" s="28" t="n"/>
      <c r="F386" s="28" t="n"/>
      <c r="G386" s="28" t="n"/>
      <c r="H386" s="28" t="n"/>
      <c r="I386" s="28" t="n"/>
      <c r="J386" s="28" t="n"/>
      <c r="K386" s="28" t="n"/>
    </row>
    <row r="387">
      <c r="A387" s="28" t="n"/>
      <c r="B387" s="28" t="n"/>
      <c r="C387" s="28" t="n"/>
      <c r="D387" s="28" t="n"/>
      <c r="E387" s="28" t="n"/>
      <c r="F387" s="28" t="n"/>
      <c r="G387" s="28" t="n"/>
      <c r="H387" s="28" t="n"/>
      <c r="I387" s="28" t="n"/>
      <c r="J387" s="28" t="n"/>
      <c r="K387" s="28" t="n"/>
    </row>
    <row r="388">
      <c r="A388" s="28" t="n"/>
      <c r="B388" s="28" t="n"/>
      <c r="C388" s="28" t="n"/>
      <c r="D388" s="28" t="n"/>
      <c r="E388" s="28" t="n"/>
      <c r="F388" s="28" t="n"/>
      <c r="G388" s="28" t="n"/>
      <c r="H388" s="28" t="n"/>
      <c r="I388" s="28" t="n"/>
      <c r="J388" s="28" t="n"/>
      <c r="K388" s="28" t="n"/>
    </row>
    <row r="389">
      <c r="A389" s="28" t="n"/>
      <c r="B389" s="28" t="n"/>
      <c r="C389" s="28" t="n"/>
      <c r="D389" s="28" t="n"/>
      <c r="E389" s="28" t="n"/>
      <c r="F389" s="28" t="n"/>
      <c r="G389" s="28" t="n"/>
      <c r="H389" s="28" t="n"/>
      <c r="I389" s="28" t="n"/>
      <c r="J389" s="28" t="n"/>
      <c r="K389" s="28" t="n"/>
    </row>
    <row r="390">
      <c r="A390" s="28" t="n"/>
      <c r="B390" s="28" t="n"/>
      <c r="C390" s="28" t="n"/>
      <c r="D390" s="28" t="n"/>
      <c r="E390" s="28" t="n"/>
      <c r="F390" s="28" t="n"/>
      <c r="G390" s="28" t="n"/>
      <c r="H390" s="28" t="n"/>
      <c r="I390" s="28" t="n"/>
      <c r="J390" s="28" t="n"/>
      <c r="K390" s="28" t="n"/>
    </row>
    <row r="391">
      <c r="A391" s="28" t="n"/>
      <c r="B391" s="28" t="n"/>
      <c r="C391" s="28" t="n"/>
      <c r="D391" s="28" t="n"/>
      <c r="E391" s="28" t="n"/>
      <c r="F391" s="28" t="n"/>
      <c r="G391" s="28" t="n"/>
      <c r="H391" s="28" t="n"/>
      <c r="I391" s="28" t="n"/>
      <c r="J391" s="28" t="n"/>
      <c r="K391" s="28" t="n"/>
    </row>
    <row r="392">
      <c r="A392" s="28" t="n"/>
      <c r="B392" s="28" t="n"/>
      <c r="C392" s="28" t="n"/>
      <c r="D392" s="28" t="n"/>
      <c r="E392" s="28" t="n"/>
      <c r="F392" s="28" t="n"/>
      <c r="G392" s="28" t="n"/>
      <c r="H392" s="28" t="n"/>
      <c r="I392" s="28" t="n"/>
      <c r="J392" s="28" t="n"/>
      <c r="K392" s="28" t="n"/>
    </row>
    <row r="393">
      <c r="A393" s="28" t="n"/>
      <c r="B393" s="28" t="n"/>
      <c r="C393" s="28" t="n"/>
      <c r="D393" s="28" t="n"/>
      <c r="E393" s="28" t="n"/>
      <c r="F393" s="28" t="n"/>
      <c r="G393" s="28" t="n"/>
      <c r="H393" s="28" t="n"/>
      <c r="I393" s="28" t="n"/>
      <c r="J393" s="28" t="n"/>
      <c r="K393" s="28" t="n"/>
    </row>
    <row r="394">
      <c r="A394" s="28" t="n"/>
      <c r="B394" s="28" t="n"/>
      <c r="C394" s="28" t="n"/>
      <c r="D394" s="28" t="n"/>
      <c r="E394" s="28" t="n"/>
      <c r="F394" s="28" t="n"/>
      <c r="G394" s="28" t="n"/>
      <c r="H394" s="28" t="n"/>
      <c r="I394" s="28" t="n"/>
      <c r="J394" s="28" t="n"/>
      <c r="K394" s="28" t="n"/>
    </row>
    <row r="395">
      <c r="A395" s="28" t="n"/>
      <c r="B395" s="28" t="n"/>
      <c r="C395" s="28" t="n"/>
      <c r="D395" s="28" t="n"/>
      <c r="E395" s="28" t="n"/>
      <c r="F395" s="28" t="n"/>
      <c r="G395" s="28" t="n"/>
      <c r="H395" s="28" t="n"/>
      <c r="I395" s="28" t="n"/>
      <c r="J395" s="28" t="n"/>
      <c r="K395" s="28" t="n"/>
    </row>
    <row r="396">
      <c r="A396" s="28" t="n"/>
      <c r="B396" s="28" t="n"/>
      <c r="C396" s="28" t="n"/>
      <c r="D396" s="28" t="n"/>
      <c r="E396" s="28" t="n"/>
      <c r="F396" s="28" t="n"/>
      <c r="G396" s="28" t="n"/>
      <c r="H396" s="28" t="n"/>
      <c r="I396" s="28" t="n"/>
      <c r="J396" s="28" t="n"/>
      <c r="K396" s="28" t="n"/>
    </row>
    <row r="397">
      <c r="A397" s="28" t="n"/>
      <c r="B397" s="28" t="n"/>
      <c r="C397" s="28" t="n"/>
      <c r="D397" s="28" t="n"/>
      <c r="E397" s="28" t="n"/>
      <c r="F397" s="28" t="n"/>
      <c r="G397" s="28" t="n"/>
      <c r="H397" s="28" t="n"/>
      <c r="I397" s="28" t="n"/>
      <c r="J397" s="28" t="n"/>
      <c r="K397" s="28" t="n"/>
    </row>
    <row r="398">
      <c r="A398" s="28" t="n"/>
      <c r="B398" s="28" t="n"/>
      <c r="C398" s="28" t="n"/>
      <c r="D398" s="28" t="n"/>
      <c r="E398" s="28" t="n"/>
      <c r="F398" s="28" t="n"/>
      <c r="G398" s="28" t="n"/>
      <c r="H398" s="28" t="n"/>
      <c r="I398" s="28" t="n"/>
      <c r="J398" s="28" t="n"/>
      <c r="K398" s="28" t="n"/>
    </row>
    <row r="399">
      <c r="A399" s="28" t="n"/>
      <c r="B399" s="28" t="n"/>
      <c r="C399" s="28" t="n"/>
      <c r="D399" s="28" t="n"/>
      <c r="E399" s="28" t="n"/>
      <c r="F399" s="28" t="n"/>
      <c r="G399" s="28" t="n"/>
      <c r="H399" s="28" t="n"/>
      <c r="I399" s="28" t="n"/>
      <c r="J399" s="28" t="n"/>
      <c r="K399" s="28" t="n"/>
    </row>
    <row r="400">
      <c r="A400" s="28" t="n"/>
      <c r="B400" s="28" t="n"/>
      <c r="C400" s="28" t="n"/>
      <c r="D400" s="28" t="n"/>
      <c r="E400" s="28" t="n"/>
      <c r="F400" s="28" t="n"/>
      <c r="G400" s="28" t="n"/>
      <c r="H400" s="28" t="n"/>
      <c r="I400" s="28" t="n"/>
      <c r="J400" s="28" t="n"/>
      <c r="K400" s="28" t="n"/>
    </row>
    <row r="401">
      <c r="A401" s="28" t="n"/>
      <c r="B401" s="28" t="n"/>
      <c r="C401" s="28" t="n"/>
      <c r="D401" s="28" t="n"/>
      <c r="E401" s="28" t="n"/>
      <c r="F401" s="28" t="n"/>
      <c r="G401" s="28" t="n"/>
      <c r="H401" s="28" t="n"/>
      <c r="I401" s="28" t="n"/>
      <c r="J401" s="28" t="n"/>
      <c r="K401" s="28" t="n"/>
    </row>
    <row r="402">
      <c r="A402" s="28" t="n"/>
      <c r="B402" s="28" t="n"/>
      <c r="C402" s="28" t="n"/>
      <c r="D402" s="28" t="n"/>
      <c r="E402" s="28" t="n"/>
      <c r="F402" s="28" t="n"/>
      <c r="G402" s="28" t="n"/>
      <c r="H402" s="28" t="n"/>
      <c r="I402" s="28" t="n"/>
      <c r="J402" s="28" t="n"/>
      <c r="K402" s="28" t="n"/>
    </row>
    <row r="403">
      <c r="A403" s="28" t="n"/>
      <c r="B403" s="28" t="n"/>
      <c r="C403" s="28" t="n"/>
      <c r="D403" s="28" t="n"/>
      <c r="E403" s="28" t="n"/>
      <c r="F403" s="28" t="n"/>
      <c r="G403" s="28" t="n"/>
      <c r="H403" s="28" t="n"/>
      <c r="I403" s="28" t="n"/>
      <c r="J403" s="28" t="n"/>
      <c r="K403" s="28" t="n"/>
    </row>
    <row r="404">
      <c r="A404" s="28" t="n"/>
      <c r="B404" s="28" t="n"/>
      <c r="C404" s="28" t="n"/>
      <c r="D404" s="28" t="n"/>
      <c r="E404" s="28" t="n"/>
      <c r="F404" s="28" t="n"/>
      <c r="G404" s="28" t="n"/>
      <c r="H404" s="28" t="n"/>
      <c r="I404" s="28" t="n"/>
      <c r="J404" s="28" t="n"/>
      <c r="K404" s="28" t="n"/>
    </row>
    <row r="405">
      <c r="A405" s="28" t="n"/>
      <c r="B405" s="28" t="n"/>
      <c r="C405" s="28" t="n"/>
      <c r="D405" s="28" t="n"/>
      <c r="E405" s="28" t="n"/>
      <c r="F405" s="28" t="n"/>
      <c r="G405" s="28" t="n"/>
      <c r="H405" s="28" t="n"/>
      <c r="I405" s="28" t="n"/>
      <c r="J405" s="28" t="n"/>
      <c r="K405" s="28" t="n"/>
    </row>
    <row r="406">
      <c r="A406" s="28" t="n"/>
      <c r="B406" s="28" t="n"/>
      <c r="C406" s="28" t="n"/>
      <c r="D406" s="28" t="n"/>
      <c r="E406" s="28" t="n"/>
      <c r="F406" s="28" t="n"/>
      <c r="G406" s="28" t="n"/>
      <c r="H406" s="28" t="n"/>
      <c r="I406" s="28" t="n"/>
      <c r="J406" s="28" t="n"/>
      <c r="K406" s="28" t="n"/>
    </row>
    <row r="407">
      <c r="A407" s="28" t="n"/>
      <c r="B407" s="28" t="n"/>
      <c r="C407" s="28" t="n"/>
      <c r="D407" s="28" t="n"/>
      <c r="E407" s="28" t="n"/>
      <c r="F407" s="28" t="n"/>
      <c r="G407" s="28" t="n"/>
      <c r="H407" s="28" t="n"/>
      <c r="I407" s="28" t="n"/>
      <c r="J407" s="28" t="n"/>
      <c r="K407" s="28" t="n"/>
    </row>
    <row r="408">
      <c r="A408" s="28" t="n"/>
      <c r="B408" s="28" t="n"/>
      <c r="C408" s="28" t="n"/>
      <c r="D408" s="28" t="n"/>
      <c r="E408" s="28" t="n"/>
      <c r="F408" s="28" t="n"/>
      <c r="G408" s="28" t="n"/>
      <c r="H408" s="28" t="n"/>
      <c r="I408" s="28" t="n"/>
      <c r="J408" s="28" t="n"/>
      <c r="K408" s="28" t="n"/>
    </row>
    <row r="409">
      <c r="A409" s="28" t="n"/>
      <c r="B409" s="28" t="n"/>
      <c r="C409" s="28" t="n"/>
      <c r="D409" s="28" t="n"/>
      <c r="E409" s="28" t="n"/>
      <c r="F409" s="28" t="n"/>
      <c r="G409" s="28" t="n"/>
      <c r="H409" s="28" t="n"/>
      <c r="I409" s="28" t="n"/>
      <c r="J409" s="28" t="n"/>
      <c r="K409" s="28" t="n"/>
    </row>
    <row r="410">
      <c r="A410" s="28" t="n"/>
      <c r="B410" s="28" t="n"/>
      <c r="C410" s="28" t="n"/>
      <c r="D410" s="28" t="n"/>
      <c r="E410" s="28" t="n"/>
      <c r="F410" s="28" t="n"/>
      <c r="G410" s="28" t="n"/>
      <c r="H410" s="28" t="n"/>
      <c r="I410" s="28" t="n"/>
      <c r="J410" s="28" t="n"/>
      <c r="K410" s="28" t="n"/>
    </row>
    <row r="411">
      <c r="A411" s="28" t="n"/>
      <c r="B411" s="28" t="n"/>
      <c r="C411" s="28" t="n"/>
      <c r="D411" s="28" t="n"/>
      <c r="E411" s="28" t="n"/>
      <c r="F411" s="28" t="n"/>
      <c r="G411" s="28" t="n"/>
      <c r="H411" s="28" t="n"/>
      <c r="I411" s="28" t="n"/>
      <c r="J411" s="28" t="n"/>
      <c r="K411" s="28" t="n"/>
    </row>
    <row r="412">
      <c r="A412" s="28" t="n"/>
      <c r="B412" s="28" t="n"/>
      <c r="C412" s="28" t="n"/>
      <c r="D412" s="28" t="n"/>
      <c r="E412" s="28" t="n"/>
      <c r="F412" s="28" t="n"/>
      <c r="G412" s="28" t="n"/>
      <c r="H412" s="28" t="n"/>
      <c r="I412" s="28" t="n"/>
      <c r="J412" s="28" t="n"/>
      <c r="K412" s="28" t="n"/>
    </row>
    <row r="413">
      <c r="A413" s="28" t="n"/>
      <c r="B413" s="28" t="n"/>
      <c r="C413" s="28" t="n"/>
      <c r="D413" s="28" t="n"/>
      <c r="E413" s="28" t="n"/>
      <c r="F413" s="28" t="n"/>
      <c r="G413" s="28" t="n"/>
      <c r="H413" s="28" t="n"/>
      <c r="I413" s="28" t="n"/>
      <c r="J413" s="28" t="n"/>
      <c r="K413" s="28" t="n"/>
    </row>
    <row r="414">
      <c r="A414" s="28" t="n"/>
      <c r="B414" s="28" t="n"/>
      <c r="C414" s="28" t="n"/>
      <c r="D414" s="28" t="n"/>
      <c r="E414" s="28" t="n"/>
      <c r="F414" s="28" t="n"/>
      <c r="G414" s="28" t="n"/>
      <c r="H414" s="28" t="n"/>
      <c r="I414" s="28" t="n"/>
      <c r="J414" s="28" t="n"/>
      <c r="K414" s="28" t="n"/>
    </row>
    <row r="415">
      <c r="A415" s="28" t="n"/>
      <c r="B415" s="28" t="n"/>
      <c r="C415" s="28" t="n"/>
      <c r="D415" s="28" t="n"/>
      <c r="E415" s="28" t="n"/>
      <c r="F415" s="28" t="n"/>
      <c r="G415" s="28" t="n"/>
      <c r="H415" s="28" t="n"/>
      <c r="I415" s="28" t="n"/>
      <c r="J415" s="28" t="n"/>
      <c r="K415" s="28" t="n"/>
    </row>
    <row r="416">
      <c r="A416" s="28" t="n"/>
      <c r="B416" s="28" t="n"/>
      <c r="C416" s="28" t="n"/>
      <c r="D416" s="28" t="n"/>
      <c r="E416" s="28" t="n"/>
      <c r="F416" s="28" t="n"/>
      <c r="G416" s="28" t="n"/>
      <c r="H416" s="28" t="n"/>
      <c r="I416" s="28" t="n"/>
      <c r="J416" s="28" t="n"/>
      <c r="K416" s="28" t="n"/>
    </row>
    <row r="417">
      <c r="A417" s="28" t="n"/>
      <c r="B417" s="28" t="n"/>
      <c r="C417" s="28" t="n"/>
      <c r="D417" s="28" t="n"/>
      <c r="E417" s="28" t="n"/>
      <c r="F417" s="28" t="n"/>
      <c r="G417" s="28" t="n"/>
      <c r="H417" s="28" t="n"/>
      <c r="I417" s="28" t="n"/>
      <c r="J417" s="28" t="n"/>
      <c r="K417" s="28" t="n"/>
    </row>
    <row r="418">
      <c r="A418" s="28" t="n"/>
      <c r="B418" s="28" t="n"/>
      <c r="C418" s="28" t="n"/>
      <c r="D418" s="28" t="n"/>
      <c r="E418" s="28" t="n"/>
      <c r="F418" s="28" t="n"/>
      <c r="G418" s="28" t="n"/>
      <c r="H418" s="28" t="n"/>
      <c r="I418" s="28" t="n"/>
      <c r="J418" s="28" t="n"/>
      <c r="K418" s="28" t="n"/>
    </row>
    <row r="419">
      <c r="A419" s="28" t="n"/>
      <c r="B419" s="28" t="n"/>
      <c r="C419" s="28" t="n"/>
      <c r="D419" s="28" t="n"/>
      <c r="E419" s="28" t="n"/>
      <c r="F419" s="28" t="n"/>
      <c r="G419" s="28" t="n"/>
      <c r="H419" s="28" t="n"/>
      <c r="I419" s="28" t="n"/>
      <c r="J419" s="28" t="n"/>
      <c r="K419" s="28" t="n"/>
    </row>
    <row r="420">
      <c r="A420" s="28" t="n"/>
      <c r="B420" s="28" t="n"/>
      <c r="C420" s="28" t="n"/>
      <c r="D420" s="28" t="n"/>
      <c r="E420" s="28" t="n"/>
      <c r="F420" s="28" t="n"/>
      <c r="G420" s="28" t="n"/>
      <c r="H420" s="28" t="n"/>
      <c r="I420" s="28" t="n"/>
      <c r="J420" s="28" t="n"/>
      <c r="K420" s="28" t="n"/>
    </row>
    <row r="421">
      <c r="A421" s="28" t="n"/>
      <c r="B421" s="28" t="n"/>
      <c r="C421" s="28" t="n"/>
      <c r="D421" s="28" t="n"/>
      <c r="E421" s="28" t="n"/>
      <c r="F421" s="28" t="n"/>
      <c r="G421" s="28" t="n"/>
      <c r="H421" s="28" t="n"/>
      <c r="I421" s="28" t="n"/>
      <c r="J421" s="28" t="n"/>
      <c r="K421" s="28" t="n"/>
    </row>
    <row r="422">
      <c r="A422" s="28" t="n"/>
      <c r="B422" s="28" t="n"/>
      <c r="C422" s="28" t="n"/>
      <c r="D422" s="28" t="n"/>
      <c r="E422" s="28" t="n"/>
      <c r="F422" s="28" t="n"/>
      <c r="G422" s="28" t="n"/>
      <c r="H422" s="28" t="n"/>
      <c r="I422" s="28" t="n"/>
      <c r="J422" s="28" t="n"/>
      <c r="K422" s="28" t="n"/>
    </row>
    <row r="423">
      <c r="A423" s="28" t="n"/>
      <c r="B423" s="28" t="n"/>
      <c r="C423" s="28" t="n"/>
      <c r="D423" s="28" t="n"/>
      <c r="E423" s="28" t="n"/>
      <c r="F423" s="28" t="n"/>
      <c r="G423" s="28" t="n"/>
      <c r="H423" s="28" t="n"/>
      <c r="I423" s="28" t="n"/>
      <c r="J423" s="28" t="n"/>
      <c r="K423" s="28" t="n"/>
    </row>
    <row r="424">
      <c r="A424" s="28" t="n"/>
      <c r="B424" s="28" t="n"/>
      <c r="C424" s="28" t="n"/>
      <c r="D424" s="28" t="n"/>
      <c r="E424" s="28" t="n"/>
      <c r="F424" s="28" t="n"/>
      <c r="G424" s="28" t="n"/>
      <c r="H424" s="28" t="n"/>
      <c r="I424" s="28" t="n"/>
      <c r="J424" s="28" t="n"/>
      <c r="K424" s="28" t="n"/>
    </row>
    <row r="425">
      <c r="A425" s="28" t="n"/>
      <c r="B425" s="28" t="n"/>
      <c r="C425" s="28" t="n"/>
      <c r="D425" s="28" t="n"/>
      <c r="E425" s="28" t="n"/>
      <c r="F425" s="28" t="n"/>
      <c r="G425" s="28" t="n"/>
      <c r="H425" s="28" t="n"/>
      <c r="I425" s="28" t="n"/>
      <c r="J425" s="28" t="n"/>
      <c r="K425" s="28" t="n"/>
    </row>
    <row r="426">
      <c r="A426" s="28" t="n"/>
      <c r="B426" s="28" t="n"/>
      <c r="C426" s="28" t="n"/>
      <c r="D426" s="28" t="n"/>
      <c r="E426" s="28" t="n"/>
      <c r="F426" s="28" t="n"/>
      <c r="G426" s="28" t="n"/>
      <c r="H426" s="28" t="n"/>
      <c r="I426" s="28" t="n"/>
      <c r="J426" s="28" t="n"/>
      <c r="K426" s="28" t="n"/>
    </row>
    <row r="427">
      <c r="A427" s="28" t="n"/>
      <c r="B427" s="28" t="n"/>
      <c r="C427" s="28" t="n"/>
      <c r="D427" s="28" t="n"/>
      <c r="E427" s="28" t="n"/>
      <c r="F427" s="28" t="n"/>
      <c r="G427" s="28" t="n"/>
      <c r="H427" s="28" t="n"/>
      <c r="I427" s="28" t="n"/>
      <c r="J427" s="28" t="n"/>
      <c r="K427" s="28" t="n"/>
    </row>
    <row r="428">
      <c r="A428" s="28" t="n"/>
      <c r="B428" s="28" t="n"/>
      <c r="C428" s="28" t="n"/>
      <c r="D428" s="28" t="n"/>
      <c r="E428" s="28" t="n"/>
      <c r="F428" s="28" t="n"/>
      <c r="G428" s="28" t="n"/>
      <c r="H428" s="28" t="n"/>
      <c r="I428" s="28" t="n"/>
      <c r="J428" s="28" t="n"/>
      <c r="K428" s="28" t="n"/>
    </row>
    <row r="429">
      <c r="A429" s="28" t="n"/>
      <c r="B429" s="28" t="n"/>
      <c r="C429" s="28" t="n"/>
      <c r="D429" s="28" t="n"/>
      <c r="E429" s="28" t="n"/>
      <c r="F429" s="28" t="n"/>
      <c r="G429" s="28" t="n"/>
      <c r="H429" s="28" t="n"/>
      <c r="I429" s="28" t="n"/>
      <c r="J429" s="28" t="n"/>
      <c r="K429" s="28" t="n"/>
    </row>
    <row r="430">
      <c r="A430" s="28" t="n"/>
      <c r="B430" s="28" t="n"/>
      <c r="C430" s="28" t="n"/>
      <c r="D430" s="28" t="n"/>
      <c r="E430" s="28" t="n"/>
      <c r="F430" s="28" t="n"/>
      <c r="G430" s="28" t="n"/>
      <c r="H430" s="28" t="n"/>
      <c r="I430" s="28" t="n"/>
      <c r="J430" s="28" t="n"/>
      <c r="K430" s="28" t="n"/>
    </row>
    <row r="431">
      <c r="A431" s="28" t="n"/>
      <c r="B431" s="28" t="n"/>
      <c r="C431" s="28" t="n"/>
      <c r="D431" s="28" t="n"/>
      <c r="E431" s="28" t="n"/>
      <c r="F431" s="28" t="n"/>
      <c r="G431" s="28" t="n"/>
      <c r="H431" s="28" t="n"/>
      <c r="I431" s="28" t="n"/>
      <c r="J431" s="28" t="n"/>
      <c r="K431" s="28" t="n"/>
    </row>
    <row r="432">
      <c r="A432" s="28" t="n"/>
      <c r="B432" s="28" t="n"/>
      <c r="C432" s="28" t="n"/>
      <c r="D432" s="28" t="n"/>
      <c r="E432" s="28" t="n"/>
      <c r="F432" s="28" t="n"/>
      <c r="G432" s="28" t="n"/>
      <c r="H432" s="28" t="n"/>
      <c r="I432" s="28" t="n"/>
      <c r="J432" s="28" t="n"/>
      <c r="K432" s="28" t="n"/>
    </row>
    <row r="433">
      <c r="A433" s="28" t="n"/>
      <c r="B433" s="28" t="n"/>
      <c r="C433" s="28" t="n"/>
      <c r="D433" s="28" t="n"/>
      <c r="E433" s="28" t="n"/>
      <c r="F433" s="28" t="n"/>
      <c r="G433" s="28" t="n"/>
      <c r="H433" s="28" t="n"/>
      <c r="I433" s="28" t="n"/>
      <c r="J433" s="28" t="n"/>
      <c r="K433" s="28" t="n"/>
    </row>
    <row r="434">
      <c r="A434" s="28" t="n"/>
      <c r="B434" s="28" t="n"/>
      <c r="C434" s="28" t="n"/>
      <c r="D434" s="28" t="n"/>
      <c r="E434" s="28" t="n"/>
      <c r="F434" s="28" t="n"/>
      <c r="G434" s="28" t="n"/>
      <c r="H434" s="28" t="n"/>
      <c r="I434" s="28" t="n"/>
      <c r="J434" s="28" t="n"/>
      <c r="K434" s="28" t="n"/>
    </row>
    <row r="435">
      <c r="A435" s="28" t="n"/>
      <c r="B435" s="28" t="n"/>
      <c r="C435" s="28" t="n"/>
      <c r="D435" s="28" t="n"/>
      <c r="E435" s="28" t="n"/>
      <c r="F435" s="28" t="n"/>
      <c r="G435" s="28" t="n"/>
      <c r="H435" s="28" t="n"/>
      <c r="I435" s="28" t="n"/>
      <c r="J435" s="28" t="n"/>
      <c r="K435" s="28" t="n"/>
    </row>
    <row r="436">
      <c r="A436" s="28" t="n"/>
      <c r="B436" s="28" t="n"/>
      <c r="C436" s="28" t="n"/>
      <c r="D436" s="28" t="n"/>
      <c r="E436" s="28" t="n"/>
      <c r="F436" s="28" t="n"/>
      <c r="G436" s="28" t="n"/>
      <c r="H436" s="28" t="n"/>
      <c r="I436" s="28" t="n"/>
      <c r="J436" s="28" t="n"/>
      <c r="K436" s="28" t="n"/>
    </row>
    <row r="437">
      <c r="A437" s="28" t="n"/>
      <c r="B437" s="28" t="n"/>
      <c r="C437" s="28" t="n"/>
      <c r="D437" s="28" t="n"/>
      <c r="E437" s="28" t="n"/>
      <c r="F437" s="28" t="n"/>
      <c r="G437" s="28" t="n"/>
      <c r="H437" s="28" t="n"/>
      <c r="I437" s="28" t="n"/>
      <c r="J437" s="28" t="n"/>
      <c r="K437" s="28" t="n"/>
    </row>
    <row r="438">
      <c r="A438" s="28" t="n"/>
      <c r="B438" s="28" t="n"/>
      <c r="C438" s="28" t="n"/>
      <c r="D438" s="28" t="n"/>
      <c r="E438" s="28" t="n"/>
      <c r="F438" s="28" t="n"/>
      <c r="G438" s="28" t="n"/>
      <c r="H438" s="28" t="n"/>
      <c r="I438" s="28" t="n"/>
      <c r="J438" s="28" t="n"/>
      <c r="K438" s="28" t="n"/>
    </row>
    <row r="439">
      <c r="A439" s="28" t="n"/>
      <c r="B439" s="28" t="n"/>
      <c r="C439" s="28" t="n"/>
      <c r="D439" s="28" t="n"/>
      <c r="E439" s="28" t="n"/>
      <c r="F439" s="28" t="n"/>
      <c r="G439" s="28" t="n"/>
      <c r="H439" s="28" t="n"/>
      <c r="I439" s="28" t="n"/>
      <c r="J439" s="28" t="n"/>
      <c r="K439" s="28" t="n"/>
    </row>
    <row r="440">
      <c r="A440" s="28" t="n"/>
      <c r="B440" s="28" t="n"/>
      <c r="C440" s="28" t="n"/>
      <c r="D440" s="28" t="n"/>
      <c r="E440" s="28" t="n"/>
      <c r="F440" s="28" t="n"/>
      <c r="G440" s="28" t="n"/>
      <c r="H440" s="28" t="n"/>
      <c r="I440" s="28" t="n"/>
      <c r="J440" s="28" t="n"/>
      <c r="K440" s="28" t="n"/>
    </row>
    <row r="441">
      <c r="A441" s="28" t="n"/>
      <c r="B441" s="28" t="n"/>
      <c r="C441" s="28" t="n"/>
      <c r="D441" s="28" t="n"/>
      <c r="E441" s="28" t="n"/>
      <c r="F441" s="28" t="n"/>
      <c r="G441" s="28" t="n"/>
      <c r="H441" s="28" t="n"/>
      <c r="I441" s="28" t="n"/>
      <c r="J441" s="28" t="n"/>
      <c r="K441" s="28" t="n"/>
    </row>
    <row r="442">
      <c r="A442" s="28" t="n"/>
      <c r="B442" s="28" t="n"/>
      <c r="C442" s="28" t="n"/>
      <c r="D442" s="28" t="n"/>
      <c r="E442" s="28" t="n"/>
      <c r="F442" s="28" t="n"/>
      <c r="G442" s="28" t="n"/>
      <c r="H442" s="28" t="n"/>
      <c r="I442" s="28" t="n"/>
      <c r="J442" s="28" t="n"/>
      <c r="K442" s="28" t="n"/>
    </row>
    <row r="443">
      <c r="A443" s="28" t="n"/>
      <c r="B443" s="28" t="n"/>
      <c r="C443" s="28" t="n"/>
      <c r="D443" s="28" t="n"/>
      <c r="E443" s="28" t="n"/>
      <c r="F443" s="28" t="n"/>
      <c r="G443" s="28" t="n"/>
      <c r="H443" s="28" t="n"/>
      <c r="I443" s="28" t="n"/>
      <c r="J443" s="28" t="n"/>
      <c r="K443" s="28" t="n"/>
    </row>
    <row r="444">
      <c r="A444" s="28" t="n"/>
      <c r="B444" s="28" t="n"/>
      <c r="C444" s="28" t="n"/>
      <c r="D444" s="28" t="n"/>
      <c r="E444" s="28" t="n"/>
      <c r="F444" s="28" t="n"/>
      <c r="G444" s="28" t="n"/>
      <c r="H444" s="28" t="n"/>
      <c r="I444" s="28" t="n"/>
      <c r="J444" s="28" t="n"/>
      <c r="K444" s="28" t="n"/>
    </row>
    <row r="445">
      <c r="A445" s="28" t="n"/>
      <c r="B445" s="28" t="n"/>
      <c r="C445" s="28" t="n"/>
      <c r="D445" s="28" t="n"/>
      <c r="E445" s="28" t="n"/>
      <c r="F445" s="28" t="n"/>
      <c r="G445" s="28" t="n"/>
      <c r="H445" s="28" t="n"/>
      <c r="I445" s="28" t="n"/>
      <c r="J445" s="28" t="n"/>
      <c r="K445" s="28" t="n"/>
    </row>
    <row r="446">
      <c r="A446" s="28" t="n"/>
      <c r="B446" s="28" t="n"/>
      <c r="C446" s="28" t="n"/>
      <c r="D446" s="28" t="n"/>
      <c r="E446" s="28" t="n"/>
      <c r="F446" s="28" t="n"/>
      <c r="G446" s="28" t="n"/>
      <c r="H446" s="28" t="n"/>
      <c r="I446" s="28" t="n"/>
      <c r="J446" s="28" t="n"/>
      <c r="K446" s="28" t="n"/>
    </row>
    <row r="447">
      <c r="A447" s="28" t="n"/>
      <c r="B447" s="28" t="n"/>
      <c r="C447" s="28" t="n"/>
      <c r="D447" s="28" t="n"/>
      <c r="E447" s="28" t="n"/>
      <c r="F447" s="28" t="n"/>
      <c r="G447" s="28" t="n"/>
      <c r="H447" s="28" t="n"/>
      <c r="I447" s="28" t="n"/>
      <c r="J447" s="28" t="n"/>
      <c r="K447" s="28" t="n"/>
    </row>
    <row r="448">
      <c r="A448" s="28" t="n"/>
      <c r="B448" s="28" t="n"/>
      <c r="C448" s="28" t="n"/>
      <c r="D448" s="28" t="n"/>
      <c r="E448" s="28" t="n"/>
      <c r="F448" s="28" t="n"/>
      <c r="G448" s="28" t="n"/>
      <c r="H448" s="28" t="n"/>
      <c r="I448" s="28" t="n"/>
      <c r="J448" s="28" t="n"/>
      <c r="K448" s="28" t="n"/>
    </row>
    <row r="449">
      <c r="A449" s="28" t="n"/>
      <c r="B449" s="28" t="n"/>
      <c r="C449" s="28" t="n"/>
      <c r="D449" s="28" t="n"/>
      <c r="E449" s="28" t="n"/>
      <c r="F449" s="28" t="n"/>
      <c r="G449" s="28" t="n"/>
      <c r="H449" s="28" t="n"/>
      <c r="I449" s="28" t="n"/>
      <c r="J449" s="28" t="n"/>
      <c r="K449" s="28" t="n"/>
    </row>
    <row r="450">
      <c r="A450" s="28" t="n"/>
      <c r="B450" s="28" t="n"/>
      <c r="C450" s="28" t="n"/>
      <c r="D450" s="28" t="n"/>
      <c r="E450" s="28" t="n"/>
      <c r="F450" s="28" t="n"/>
      <c r="G450" s="28" t="n"/>
      <c r="H450" s="28" t="n"/>
      <c r="I450" s="28" t="n"/>
      <c r="J450" s="28" t="n"/>
      <c r="K450" s="28" t="n"/>
    </row>
    <row r="451">
      <c r="A451" s="28" t="n"/>
      <c r="B451" s="28" t="n"/>
      <c r="C451" s="28" t="n"/>
      <c r="D451" s="28" t="n"/>
      <c r="E451" s="28" t="n"/>
      <c r="F451" s="28" t="n"/>
      <c r="G451" s="28" t="n"/>
      <c r="H451" s="28" t="n"/>
      <c r="I451" s="28" t="n"/>
      <c r="J451" s="28" t="n"/>
      <c r="K451" s="28" t="n"/>
    </row>
    <row r="452">
      <c r="A452" s="28" t="n"/>
      <c r="B452" s="28" t="n"/>
      <c r="C452" s="28" t="n"/>
      <c r="D452" s="28" t="n"/>
      <c r="E452" s="28" t="n"/>
      <c r="F452" s="28" t="n"/>
      <c r="G452" s="28" t="n"/>
      <c r="H452" s="28" t="n"/>
      <c r="I452" s="28" t="n"/>
      <c r="J452" s="28" t="n"/>
      <c r="K452" s="28" t="n"/>
    </row>
    <row r="453">
      <c r="A453" s="28" t="n"/>
      <c r="B453" s="28" t="n"/>
      <c r="C453" s="28" t="n"/>
      <c r="D453" s="28" t="n"/>
      <c r="E453" s="28" t="n"/>
      <c r="F453" s="28" t="n"/>
      <c r="G453" s="28" t="n"/>
      <c r="H453" s="28" t="n"/>
      <c r="I453" s="28" t="n"/>
      <c r="J453" s="28" t="n"/>
      <c r="K453" s="28" t="n"/>
    </row>
    <row r="454">
      <c r="A454" s="28" t="n"/>
      <c r="B454" s="28" t="n"/>
      <c r="C454" s="28" t="n"/>
      <c r="D454" s="28" t="n"/>
      <c r="E454" s="28" t="n"/>
      <c r="F454" s="28" t="n"/>
      <c r="G454" s="28" t="n"/>
      <c r="H454" s="28" t="n"/>
      <c r="I454" s="28" t="n"/>
      <c r="J454" s="28" t="n"/>
      <c r="K454" s="28" t="n"/>
    </row>
    <row r="455">
      <c r="A455" s="28" t="n"/>
      <c r="B455" s="28" t="n"/>
      <c r="C455" s="28" t="n"/>
      <c r="D455" s="28" t="n"/>
      <c r="E455" s="28" t="n"/>
      <c r="F455" s="28" t="n"/>
      <c r="G455" s="28" t="n"/>
      <c r="H455" s="28" t="n"/>
      <c r="I455" s="28" t="n"/>
      <c r="J455" s="28" t="n"/>
      <c r="K455" s="28" t="n"/>
    </row>
    <row r="456">
      <c r="A456" s="28" t="n"/>
      <c r="B456" s="28" t="n"/>
      <c r="C456" s="28" t="n"/>
      <c r="D456" s="28" t="n"/>
      <c r="E456" s="28" t="n"/>
      <c r="F456" s="28" t="n"/>
      <c r="G456" s="28" t="n"/>
      <c r="H456" s="28" t="n"/>
      <c r="I456" s="28" t="n"/>
      <c r="J456" s="28" t="n"/>
      <c r="K456" s="28" t="n"/>
    </row>
    <row r="457">
      <c r="A457" s="28" t="n"/>
      <c r="B457" s="28" t="n"/>
      <c r="C457" s="28" t="n"/>
      <c r="D457" s="28" t="n"/>
      <c r="E457" s="28" t="n"/>
      <c r="F457" s="28" t="n"/>
      <c r="G457" s="28" t="n"/>
      <c r="H457" s="28" t="n"/>
      <c r="I457" s="28" t="n"/>
      <c r="J457" s="28" t="n"/>
      <c r="K457" s="28" t="n"/>
    </row>
    <row r="458">
      <c r="A458" s="28" t="n"/>
      <c r="B458" s="28" t="n"/>
      <c r="C458" s="28" t="n"/>
      <c r="D458" s="28" t="n"/>
      <c r="E458" s="28" t="n"/>
      <c r="F458" s="28" t="n"/>
      <c r="G458" s="28" t="n"/>
      <c r="H458" s="28" t="n"/>
      <c r="I458" s="28" t="n"/>
      <c r="J458" s="28" t="n"/>
      <c r="K458" s="28" t="n"/>
    </row>
    <row r="459">
      <c r="A459" s="28" t="n"/>
      <c r="B459" s="28" t="n"/>
      <c r="C459" s="28" t="n"/>
      <c r="D459" s="28" t="n"/>
      <c r="E459" s="28" t="n"/>
      <c r="F459" s="28" t="n"/>
      <c r="G459" s="28" t="n"/>
      <c r="H459" s="28" t="n"/>
      <c r="I459" s="28" t="n"/>
      <c r="J459" s="28" t="n"/>
      <c r="K459" s="28" t="n"/>
    </row>
    <row r="460">
      <c r="A460" s="28" t="n"/>
      <c r="B460" s="28" t="n"/>
      <c r="C460" s="28" t="n"/>
      <c r="D460" s="28" t="n"/>
      <c r="E460" s="28" t="n"/>
      <c r="F460" s="28" t="n"/>
      <c r="G460" s="28" t="n"/>
      <c r="H460" s="28" t="n"/>
      <c r="I460" s="28" t="n"/>
      <c r="J460" s="28" t="n"/>
      <c r="K460" s="28" t="n"/>
    </row>
    <row r="461">
      <c r="A461" s="28" t="n"/>
      <c r="B461" s="28" t="n"/>
      <c r="C461" s="28" t="n"/>
      <c r="D461" s="28" t="n"/>
      <c r="E461" s="28" t="n"/>
      <c r="F461" s="28" t="n"/>
      <c r="G461" s="28" t="n"/>
      <c r="H461" s="28" t="n"/>
      <c r="I461" s="28" t="n"/>
      <c r="J461" s="28" t="n"/>
      <c r="K461" s="28" t="n"/>
    </row>
    <row r="462">
      <c r="A462" s="28" t="n"/>
      <c r="B462" s="28" t="n"/>
      <c r="C462" s="28" t="n"/>
      <c r="D462" s="28" t="n"/>
      <c r="E462" s="28" t="n"/>
      <c r="F462" s="28" t="n"/>
      <c r="G462" s="28" t="n"/>
      <c r="H462" s="28" t="n"/>
      <c r="I462" s="28" t="n"/>
      <c r="J462" s="28" t="n"/>
      <c r="K462" s="28" t="n"/>
    </row>
    <row r="463">
      <c r="A463" s="28" t="n"/>
      <c r="B463" s="28" t="n"/>
      <c r="C463" s="28" t="n"/>
      <c r="D463" s="28" t="n"/>
      <c r="E463" s="28" t="n"/>
      <c r="F463" s="28" t="n"/>
      <c r="G463" s="28" t="n"/>
      <c r="H463" s="28" t="n"/>
      <c r="I463" s="28" t="n"/>
      <c r="J463" s="28" t="n"/>
      <c r="K463" s="28" t="n"/>
    </row>
    <row r="464">
      <c r="A464" s="28" t="n"/>
      <c r="B464" s="28" t="n"/>
      <c r="C464" s="28" t="n"/>
      <c r="D464" s="28" t="n"/>
      <c r="E464" s="28" t="n"/>
      <c r="F464" s="28" t="n"/>
      <c r="G464" s="28" t="n"/>
      <c r="H464" s="28" t="n"/>
      <c r="I464" s="28" t="n"/>
      <c r="J464" s="28" t="n"/>
      <c r="K464" s="28" t="n"/>
    </row>
    <row r="465">
      <c r="A465" s="28" t="n"/>
      <c r="B465" s="28" t="n"/>
      <c r="C465" s="28" t="n"/>
      <c r="D465" s="28" t="n"/>
      <c r="E465" s="28" t="n"/>
      <c r="F465" s="28" t="n"/>
      <c r="G465" s="28" t="n"/>
      <c r="H465" s="28" t="n"/>
      <c r="I465" s="28" t="n"/>
      <c r="J465" s="28" t="n"/>
      <c r="K465" s="28" t="n"/>
    </row>
    <row r="466">
      <c r="A466" s="28" t="n"/>
      <c r="B466" s="28" t="n"/>
      <c r="C466" s="28" t="n"/>
      <c r="D466" s="28" t="n"/>
      <c r="E466" s="28" t="n"/>
      <c r="F466" s="28" t="n"/>
      <c r="G466" s="28" t="n"/>
      <c r="H466" s="28" t="n"/>
      <c r="I466" s="28" t="n"/>
      <c r="J466" s="28" t="n"/>
      <c r="K466" s="28" t="n"/>
    </row>
    <row r="467">
      <c r="A467" s="28" t="n"/>
      <c r="B467" s="28" t="n"/>
      <c r="C467" s="28" t="n"/>
      <c r="D467" s="28" t="n"/>
      <c r="E467" s="28" t="n"/>
      <c r="F467" s="28" t="n"/>
      <c r="G467" s="28" t="n"/>
      <c r="H467" s="28" t="n"/>
      <c r="I467" s="28" t="n"/>
      <c r="J467" s="28" t="n"/>
      <c r="K467" s="28" t="n"/>
    </row>
    <row r="468">
      <c r="A468" s="28" t="n"/>
      <c r="B468" s="28" t="n"/>
      <c r="C468" s="28" t="n"/>
      <c r="D468" s="28" t="n"/>
      <c r="E468" s="28" t="n"/>
      <c r="F468" s="28" t="n"/>
      <c r="G468" s="28" t="n"/>
      <c r="H468" s="28" t="n"/>
      <c r="I468" s="28" t="n"/>
      <c r="J468" s="28" t="n"/>
      <c r="K468" s="28" t="n"/>
    </row>
    <row r="469">
      <c r="A469" s="28" t="n"/>
      <c r="B469" s="28" t="n"/>
      <c r="C469" s="28" t="n"/>
      <c r="D469" s="28" t="n"/>
      <c r="E469" s="28" t="n"/>
      <c r="F469" s="28" t="n"/>
      <c r="G469" s="28" t="n"/>
      <c r="H469" s="28" t="n"/>
      <c r="I469" s="28" t="n"/>
      <c r="J469" s="28" t="n"/>
      <c r="K469" s="28" t="n"/>
    </row>
    <row r="470">
      <c r="A470" s="28" t="n"/>
      <c r="B470" s="28" t="n"/>
      <c r="C470" s="28" t="n"/>
      <c r="D470" s="28" t="n"/>
      <c r="E470" s="28" t="n"/>
      <c r="F470" s="28" t="n"/>
      <c r="G470" s="28" t="n"/>
      <c r="H470" s="28" t="n"/>
      <c r="I470" s="28" t="n"/>
      <c r="J470" s="28" t="n"/>
      <c r="K470" s="28" t="n"/>
    </row>
    <row r="471">
      <c r="A471" s="28" t="n"/>
      <c r="B471" s="28" t="n"/>
      <c r="C471" s="28" t="n"/>
      <c r="D471" s="28" t="n"/>
      <c r="E471" s="28" t="n"/>
      <c r="F471" s="28" t="n"/>
      <c r="G471" s="28" t="n"/>
      <c r="H471" s="28" t="n"/>
      <c r="I471" s="28" t="n"/>
      <c r="J471" s="28" t="n"/>
      <c r="K471" s="28" t="n"/>
    </row>
    <row r="472">
      <c r="A472" s="28" t="n"/>
      <c r="B472" s="28" t="n"/>
      <c r="C472" s="28" t="n"/>
      <c r="D472" s="28" t="n"/>
      <c r="E472" s="28" t="n"/>
      <c r="F472" s="28" t="n"/>
      <c r="G472" s="28" t="n"/>
      <c r="H472" s="28" t="n"/>
      <c r="I472" s="28" t="n"/>
      <c r="J472" s="28" t="n"/>
      <c r="K472" s="28" t="n"/>
    </row>
    <row r="473">
      <c r="A473" s="28" t="n"/>
      <c r="B473" s="28" t="n"/>
      <c r="C473" s="28" t="n"/>
      <c r="D473" s="28" t="n"/>
      <c r="E473" s="28" t="n"/>
      <c r="F473" s="28" t="n"/>
      <c r="G473" s="28" t="n"/>
      <c r="H473" s="28" t="n"/>
      <c r="I473" s="28" t="n"/>
      <c r="J473" s="28" t="n"/>
      <c r="K473" s="28" t="n"/>
    </row>
    <row r="474">
      <c r="A474" s="28" t="n"/>
      <c r="B474" s="28" t="n"/>
      <c r="C474" s="28" t="n"/>
      <c r="D474" s="28" t="n"/>
      <c r="E474" s="28" t="n"/>
      <c r="F474" s="28" t="n"/>
      <c r="G474" s="28" t="n"/>
      <c r="H474" s="28" t="n"/>
      <c r="I474" s="28" t="n"/>
      <c r="J474" s="28" t="n"/>
      <c r="K474" s="28" t="n"/>
    </row>
    <row r="475">
      <c r="A475" s="28" t="n"/>
      <c r="B475" s="28" t="n"/>
      <c r="C475" s="28" t="n"/>
      <c r="D475" s="28" t="n"/>
      <c r="E475" s="28" t="n"/>
      <c r="F475" s="28" t="n"/>
      <c r="G475" s="28" t="n"/>
      <c r="H475" s="28" t="n"/>
      <c r="I475" s="28" t="n"/>
      <c r="J475" s="28" t="n"/>
      <c r="K475" s="28" t="n"/>
    </row>
    <row r="476">
      <c r="A476" s="28" t="n"/>
      <c r="B476" s="28" t="n"/>
      <c r="C476" s="28" t="n"/>
      <c r="D476" s="28" t="n"/>
      <c r="E476" s="28" t="n"/>
      <c r="F476" s="28" t="n"/>
      <c r="G476" s="28" t="n"/>
      <c r="H476" s="28" t="n"/>
      <c r="I476" s="28" t="n"/>
      <c r="J476" s="28" t="n"/>
      <c r="K476" s="28" t="n"/>
    </row>
    <row r="477">
      <c r="A477" s="28" t="n"/>
      <c r="B477" s="28" t="n"/>
      <c r="C477" s="28" t="n"/>
      <c r="D477" s="28" t="n"/>
      <c r="E477" s="28" t="n"/>
      <c r="F477" s="28" t="n"/>
      <c r="G477" s="28" t="n"/>
      <c r="H477" s="28" t="n"/>
      <c r="I477" s="28" t="n"/>
      <c r="J477" s="28" t="n"/>
      <c r="K477" s="28" t="n"/>
    </row>
    <row r="478">
      <c r="A478" s="28" t="n"/>
      <c r="B478" s="28" t="n"/>
      <c r="C478" s="28" t="n"/>
      <c r="D478" s="28" t="n"/>
      <c r="E478" s="28" t="n"/>
      <c r="F478" s="28" t="n"/>
      <c r="G478" s="28" t="n"/>
      <c r="H478" s="28" t="n"/>
      <c r="I478" s="28" t="n"/>
      <c r="J478" s="28" t="n"/>
      <c r="K478" s="28" t="n"/>
    </row>
    <row r="479">
      <c r="A479" s="28" t="n"/>
      <c r="B479" s="28" t="n"/>
      <c r="C479" s="28" t="n"/>
      <c r="D479" s="28" t="n"/>
      <c r="E479" s="28" t="n"/>
      <c r="F479" s="28" t="n"/>
      <c r="G479" s="28" t="n"/>
      <c r="H479" s="28" t="n"/>
      <c r="I479" s="28" t="n"/>
      <c r="J479" s="28" t="n"/>
      <c r="K479" s="28" t="n"/>
    </row>
    <row r="480">
      <c r="A480" s="28" t="n"/>
      <c r="B480" s="28" t="n"/>
      <c r="C480" s="28" t="n"/>
      <c r="D480" s="28" t="n"/>
      <c r="E480" s="28" t="n"/>
      <c r="F480" s="28" t="n"/>
      <c r="G480" s="28" t="n"/>
      <c r="H480" s="28" t="n"/>
      <c r="I480" s="28" t="n"/>
      <c r="J480" s="28" t="n"/>
      <c r="K480" s="28" t="n"/>
    </row>
    <row r="481">
      <c r="A481" s="28" t="n"/>
      <c r="B481" s="28" t="n"/>
      <c r="C481" s="28" t="n"/>
      <c r="D481" s="28" t="n"/>
      <c r="E481" s="28" t="n"/>
      <c r="F481" s="28" t="n"/>
      <c r="G481" s="28" t="n"/>
      <c r="H481" s="28" t="n"/>
      <c r="I481" s="28" t="n"/>
      <c r="J481" s="28" t="n"/>
      <c r="K481" s="28" t="n"/>
    </row>
    <row r="482">
      <c r="A482" s="28" t="n"/>
      <c r="B482" s="28" t="n"/>
      <c r="C482" s="28" t="n"/>
      <c r="D482" s="28" t="n"/>
      <c r="E482" s="28" t="n"/>
      <c r="F482" s="28" t="n"/>
      <c r="G482" s="28" t="n"/>
      <c r="H482" s="28" t="n"/>
      <c r="I482" s="28" t="n"/>
      <c r="J482" s="28" t="n"/>
      <c r="K482" s="28" t="n"/>
    </row>
    <row r="483">
      <c r="A483" s="28" t="n"/>
      <c r="B483" s="28" t="n"/>
      <c r="C483" s="28" t="n"/>
      <c r="D483" s="28" t="n"/>
      <c r="E483" s="28" t="n"/>
      <c r="F483" s="28" t="n"/>
      <c r="G483" s="28" t="n"/>
      <c r="H483" s="28" t="n"/>
      <c r="I483" s="28" t="n"/>
      <c r="J483" s="28" t="n"/>
      <c r="K483" s="28" t="n"/>
    </row>
    <row r="484">
      <c r="A484" s="28" t="n"/>
      <c r="B484" s="28" t="n"/>
      <c r="C484" s="28" t="n"/>
      <c r="D484" s="28" t="n"/>
      <c r="E484" s="28" t="n"/>
      <c r="F484" s="28" t="n"/>
      <c r="G484" s="28" t="n"/>
      <c r="H484" s="28" t="n"/>
      <c r="I484" s="28" t="n"/>
      <c r="J484" s="28" t="n"/>
      <c r="K484" s="28" t="n"/>
    </row>
    <row r="485">
      <c r="A485" s="28" t="n"/>
      <c r="B485" s="28" t="n"/>
      <c r="C485" s="28" t="n"/>
      <c r="D485" s="28" t="n"/>
      <c r="E485" s="28" t="n"/>
      <c r="F485" s="28" t="n"/>
      <c r="G485" s="28" t="n"/>
      <c r="H485" s="28" t="n"/>
      <c r="I485" s="28" t="n"/>
      <c r="J485" s="28" t="n"/>
      <c r="K485" s="28" t="n"/>
    </row>
    <row r="486">
      <c r="A486" s="28" t="n"/>
      <c r="B486" s="28" t="n"/>
      <c r="C486" s="28" t="n"/>
      <c r="D486" s="28" t="n"/>
      <c r="E486" s="28" t="n"/>
      <c r="F486" s="28" t="n"/>
      <c r="G486" s="28" t="n"/>
      <c r="H486" s="28" t="n"/>
      <c r="I486" s="28" t="n"/>
      <c r="J486" s="28" t="n"/>
      <c r="K486" s="28" t="n"/>
    </row>
    <row r="487">
      <c r="A487" s="28" t="n"/>
      <c r="B487" s="28" t="n"/>
      <c r="C487" s="28" t="n"/>
      <c r="D487" s="28" t="n"/>
      <c r="E487" s="28" t="n"/>
      <c r="F487" s="28" t="n"/>
      <c r="G487" s="28" t="n"/>
      <c r="H487" s="28" t="n"/>
      <c r="I487" s="28" t="n"/>
      <c r="J487" s="28" t="n"/>
      <c r="K487" s="28" t="n"/>
    </row>
    <row r="488">
      <c r="A488" s="28" t="n"/>
      <c r="B488" s="28" t="n"/>
      <c r="C488" s="28" t="n"/>
      <c r="D488" s="28" t="n"/>
      <c r="E488" s="28" t="n"/>
      <c r="F488" s="28" t="n"/>
      <c r="G488" s="28" t="n"/>
      <c r="H488" s="28" t="n"/>
      <c r="I488" s="28" t="n"/>
      <c r="J488" s="28" t="n"/>
      <c r="K488" s="28" t="n"/>
    </row>
    <row r="489">
      <c r="A489" s="28" t="n"/>
      <c r="B489" s="28" t="n"/>
      <c r="C489" s="28" t="n"/>
      <c r="D489" s="28" t="n"/>
      <c r="E489" s="28" t="n"/>
      <c r="F489" s="28" t="n"/>
      <c r="G489" s="28" t="n"/>
      <c r="H489" s="28" t="n"/>
      <c r="I489" s="28" t="n"/>
      <c r="J489" s="28" t="n"/>
      <c r="K489" s="28" t="n"/>
    </row>
    <row r="490">
      <c r="A490" s="28" t="n"/>
      <c r="B490" s="28" t="n"/>
      <c r="C490" s="28" t="n"/>
      <c r="D490" s="28" t="n"/>
      <c r="E490" s="28" t="n"/>
      <c r="F490" s="28" t="n"/>
      <c r="G490" s="28" t="n"/>
      <c r="H490" s="28" t="n"/>
      <c r="I490" s="28" t="n"/>
      <c r="J490" s="28" t="n"/>
      <c r="K490" s="28" t="n"/>
    </row>
    <row r="491">
      <c r="A491" s="28" t="n"/>
      <c r="B491" s="28" t="n"/>
      <c r="C491" s="28" t="n"/>
      <c r="D491" s="28" t="n"/>
      <c r="E491" s="28" t="n"/>
      <c r="F491" s="28" t="n"/>
      <c r="G491" s="28" t="n"/>
      <c r="H491" s="28" t="n"/>
      <c r="I491" s="28" t="n"/>
      <c r="J491" s="28" t="n"/>
      <c r="K491" s="28" t="n"/>
    </row>
    <row r="492">
      <c r="A492" s="28" t="n"/>
      <c r="B492" s="28" t="n"/>
      <c r="C492" s="28" t="n"/>
      <c r="D492" s="28" t="n"/>
      <c r="E492" s="28" t="n"/>
      <c r="F492" s="28" t="n"/>
      <c r="G492" s="28" t="n"/>
      <c r="H492" s="28" t="n"/>
      <c r="I492" s="28" t="n"/>
      <c r="J492" s="28" t="n"/>
      <c r="K492" s="28" t="n"/>
    </row>
    <row r="493">
      <c r="A493" s="28" t="n"/>
      <c r="B493" s="28" t="n"/>
      <c r="C493" s="28" t="n"/>
      <c r="D493" s="28" t="n"/>
      <c r="E493" s="28" t="n"/>
      <c r="F493" s="28" t="n"/>
      <c r="G493" s="28" t="n"/>
      <c r="H493" s="28" t="n"/>
      <c r="I493" s="28" t="n"/>
      <c r="J493" s="28" t="n"/>
      <c r="K493" s="28" t="n"/>
    </row>
    <row r="494">
      <c r="A494" s="28" t="n"/>
      <c r="B494" s="28" t="n"/>
      <c r="C494" s="28" t="n"/>
      <c r="D494" s="28" t="n"/>
      <c r="E494" s="28" t="n"/>
      <c r="F494" s="28" t="n"/>
      <c r="G494" s="28" t="n"/>
      <c r="H494" s="28" t="n"/>
      <c r="I494" s="28" t="n"/>
      <c r="J494" s="28" t="n"/>
      <c r="K494" s="28" t="n"/>
    </row>
    <row r="495">
      <c r="A495" s="28" t="n"/>
      <c r="B495" s="28" t="n"/>
      <c r="C495" s="28" t="n"/>
      <c r="D495" s="28" t="n"/>
      <c r="E495" s="28" t="n"/>
      <c r="F495" s="28" t="n"/>
      <c r="G495" s="28" t="n"/>
      <c r="H495" s="28" t="n"/>
      <c r="I495" s="28" t="n"/>
      <c r="J495" s="28" t="n"/>
      <c r="K495" s="28" t="n"/>
    </row>
    <row r="496">
      <c r="A496" s="28" t="n"/>
      <c r="B496" s="28" t="n"/>
      <c r="C496" s="28" t="n"/>
      <c r="D496" s="28" t="n"/>
      <c r="E496" s="28" t="n"/>
      <c r="F496" s="28" t="n"/>
      <c r="G496" s="28" t="n"/>
      <c r="H496" s="28" t="n"/>
      <c r="I496" s="28" t="n"/>
      <c r="J496" s="28" t="n"/>
      <c r="K496" s="28" t="n"/>
    </row>
    <row r="497">
      <c r="A497" s="28" t="n"/>
      <c r="B497" s="28" t="n"/>
      <c r="C497" s="28" t="n"/>
      <c r="D497" s="28" t="n"/>
      <c r="E497" s="28" t="n"/>
      <c r="F497" s="28" t="n"/>
      <c r="G497" s="28" t="n"/>
      <c r="H497" s="28" t="n"/>
      <c r="I497" s="28" t="n"/>
      <c r="J497" s="28" t="n"/>
      <c r="K497" s="28" t="n"/>
    </row>
    <row r="498">
      <c r="A498" s="28" t="n"/>
      <c r="B498" s="28" t="n"/>
      <c r="C498" s="28" t="n"/>
      <c r="D498" s="28" t="n"/>
      <c r="E498" s="28" t="n"/>
      <c r="F498" s="28" t="n"/>
      <c r="G498" s="28" t="n"/>
      <c r="H498" s="28" t="n"/>
      <c r="I498" s="28" t="n"/>
      <c r="J498" s="28" t="n"/>
      <c r="K498" s="28" t="n"/>
    </row>
    <row r="499">
      <c r="A499" s="28" t="n"/>
      <c r="B499" s="28" t="n"/>
      <c r="C499" s="28" t="n"/>
      <c r="D499" s="28" t="n"/>
      <c r="E499" s="28" t="n"/>
      <c r="F499" s="28" t="n"/>
      <c r="G499" s="28" t="n"/>
      <c r="H499" s="28" t="n"/>
      <c r="I499" s="28" t="n"/>
      <c r="J499" s="28" t="n"/>
      <c r="K499" s="28" t="n"/>
    </row>
    <row r="500">
      <c r="A500" s="28" t="n"/>
      <c r="B500" s="28" t="n"/>
      <c r="C500" s="28" t="n"/>
      <c r="D500" s="28" t="n"/>
      <c r="E500" s="28" t="n"/>
      <c r="F500" s="28" t="n"/>
      <c r="G500" s="28" t="n"/>
      <c r="H500" s="28" t="n"/>
      <c r="I500" s="28" t="n"/>
      <c r="J500" s="28" t="n"/>
      <c r="K500" s="28" t="n"/>
    </row>
    <row r="501">
      <c r="A501" s="28" t="n"/>
      <c r="B501" s="28" t="n"/>
      <c r="C501" s="28" t="n"/>
      <c r="D501" s="28" t="n"/>
      <c r="E501" s="28" t="n"/>
      <c r="F501" s="28" t="n"/>
      <c r="G501" s="28" t="n"/>
      <c r="H501" s="28" t="n"/>
      <c r="I501" s="28" t="n"/>
      <c r="J501" s="28" t="n"/>
      <c r="K501" s="28" t="n"/>
    </row>
    <row r="502">
      <c r="A502" s="28" t="n"/>
      <c r="B502" s="28" t="n"/>
      <c r="C502" s="28" t="n"/>
      <c r="D502" s="28" t="n"/>
      <c r="E502" s="28" t="n"/>
      <c r="F502" s="28" t="n"/>
      <c r="G502" s="28" t="n"/>
      <c r="H502" s="28" t="n"/>
      <c r="I502" s="28" t="n"/>
      <c r="J502" s="28" t="n"/>
      <c r="K502" s="28" t="n"/>
    </row>
    <row r="503">
      <c r="A503" s="28" t="n"/>
      <c r="B503" s="28" t="n"/>
      <c r="C503" s="28" t="n"/>
      <c r="D503" s="28" t="n"/>
      <c r="E503" s="28" t="n"/>
      <c r="F503" s="28" t="n"/>
      <c r="G503" s="28" t="n"/>
      <c r="H503" s="28" t="n"/>
      <c r="I503" s="28" t="n"/>
      <c r="J503" s="28" t="n"/>
      <c r="K503" s="28" t="n"/>
    </row>
    <row r="504">
      <c r="A504" s="28" t="n"/>
      <c r="B504" s="28" t="n"/>
      <c r="C504" s="28" t="n"/>
      <c r="D504" s="28" t="n"/>
      <c r="E504" s="28" t="n"/>
      <c r="F504" s="28" t="n"/>
      <c r="G504" s="28" t="n"/>
      <c r="H504" s="28" t="n"/>
      <c r="I504" s="28" t="n"/>
      <c r="J504" s="28" t="n"/>
      <c r="K504" s="28" t="n"/>
    </row>
    <row r="505">
      <c r="A505" s="28" t="n"/>
      <c r="B505" s="28" t="n"/>
      <c r="C505" s="28" t="n"/>
      <c r="D505" s="28" t="n"/>
      <c r="E505" s="28" t="n"/>
      <c r="F505" s="28" t="n"/>
      <c r="G505" s="28" t="n"/>
      <c r="H505" s="28" t="n"/>
      <c r="I505" s="28" t="n"/>
      <c r="J505" s="28" t="n"/>
      <c r="K505" s="28" t="n"/>
    </row>
    <row r="506">
      <c r="A506" s="28" t="n"/>
      <c r="B506" s="28" t="n"/>
      <c r="C506" s="28" t="n"/>
      <c r="D506" s="28" t="n"/>
      <c r="E506" s="28" t="n"/>
      <c r="F506" s="28" t="n"/>
      <c r="G506" s="28" t="n"/>
      <c r="H506" s="28" t="n"/>
      <c r="I506" s="28" t="n"/>
      <c r="J506" s="28" t="n"/>
      <c r="K506" s="28" t="n"/>
    </row>
    <row r="507">
      <c r="A507" s="28" t="n"/>
      <c r="B507" s="28" t="n"/>
      <c r="C507" s="28" t="n"/>
      <c r="D507" s="28" t="n"/>
      <c r="E507" s="28" t="n"/>
      <c r="F507" s="28" t="n"/>
      <c r="G507" s="28" t="n"/>
      <c r="H507" s="28" t="n"/>
      <c r="I507" s="28" t="n"/>
      <c r="J507" s="28" t="n"/>
      <c r="K507" s="28" t="n"/>
    </row>
    <row r="508">
      <c r="A508" s="28" t="n"/>
      <c r="B508" s="28" t="n"/>
      <c r="C508" s="28" t="n"/>
      <c r="D508" s="28" t="n"/>
      <c r="E508" s="28" t="n"/>
      <c r="F508" s="28" t="n"/>
      <c r="G508" s="28" t="n"/>
      <c r="H508" s="28" t="n"/>
      <c r="I508" s="28" t="n"/>
      <c r="J508" s="28" t="n"/>
      <c r="K508" s="28" t="n"/>
    </row>
    <row r="509">
      <c r="A509" s="28" t="n"/>
      <c r="B509" s="28" t="n"/>
      <c r="C509" s="28" t="n"/>
      <c r="D509" s="28" t="n"/>
      <c r="E509" s="28" t="n"/>
      <c r="F509" s="28" t="n"/>
      <c r="G509" s="28" t="n"/>
      <c r="H509" s="28" t="n"/>
      <c r="I509" s="28" t="n"/>
      <c r="J509" s="28" t="n"/>
      <c r="K509" s="28" t="n"/>
    </row>
    <row r="510">
      <c r="A510" s="28" t="n"/>
      <c r="B510" s="28" t="n"/>
      <c r="C510" s="28" t="n"/>
      <c r="D510" s="28" t="n"/>
      <c r="E510" s="28" t="n"/>
      <c r="F510" s="28" t="n"/>
      <c r="G510" s="28" t="n"/>
      <c r="H510" s="28" t="n"/>
      <c r="I510" s="28" t="n"/>
      <c r="J510" s="28" t="n"/>
      <c r="K510" s="28" t="n"/>
    </row>
    <row r="511">
      <c r="A511" s="28" t="n"/>
      <c r="B511" s="28" t="n"/>
      <c r="C511" s="28" t="n"/>
      <c r="D511" s="28" t="n"/>
      <c r="E511" s="28" t="n"/>
      <c r="F511" s="28" t="n"/>
      <c r="G511" s="28" t="n"/>
      <c r="H511" s="28" t="n"/>
      <c r="I511" s="28" t="n"/>
      <c r="J511" s="28" t="n"/>
      <c r="K511" s="28" t="n"/>
    </row>
    <row r="512">
      <c r="A512" s="28" t="n"/>
      <c r="B512" s="28" t="n"/>
      <c r="C512" s="28" t="n"/>
      <c r="D512" s="28" t="n"/>
      <c r="E512" s="28" t="n"/>
      <c r="F512" s="28" t="n"/>
      <c r="G512" s="28" t="n"/>
      <c r="H512" s="28" t="n"/>
      <c r="I512" s="28" t="n"/>
      <c r="J512" s="28" t="n"/>
      <c r="K512" s="28" t="n"/>
    </row>
    <row r="513">
      <c r="A513" s="28" t="n"/>
      <c r="B513" s="28" t="n"/>
      <c r="C513" s="28" t="n"/>
      <c r="D513" s="28" t="n"/>
      <c r="E513" s="28" t="n"/>
      <c r="F513" s="28" t="n"/>
      <c r="G513" s="28" t="n"/>
      <c r="H513" s="28" t="n"/>
      <c r="I513" s="28" t="n"/>
      <c r="J513" s="28" t="n"/>
      <c r="K513" s="28" t="n"/>
    </row>
    <row r="514">
      <c r="A514" s="28" t="n"/>
      <c r="B514" s="28" t="n"/>
      <c r="C514" s="28" t="n"/>
      <c r="D514" s="28" t="n"/>
      <c r="E514" s="28" t="n"/>
      <c r="F514" s="28" t="n"/>
      <c r="G514" s="28" t="n"/>
      <c r="H514" s="28" t="n"/>
      <c r="I514" s="28" t="n"/>
      <c r="J514" s="28" t="n"/>
      <c r="K514" s="28" t="n"/>
    </row>
    <row r="515">
      <c r="A515" s="28" t="n"/>
      <c r="B515" s="28" t="n"/>
      <c r="C515" s="28" t="n"/>
      <c r="D515" s="28" t="n"/>
      <c r="E515" s="28" t="n"/>
      <c r="F515" s="28" t="n"/>
      <c r="G515" s="28" t="n"/>
      <c r="H515" s="28" t="n"/>
      <c r="I515" s="28" t="n"/>
      <c r="J515" s="28" t="n"/>
      <c r="K515" s="28" t="n"/>
    </row>
    <row r="516">
      <c r="A516" s="28" t="n"/>
      <c r="B516" s="28" t="n"/>
      <c r="C516" s="28" t="n"/>
      <c r="D516" s="28" t="n"/>
      <c r="E516" s="28" t="n"/>
      <c r="F516" s="28" t="n"/>
      <c r="G516" s="28" t="n"/>
      <c r="H516" s="28" t="n"/>
      <c r="I516" s="28" t="n"/>
      <c r="J516" s="28" t="n"/>
      <c r="K516" s="28" t="n"/>
    </row>
    <row r="517">
      <c r="A517" s="28" t="n"/>
      <c r="B517" s="28" t="n"/>
      <c r="C517" s="28" t="n"/>
      <c r="D517" s="28" t="n"/>
      <c r="E517" s="28" t="n"/>
      <c r="F517" s="28" t="n"/>
      <c r="G517" s="28" t="n"/>
      <c r="H517" s="28" t="n"/>
      <c r="I517" s="28" t="n"/>
      <c r="J517" s="28" t="n"/>
      <c r="K517" s="28" t="n"/>
    </row>
    <row r="518">
      <c r="A518" s="28" t="n"/>
      <c r="B518" s="28" t="n"/>
      <c r="C518" s="28" t="n"/>
      <c r="D518" s="28" t="n"/>
      <c r="E518" s="28" t="n"/>
      <c r="F518" s="28" t="n"/>
      <c r="G518" s="28" t="n"/>
      <c r="H518" s="28" t="n"/>
      <c r="I518" s="28" t="n"/>
      <c r="J518" s="28" t="n"/>
      <c r="K518" s="28" t="n"/>
    </row>
    <row r="519">
      <c r="A519" s="28" t="n"/>
      <c r="B519" s="28" t="n"/>
      <c r="C519" s="28" t="n"/>
      <c r="D519" s="28" t="n"/>
      <c r="E519" s="28" t="n"/>
      <c r="F519" s="28" t="n"/>
      <c r="G519" s="28" t="n"/>
      <c r="H519" s="28" t="n"/>
      <c r="I519" s="28" t="n"/>
      <c r="J519" s="28" t="n"/>
      <c r="K519" s="28" t="n"/>
    </row>
    <row r="520">
      <c r="A520" s="28" t="n"/>
      <c r="B520" s="28" t="n"/>
      <c r="C520" s="28" t="n"/>
      <c r="D520" s="28" t="n"/>
      <c r="E520" s="28" t="n"/>
      <c r="F520" s="28" t="n"/>
      <c r="G520" s="28" t="n"/>
      <c r="H520" s="28" t="n"/>
      <c r="I520" s="28" t="n"/>
      <c r="J520" s="28" t="n"/>
      <c r="K520" s="28" t="n"/>
    </row>
    <row r="521">
      <c r="A521" s="28" t="n"/>
      <c r="B521" s="28" t="n"/>
      <c r="C521" s="28" t="n"/>
      <c r="D521" s="28" t="n"/>
      <c r="E521" s="28" t="n"/>
      <c r="F521" s="28" t="n"/>
      <c r="G521" s="28" t="n"/>
      <c r="H521" s="28" t="n"/>
      <c r="I521" s="28" t="n"/>
      <c r="J521" s="28" t="n"/>
      <c r="K521" s="28" t="n"/>
    </row>
    <row r="522">
      <c r="A522" s="28" t="n"/>
      <c r="B522" s="28" t="n"/>
      <c r="C522" s="28" t="n"/>
      <c r="D522" s="28" t="n"/>
      <c r="E522" s="28" t="n"/>
      <c r="F522" s="28" t="n"/>
      <c r="G522" s="28" t="n"/>
      <c r="H522" s="28" t="n"/>
      <c r="I522" s="28" t="n"/>
      <c r="J522" s="28" t="n"/>
      <c r="K522" s="28" t="n"/>
    </row>
    <row r="523">
      <c r="A523" s="28" t="n"/>
      <c r="B523" s="28" t="n"/>
      <c r="C523" s="28" t="n"/>
      <c r="D523" s="28" t="n"/>
      <c r="E523" s="28" t="n"/>
      <c r="F523" s="28" t="n"/>
      <c r="G523" s="28" t="n"/>
      <c r="H523" s="28" t="n"/>
      <c r="I523" s="28" t="n"/>
      <c r="J523" s="28" t="n"/>
      <c r="K523" s="28" t="n"/>
    </row>
    <row r="524">
      <c r="A524" s="28" t="n"/>
      <c r="B524" s="28" t="n"/>
      <c r="C524" s="28" t="n"/>
      <c r="D524" s="28" t="n"/>
      <c r="E524" s="28" t="n"/>
      <c r="F524" s="28" t="n"/>
      <c r="G524" s="28" t="n"/>
      <c r="H524" s="28" t="n"/>
      <c r="I524" s="28" t="n"/>
      <c r="J524" s="28" t="n"/>
      <c r="K524" s="28" t="n"/>
    </row>
    <row r="525">
      <c r="A525" s="28" t="n"/>
      <c r="B525" s="28" t="n"/>
      <c r="C525" s="28" t="n"/>
      <c r="D525" s="28" t="n"/>
      <c r="E525" s="28" t="n"/>
      <c r="F525" s="28" t="n"/>
      <c r="G525" s="28" t="n"/>
      <c r="H525" s="28" t="n"/>
      <c r="I525" s="28" t="n"/>
      <c r="J525" s="28" t="n"/>
      <c r="K525" s="28" t="n"/>
    </row>
    <row r="526">
      <c r="A526" s="28" t="n"/>
      <c r="B526" s="28" t="n"/>
      <c r="C526" s="28" t="n"/>
      <c r="D526" s="28" t="n"/>
      <c r="E526" s="28" t="n"/>
      <c r="F526" s="28" t="n"/>
      <c r="G526" s="28" t="n"/>
      <c r="H526" s="28" t="n"/>
      <c r="I526" s="28" t="n"/>
      <c r="J526" s="28" t="n"/>
      <c r="K526" s="28" t="n"/>
    </row>
    <row r="527">
      <c r="A527" s="28" t="n"/>
      <c r="B527" s="28" t="n"/>
      <c r="C527" s="28" t="n"/>
      <c r="D527" s="28" t="n"/>
      <c r="E527" s="28" t="n"/>
      <c r="F527" s="28" t="n"/>
      <c r="G527" s="28" t="n"/>
      <c r="H527" s="28" t="n"/>
      <c r="I527" s="28" t="n"/>
      <c r="J527" s="28" t="n"/>
      <c r="K527" s="28" t="n"/>
    </row>
    <row r="528">
      <c r="A528" s="28" t="n"/>
      <c r="B528" s="28" t="n"/>
      <c r="C528" s="28" t="n"/>
      <c r="D528" s="28" t="n"/>
      <c r="E528" s="28" t="n"/>
      <c r="F528" s="28" t="n"/>
      <c r="G528" s="28" t="n"/>
      <c r="H528" s="28" t="n"/>
      <c r="I528" s="28" t="n"/>
      <c r="J528" s="28" t="n"/>
      <c r="K528" s="28" t="n"/>
    </row>
    <row r="529">
      <c r="A529" s="28" t="n"/>
      <c r="B529" s="28" t="n"/>
      <c r="C529" s="28" t="n"/>
      <c r="D529" s="28" t="n"/>
      <c r="E529" s="28" t="n"/>
      <c r="F529" s="28" t="n"/>
      <c r="G529" s="28" t="n"/>
      <c r="H529" s="28" t="n"/>
      <c r="I529" s="28" t="n"/>
      <c r="J529" s="28" t="n"/>
      <c r="K529" s="28" t="n"/>
    </row>
    <row r="530">
      <c r="A530" s="28" t="n"/>
      <c r="B530" s="28" t="n"/>
      <c r="C530" s="28" t="n"/>
      <c r="D530" s="28" t="n"/>
      <c r="E530" s="28" t="n"/>
      <c r="F530" s="28" t="n"/>
      <c r="G530" s="28" t="n"/>
      <c r="H530" s="28" t="n"/>
      <c r="I530" s="28" t="n"/>
      <c r="J530" s="28" t="n"/>
      <c r="K530" s="28" t="n"/>
    </row>
    <row r="531">
      <c r="A531" s="28" t="n"/>
      <c r="B531" s="28" t="n"/>
      <c r="C531" s="28" t="n"/>
      <c r="D531" s="28" t="n"/>
      <c r="E531" s="28" t="n"/>
      <c r="F531" s="28" t="n"/>
      <c r="G531" s="28" t="n"/>
      <c r="H531" s="28" t="n"/>
      <c r="I531" s="28" t="n"/>
      <c r="J531" s="28" t="n"/>
      <c r="K531" s="28" t="n"/>
    </row>
    <row r="532">
      <c r="A532" s="28" t="n"/>
      <c r="B532" s="28" t="n"/>
      <c r="C532" s="28" t="n"/>
      <c r="D532" s="28" t="n"/>
      <c r="E532" s="28" t="n"/>
      <c r="F532" s="28" t="n"/>
      <c r="G532" s="28" t="n"/>
      <c r="H532" s="28" t="n"/>
      <c r="I532" s="28" t="n"/>
      <c r="J532" s="28" t="n"/>
      <c r="K532" s="28" t="n"/>
    </row>
    <row r="533">
      <c r="A533" s="28" t="n"/>
      <c r="B533" s="28" t="n"/>
      <c r="C533" s="28" t="n"/>
      <c r="D533" s="28" t="n"/>
      <c r="E533" s="28" t="n"/>
      <c r="F533" s="28" t="n"/>
      <c r="G533" s="28" t="n"/>
      <c r="H533" s="28" t="n"/>
      <c r="I533" s="28" t="n"/>
      <c r="J533" s="28" t="n"/>
      <c r="K533" s="28" t="n"/>
    </row>
    <row r="534">
      <c r="A534" s="28" t="n"/>
      <c r="B534" s="28" t="n"/>
      <c r="C534" s="28" t="n"/>
      <c r="D534" s="28" t="n"/>
      <c r="E534" s="28" t="n"/>
      <c r="F534" s="28" t="n"/>
      <c r="G534" s="28" t="n"/>
      <c r="H534" s="28" t="n"/>
      <c r="I534" s="28" t="n"/>
      <c r="J534" s="28" t="n"/>
      <c r="K534" s="28" t="n"/>
    </row>
    <row r="535">
      <c r="A535" s="28" t="n"/>
      <c r="B535" s="28" t="n"/>
      <c r="C535" s="28" t="n"/>
      <c r="D535" s="28" t="n"/>
      <c r="E535" s="28" t="n"/>
      <c r="F535" s="28" t="n"/>
      <c r="G535" s="28" t="n"/>
      <c r="H535" s="28" t="n"/>
      <c r="I535" s="28" t="n"/>
      <c r="J535" s="28" t="n"/>
      <c r="K535" s="28" t="n"/>
    </row>
    <row r="536">
      <c r="A536" s="28" t="n"/>
      <c r="B536" s="28" t="n"/>
      <c r="C536" s="28" t="n"/>
      <c r="D536" s="28" t="n"/>
      <c r="E536" s="28" t="n"/>
      <c r="F536" s="28" t="n"/>
      <c r="G536" s="28" t="n"/>
      <c r="H536" s="28" t="n"/>
      <c r="I536" s="28" t="n"/>
      <c r="J536" s="28" t="n"/>
      <c r="K536" s="28" t="n"/>
    </row>
    <row r="537">
      <c r="A537" s="28" t="n"/>
      <c r="B537" s="28" t="n"/>
      <c r="C537" s="28" t="n"/>
      <c r="D537" s="28" t="n"/>
      <c r="E537" s="28" t="n"/>
      <c r="F537" s="28" t="n"/>
      <c r="G537" s="28" t="n"/>
      <c r="H537" s="28" t="n"/>
      <c r="I537" s="28" t="n"/>
      <c r="J537" s="28" t="n"/>
      <c r="K537" s="28" t="n"/>
    </row>
    <row r="538">
      <c r="A538" s="28" t="n"/>
      <c r="B538" s="28" t="n"/>
      <c r="C538" s="28" t="n"/>
      <c r="D538" s="28" t="n"/>
      <c r="E538" s="28" t="n"/>
      <c r="F538" s="28" t="n"/>
      <c r="G538" s="28" t="n"/>
      <c r="H538" s="28" t="n"/>
      <c r="I538" s="28" t="n"/>
      <c r="J538" s="28" t="n"/>
      <c r="K538" s="28" t="n"/>
    </row>
    <row r="539">
      <c r="A539" s="28" t="n"/>
      <c r="B539" s="28" t="n"/>
      <c r="C539" s="28" t="n"/>
      <c r="D539" s="28" t="n"/>
      <c r="E539" s="28" t="n"/>
      <c r="F539" s="28" t="n"/>
      <c r="G539" s="28" t="n"/>
      <c r="H539" s="28" t="n"/>
      <c r="I539" s="28" t="n"/>
      <c r="J539" s="28" t="n"/>
      <c r="K539" s="28" t="n"/>
    </row>
    <row r="540">
      <c r="A540" s="28" t="n"/>
      <c r="B540" s="28" t="n"/>
      <c r="C540" s="28" t="n"/>
      <c r="D540" s="28" t="n"/>
      <c r="E540" s="28" t="n"/>
      <c r="F540" s="28" t="n"/>
      <c r="G540" s="28" t="n"/>
      <c r="H540" s="28" t="n"/>
      <c r="I540" s="28" t="n"/>
      <c r="J540" s="28" t="n"/>
      <c r="K540" s="28" t="n"/>
    </row>
    <row r="541">
      <c r="A541" s="28" t="n"/>
      <c r="B541" s="28" t="n"/>
      <c r="C541" s="28" t="n"/>
      <c r="D541" s="28" t="n"/>
      <c r="E541" s="28" t="n"/>
      <c r="F541" s="28" t="n"/>
      <c r="G541" s="28" t="n"/>
      <c r="H541" s="28" t="n"/>
      <c r="I541" s="28" t="n"/>
      <c r="J541" s="28" t="n"/>
      <c r="K541" s="28" t="n"/>
    </row>
    <row r="542">
      <c r="A542" s="28" t="n"/>
      <c r="B542" s="28" t="n"/>
      <c r="C542" s="28" t="n"/>
      <c r="D542" s="28" t="n"/>
      <c r="E542" s="28" t="n"/>
      <c r="F542" s="28" t="n"/>
      <c r="G542" s="28" t="n"/>
      <c r="H542" s="28" t="n"/>
      <c r="I542" s="28" t="n"/>
      <c r="J542" s="28" t="n"/>
      <c r="K542" s="28" t="n"/>
    </row>
    <row r="543">
      <c r="A543" s="28" t="n"/>
      <c r="B543" s="28" t="n"/>
      <c r="C543" s="28" t="n"/>
      <c r="D543" s="28" t="n"/>
      <c r="E543" s="28" t="n"/>
      <c r="F543" s="28" t="n"/>
      <c r="G543" s="28" t="n"/>
      <c r="H543" s="28" t="n"/>
      <c r="I543" s="28" t="n"/>
      <c r="J543" s="28" t="n"/>
      <c r="K543" s="28" t="n"/>
    </row>
    <row r="544">
      <c r="A544" s="28" t="n"/>
      <c r="B544" s="28" t="n"/>
      <c r="C544" s="28" t="n"/>
      <c r="D544" s="28" t="n"/>
      <c r="E544" s="28" t="n"/>
      <c r="F544" s="28" t="n"/>
      <c r="G544" s="28" t="n"/>
      <c r="H544" s="28" t="n"/>
      <c r="I544" s="28" t="n"/>
      <c r="J544" s="28" t="n"/>
      <c r="K544" s="28" t="n"/>
    </row>
    <row r="545">
      <c r="A545" s="28" t="n"/>
      <c r="B545" s="28" t="n"/>
      <c r="C545" s="28" t="n"/>
      <c r="D545" s="28" t="n"/>
      <c r="E545" s="28" t="n"/>
      <c r="F545" s="28" t="n"/>
      <c r="G545" s="28" t="n"/>
      <c r="H545" s="28" t="n"/>
      <c r="I545" s="28" t="n"/>
      <c r="J545" s="28" t="n"/>
      <c r="K545" s="28" t="n"/>
    </row>
    <row r="546">
      <c r="A546" s="28" t="n"/>
      <c r="B546" s="28" t="n"/>
      <c r="C546" s="28" t="n"/>
      <c r="D546" s="28" t="n"/>
      <c r="E546" s="28" t="n"/>
      <c r="F546" s="28" t="n"/>
      <c r="G546" s="28" t="n"/>
      <c r="H546" s="28" t="n"/>
      <c r="I546" s="28" t="n"/>
      <c r="J546" s="28" t="n"/>
      <c r="K546" s="28" t="n"/>
    </row>
    <row r="547">
      <c r="A547" s="28" t="n"/>
      <c r="B547" s="28" t="n"/>
      <c r="C547" s="28" t="n"/>
      <c r="D547" s="28" t="n"/>
      <c r="E547" s="28" t="n"/>
      <c r="F547" s="28" t="n"/>
      <c r="G547" s="28" t="n"/>
      <c r="H547" s="28" t="n"/>
      <c r="I547" s="28" t="n"/>
      <c r="J547" s="28" t="n"/>
      <c r="K547" s="28" t="n"/>
    </row>
    <row r="548">
      <c r="A548" s="28" t="n"/>
      <c r="B548" s="28" t="n"/>
      <c r="C548" s="28" t="n"/>
      <c r="D548" s="28" t="n"/>
      <c r="E548" s="28" t="n"/>
      <c r="F548" s="28" t="n"/>
      <c r="G548" s="28" t="n"/>
      <c r="H548" s="28" t="n"/>
      <c r="I548" s="28" t="n"/>
      <c r="J548" s="28" t="n"/>
      <c r="K548" s="28" t="n"/>
    </row>
    <row r="549">
      <c r="A549" s="28" t="n"/>
      <c r="B549" s="28" t="n"/>
      <c r="C549" s="28" t="n"/>
      <c r="D549" s="28" t="n"/>
      <c r="E549" s="28" t="n"/>
      <c r="F549" s="28" t="n"/>
      <c r="G549" s="28" t="n"/>
      <c r="H549" s="28" t="n"/>
      <c r="I549" s="28" t="n"/>
      <c r="J549" s="28" t="n"/>
      <c r="K549" s="28" t="n"/>
    </row>
    <row r="550">
      <c r="A550" s="28" t="n"/>
      <c r="B550" s="28" t="n"/>
      <c r="C550" s="28" t="n"/>
      <c r="D550" s="28" t="n"/>
      <c r="E550" s="28" t="n"/>
      <c r="F550" s="28" t="n"/>
      <c r="G550" s="28" t="n"/>
      <c r="H550" s="28" t="n"/>
      <c r="I550" s="28" t="n"/>
      <c r="J550" s="28" t="n"/>
      <c r="K550" s="28" t="n"/>
    </row>
    <row r="551">
      <c r="A551" s="28" t="n"/>
      <c r="B551" s="28" t="n"/>
      <c r="C551" s="28" t="n"/>
      <c r="D551" s="28" t="n"/>
      <c r="E551" s="28" t="n"/>
      <c r="F551" s="28" t="n"/>
      <c r="G551" s="28" t="n"/>
      <c r="H551" s="28" t="n"/>
      <c r="I551" s="28" t="n"/>
      <c r="J551" s="28" t="n"/>
      <c r="K551" s="28" t="n"/>
    </row>
    <row r="552">
      <c r="A552" s="28" t="n"/>
      <c r="B552" s="28" t="n"/>
      <c r="C552" s="28" t="n"/>
      <c r="D552" s="28" t="n"/>
      <c r="E552" s="28" t="n"/>
      <c r="F552" s="28" t="n"/>
      <c r="G552" s="28" t="n"/>
      <c r="H552" s="28" t="n"/>
      <c r="I552" s="28" t="n"/>
      <c r="J552" s="28" t="n"/>
      <c r="K552" s="28" t="n"/>
    </row>
    <row r="553">
      <c r="A553" s="28" t="n"/>
      <c r="B553" s="28" t="n"/>
      <c r="C553" s="28" t="n"/>
      <c r="D553" s="28" t="n"/>
      <c r="E553" s="28" t="n"/>
      <c r="F553" s="28" t="n"/>
      <c r="G553" s="28" t="n"/>
      <c r="H553" s="28" t="n"/>
      <c r="I553" s="28" t="n"/>
      <c r="J553" s="28" t="n"/>
      <c r="K553" s="28" t="n"/>
    </row>
    <row r="554">
      <c r="A554" s="28" t="n"/>
      <c r="B554" s="28" t="n"/>
      <c r="C554" s="28" t="n"/>
      <c r="D554" s="28" t="n"/>
      <c r="E554" s="28" t="n"/>
      <c r="F554" s="28" t="n"/>
      <c r="G554" s="28" t="n"/>
      <c r="H554" s="28" t="n"/>
      <c r="I554" s="28" t="n"/>
      <c r="J554" s="28" t="n"/>
      <c r="K554" s="28" t="n"/>
    </row>
    <row r="555">
      <c r="A555" s="28" t="n"/>
      <c r="B555" s="28" t="n"/>
      <c r="C555" s="28" t="n"/>
      <c r="D555" s="28" t="n"/>
      <c r="E555" s="28" t="n"/>
      <c r="F555" s="28" t="n"/>
      <c r="G555" s="28" t="n"/>
      <c r="H555" s="28" t="n"/>
      <c r="I555" s="28" t="n"/>
      <c r="J555" s="28" t="n"/>
      <c r="K555" s="28" t="n"/>
    </row>
    <row r="556">
      <c r="A556" s="28" t="n"/>
      <c r="B556" s="28" t="n"/>
      <c r="C556" s="28" t="n"/>
      <c r="D556" s="28" t="n"/>
      <c r="E556" s="28" t="n"/>
      <c r="F556" s="28" t="n"/>
      <c r="G556" s="28" t="n"/>
      <c r="H556" s="28" t="n"/>
      <c r="I556" s="28" t="n"/>
      <c r="J556" s="28" t="n"/>
      <c r="K556" s="28" t="n"/>
    </row>
    <row r="557">
      <c r="A557" s="28" t="n"/>
      <c r="B557" s="28" t="n"/>
      <c r="C557" s="28" t="n"/>
      <c r="D557" s="28" t="n"/>
      <c r="E557" s="28" t="n"/>
      <c r="F557" s="28" t="n"/>
      <c r="G557" s="28" t="n"/>
      <c r="H557" s="28" t="n"/>
      <c r="I557" s="28" t="n"/>
      <c r="J557" s="28" t="n"/>
      <c r="K557" s="28" t="n"/>
    </row>
    <row r="558">
      <c r="A558" s="28" t="n"/>
      <c r="B558" s="28" t="n"/>
      <c r="C558" s="28" t="n"/>
      <c r="D558" s="28" t="n"/>
      <c r="E558" s="28" t="n"/>
      <c r="F558" s="28" t="n"/>
      <c r="G558" s="28" t="n"/>
      <c r="H558" s="28" t="n"/>
      <c r="I558" s="28" t="n"/>
      <c r="J558" s="28" t="n"/>
      <c r="K558" s="28" t="n"/>
    </row>
    <row r="559">
      <c r="A559" s="28" t="n"/>
      <c r="B559" s="28" t="n"/>
      <c r="C559" s="28" t="n"/>
      <c r="D559" s="28" t="n"/>
      <c r="E559" s="28" t="n"/>
      <c r="F559" s="28" t="n"/>
      <c r="G559" s="28" t="n"/>
      <c r="H559" s="28" t="n"/>
      <c r="I559" s="28" t="n"/>
      <c r="J559" s="28" t="n"/>
      <c r="K559" s="28" t="n"/>
    </row>
    <row r="560">
      <c r="A560" s="28" t="n"/>
      <c r="B560" s="28" t="n"/>
      <c r="C560" s="28" t="n"/>
      <c r="D560" s="28" t="n"/>
      <c r="E560" s="28" t="n"/>
      <c r="F560" s="28" t="n"/>
      <c r="G560" s="28" t="n"/>
      <c r="H560" s="28" t="n"/>
      <c r="I560" s="28" t="n"/>
      <c r="J560" s="28" t="n"/>
      <c r="K560" s="28" t="n"/>
    </row>
    <row r="561">
      <c r="A561" s="28" t="n"/>
      <c r="B561" s="28" t="n"/>
      <c r="C561" s="28" t="n"/>
      <c r="D561" s="28" t="n"/>
      <c r="E561" s="28" t="n"/>
      <c r="F561" s="28" t="n"/>
      <c r="G561" s="28" t="n"/>
      <c r="H561" s="28" t="n"/>
      <c r="I561" s="28" t="n"/>
      <c r="J561" s="28" t="n"/>
      <c r="K561" s="28" t="n"/>
    </row>
    <row r="562">
      <c r="A562" s="28" t="n"/>
      <c r="B562" s="28" t="n"/>
      <c r="C562" s="28" t="n"/>
      <c r="D562" s="28" t="n"/>
      <c r="E562" s="28" t="n"/>
      <c r="F562" s="28" t="n"/>
      <c r="G562" s="28" t="n"/>
      <c r="H562" s="28" t="n"/>
      <c r="I562" s="28" t="n"/>
      <c r="J562" s="28" t="n"/>
      <c r="K562" s="28" t="n"/>
    </row>
    <row r="563">
      <c r="A563" s="28" t="n"/>
      <c r="B563" s="28" t="n"/>
      <c r="C563" s="28" t="n"/>
      <c r="D563" s="28" t="n"/>
      <c r="E563" s="28" t="n"/>
      <c r="F563" s="28" t="n"/>
      <c r="G563" s="28" t="n"/>
      <c r="H563" s="28" t="n"/>
      <c r="I563" s="28" t="n"/>
      <c r="J563" s="28" t="n"/>
      <c r="K563" s="28" t="n"/>
    </row>
    <row r="564">
      <c r="A564" s="28" t="n"/>
      <c r="B564" s="28" t="n"/>
      <c r="C564" s="28" t="n"/>
      <c r="D564" s="28" t="n"/>
      <c r="E564" s="28" t="n"/>
      <c r="F564" s="28" t="n"/>
      <c r="G564" s="28" t="n"/>
      <c r="H564" s="28" t="n"/>
      <c r="I564" s="28" t="n"/>
      <c r="J564" s="28" t="n"/>
      <c r="K564" s="28" t="n"/>
    </row>
    <row r="565">
      <c r="A565" s="28" t="n"/>
      <c r="B565" s="28" t="n"/>
      <c r="C565" s="28" t="n"/>
      <c r="D565" s="28" t="n"/>
      <c r="E565" s="28" t="n"/>
      <c r="F565" s="28" t="n"/>
      <c r="G565" s="28" t="n"/>
      <c r="H565" s="28" t="n"/>
      <c r="I565" s="28" t="n"/>
      <c r="J565" s="28" t="n"/>
      <c r="K565" s="28" t="n"/>
    </row>
    <row r="566">
      <c r="A566" s="28" t="n"/>
      <c r="B566" s="28" t="n"/>
      <c r="C566" s="28" t="n"/>
      <c r="D566" s="28" t="n"/>
      <c r="E566" s="28" t="n"/>
      <c r="F566" s="28" t="n"/>
      <c r="G566" s="28" t="n"/>
      <c r="H566" s="28" t="n"/>
      <c r="I566" s="28" t="n"/>
      <c r="J566" s="28" t="n"/>
      <c r="K566" s="28" t="n"/>
    </row>
    <row r="567">
      <c r="A567" s="28" t="n"/>
      <c r="B567" s="28" t="n"/>
      <c r="C567" s="28" t="n"/>
      <c r="D567" s="28" t="n"/>
      <c r="E567" s="28" t="n"/>
      <c r="F567" s="28" t="n"/>
      <c r="G567" s="28" t="n"/>
      <c r="H567" s="28" t="n"/>
      <c r="I567" s="28" t="n"/>
      <c r="J567" s="28" t="n"/>
      <c r="K567" s="28" t="n"/>
    </row>
    <row r="568">
      <c r="A568" s="28" t="n"/>
      <c r="B568" s="28" t="n"/>
      <c r="C568" s="28" t="n"/>
      <c r="D568" s="28" t="n"/>
      <c r="E568" s="28" t="n"/>
      <c r="F568" s="28" t="n"/>
      <c r="G568" s="28" t="n"/>
      <c r="H568" s="28" t="n"/>
      <c r="I568" s="28" t="n"/>
      <c r="J568" s="28" t="n"/>
      <c r="K568" s="28" t="n"/>
    </row>
    <row r="569">
      <c r="A569" s="28" t="n"/>
      <c r="B569" s="28" t="n"/>
      <c r="C569" s="28" t="n"/>
      <c r="D569" s="28" t="n"/>
      <c r="E569" s="28" t="n"/>
      <c r="F569" s="28" t="n"/>
      <c r="G569" s="28" t="n"/>
      <c r="H569" s="28" t="n"/>
      <c r="I569" s="28" t="n"/>
      <c r="J569" s="28" t="n"/>
      <c r="K569" s="28" t="n"/>
    </row>
    <row r="570">
      <c r="A570" s="28" t="n"/>
      <c r="B570" s="28" t="n"/>
      <c r="C570" s="28" t="n"/>
      <c r="D570" s="28" t="n"/>
      <c r="E570" s="28" t="n"/>
      <c r="F570" s="28" t="n"/>
      <c r="G570" s="28" t="n"/>
      <c r="H570" s="28" t="n"/>
      <c r="I570" s="28" t="n"/>
      <c r="J570" s="28" t="n"/>
      <c r="K570" s="28" t="n"/>
    </row>
    <row r="571">
      <c r="A571" s="28" t="n"/>
      <c r="B571" s="28" t="n"/>
      <c r="C571" s="28" t="n"/>
      <c r="D571" s="28" t="n"/>
      <c r="E571" s="28" t="n"/>
      <c r="F571" s="28" t="n"/>
      <c r="G571" s="28" t="n"/>
      <c r="H571" s="28" t="n"/>
      <c r="I571" s="28" t="n"/>
      <c r="J571" s="28" t="n"/>
      <c r="K571" s="28" t="n"/>
    </row>
    <row r="572">
      <c r="A572" s="28" t="n"/>
      <c r="B572" s="28" t="n"/>
      <c r="C572" s="28" t="n"/>
      <c r="D572" s="28" t="n"/>
      <c r="E572" s="28" t="n"/>
      <c r="F572" s="28" t="n"/>
      <c r="G572" s="28" t="n"/>
      <c r="H572" s="28" t="n"/>
      <c r="I572" s="28" t="n"/>
      <c r="J572" s="28" t="n"/>
      <c r="K572" s="28" t="n"/>
    </row>
    <row r="573">
      <c r="A573" s="28" t="n"/>
      <c r="B573" s="28" t="n"/>
      <c r="C573" s="28" t="n"/>
      <c r="D573" s="28" t="n"/>
      <c r="E573" s="28" t="n"/>
      <c r="F573" s="28" t="n"/>
      <c r="G573" s="28" t="n"/>
      <c r="H573" s="28" t="n"/>
      <c r="I573" s="28" t="n"/>
      <c r="J573" s="28" t="n"/>
      <c r="K573" s="28" t="n"/>
    </row>
    <row r="574">
      <c r="A574" s="28" t="n"/>
      <c r="B574" s="28" t="n"/>
      <c r="C574" s="28" t="n"/>
      <c r="D574" s="28" t="n"/>
      <c r="E574" s="28" t="n"/>
      <c r="F574" s="28" t="n"/>
      <c r="G574" s="28" t="n"/>
      <c r="H574" s="28" t="n"/>
      <c r="I574" s="28" t="n"/>
      <c r="J574" s="28" t="n"/>
      <c r="K574" s="28" t="n"/>
    </row>
    <row r="575">
      <c r="A575" s="28" t="n"/>
      <c r="B575" s="28" t="n"/>
      <c r="C575" s="28" t="n"/>
      <c r="D575" s="28" t="n"/>
      <c r="E575" s="28" t="n"/>
      <c r="F575" s="28" t="n"/>
      <c r="G575" s="28" t="n"/>
      <c r="H575" s="28" t="n"/>
      <c r="I575" s="28" t="n"/>
      <c r="J575" s="28" t="n"/>
      <c r="K575" s="28" t="n"/>
    </row>
    <row r="576">
      <c r="A576" s="28" t="n"/>
      <c r="B576" s="28" t="n"/>
      <c r="C576" s="28" t="n"/>
      <c r="D576" s="28" t="n"/>
      <c r="E576" s="28" t="n"/>
      <c r="F576" s="28" t="n"/>
      <c r="G576" s="28" t="n"/>
      <c r="H576" s="28" t="n"/>
      <c r="I576" s="28" t="n"/>
      <c r="J576" s="28" t="n"/>
      <c r="K576" s="28" t="n"/>
    </row>
    <row r="577">
      <c r="A577" s="28" t="n"/>
      <c r="B577" s="28" t="n"/>
      <c r="C577" s="28" t="n"/>
      <c r="D577" s="28" t="n"/>
      <c r="E577" s="28" t="n"/>
      <c r="F577" s="28" t="n"/>
      <c r="G577" s="28" t="n"/>
      <c r="H577" s="28" t="n"/>
      <c r="I577" s="28" t="n"/>
      <c r="J577" s="28" t="n"/>
      <c r="K577" s="28" t="n"/>
    </row>
    <row r="578">
      <c r="A578" s="28" t="n"/>
      <c r="B578" s="28" t="n"/>
      <c r="C578" s="28" t="n"/>
      <c r="D578" s="28" t="n"/>
      <c r="E578" s="28" t="n"/>
      <c r="F578" s="28" t="n"/>
      <c r="G578" s="28" t="n"/>
      <c r="H578" s="28" t="n"/>
      <c r="I578" s="28" t="n"/>
      <c r="J578" s="28" t="n"/>
      <c r="K578" s="28" t="n"/>
    </row>
    <row r="579">
      <c r="A579" s="28" t="n"/>
      <c r="B579" s="28" t="n"/>
      <c r="C579" s="28" t="n"/>
      <c r="D579" s="28" t="n"/>
      <c r="E579" s="28" t="n"/>
      <c r="F579" s="28" t="n"/>
      <c r="G579" s="28" t="n"/>
      <c r="H579" s="28" t="n"/>
      <c r="I579" s="28" t="n"/>
      <c r="J579" s="28" t="n"/>
      <c r="K579" s="28" t="n"/>
    </row>
    <row r="580">
      <c r="A580" s="28" t="n"/>
      <c r="B580" s="28" t="n"/>
      <c r="C580" s="28" t="n"/>
      <c r="D580" s="28" t="n"/>
      <c r="E580" s="28" t="n"/>
      <c r="F580" s="28" t="n"/>
      <c r="G580" s="28" t="n"/>
      <c r="H580" s="28" t="n"/>
      <c r="I580" s="28" t="n"/>
      <c r="J580" s="28" t="n"/>
      <c r="K580" s="28" t="n"/>
    </row>
    <row r="581">
      <c r="A581" s="28" t="n"/>
      <c r="B581" s="28" t="n"/>
      <c r="C581" s="28" t="n"/>
      <c r="D581" s="28" t="n"/>
      <c r="E581" s="28" t="n"/>
      <c r="F581" s="28" t="n"/>
      <c r="G581" s="28" t="n"/>
      <c r="H581" s="28" t="n"/>
      <c r="I581" s="28" t="n"/>
      <c r="J581" s="28" t="n"/>
      <c r="K581" s="28" t="n"/>
    </row>
    <row r="582">
      <c r="A582" s="28" t="n"/>
      <c r="B582" s="28" t="n"/>
      <c r="C582" s="28" t="n"/>
      <c r="D582" s="28" t="n"/>
      <c r="E582" s="28" t="n"/>
      <c r="F582" s="28" t="n"/>
      <c r="G582" s="28" t="n"/>
      <c r="H582" s="28" t="n"/>
      <c r="I582" s="28" t="n"/>
      <c r="J582" s="28" t="n"/>
      <c r="K582" s="28" t="n"/>
    </row>
    <row r="583">
      <c r="A583" s="28" t="n"/>
      <c r="B583" s="28" t="n"/>
      <c r="C583" s="28" t="n"/>
      <c r="D583" s="28" t="n"/>
      <c r="E583" s="28" t="n"/>
      <c r="F583" s="28" t="n"/>
      <c r="G583" s="28" t="n"/>
      <c r="H583" s="28" t="n"/>
      <c r="I583" s="28" t="n"/>
      <c r="J583" s="28" t="n"/>
      <c r="K583" s="28" t="n"/>
    </row>
    <row r="584">
      <c r="A584" s="28" t="n"/>
      <c r="B584" s="28" t="n"/>
      <c r="C584" s="28" t="n"/>
      <c r="D584" s="28" t="n"/>
      <c r="E584" s="28" t="n"/>
      <c r="F584" s="28" t="n"/>
      <c r="G584" s="28" t="n"/>
      <c r="H584" s="28" t="n"/>
      <c r="I584" s="28" t="n"/>
      <c r="J584" s="28" t="n"/>
      <c r="K584" s="28" t="n"/>
    </row>
    <row r="585">
      <c r="A585" s="28" t="n"/>
      <c r="B585" s="28" t="n"/>
      <c r="C585" s="28" t="n"/>
      <c r="D585" s="28" t="n"/>
      <c r="E585" s="28" t="n"/>
      <c r="F585" s="28" t="n"/>
      <c r="G585" s="28" t="n"/>
      <c r="H585" s="28" t="n"/>
      <c r="I585" s="28" t="n"/>
      <c r="J585" s="28" t="n"/>
      <c r="K585" s="28" t="n"/>
    </row>
    <row r="586">
      <c r="A586" s="28" t="n"/>
      <c r="B586" s="28" t="n"/>
      <c r="C586" s="28" t="n"/>
      <c r="D586" s="28" t="n"/>
      <c r="E586" s="28" t="n"/>
      <c r="F586" s="28" t="n"/>
      <c r="G586" s="28" t="n"/>
      <c r="H586" s="28" t="n"/>
      <c r="I586" s="28" t="n"/>
      <c r="J586" s="28" t="n"/>
      <c r="K586" s="28" t="n"/>
    </row>
    <row r="587">
      <c r="A587" s="28" t="n"/>
      <c r="B587" s="28" t="n"/>
      <c r="C587" s="28" t="n"/>
      <c r="D587" s="28" t="n"/>
      <c r="E587" s="28" t="n"/>
      <c r="F587" s="28" t="n"/>
      <c r="G587" s="28" t="n"/>
      <c r="H587" s="28" t="n"/>
      <c r="I587" s="28" t="n"/>
      <c r="J587" s="28" t="n"/>
      <c r="K587" s="28" t="n"/>
    </row>
    <row r="588">
      <c r="A588" s="28" t="n"/>
      <c r="B588" s="28" t="n"/>
      <c r="C588" s="28" t="n"/>
      <c r="D588" s="28" t="n"/>
      <c r="E588" s="28" t="n"/>
      <c r="F588" s="28" t="n"/>
      <c r="G588" s="28" t="n"/>
      <c r="H588" s="28" t="n"/>
      <c r="I588" s="28" t="n"/>
      <c r="J588" s="28" t="n"/>
      <c r="K588" s="28" t="n"/>
    </row>
    <row r="589">
      <c r="A589" s="28" t="n"/>
      <c r="B589" s="28" t="n"/>
      <c r="C589" s="28" t="n"/>
      <c r="D589" s="28" t="n"/>
      <c r="E589" s="28" t="n"/>
      <c r="F589" s="28" t="n"/>
      <c r="G589" s="28" t="n"/>
      <c r="H589" s="28" t="n"/>
      <c r="I589" s="28" t="n"/>
      <c r="J589" s="28" t="n"/>
      <c r="K589" s="28" t="n"/>
    </row>
    <row r="590">
      <c r="A590" s="28" t="n"/>
      <c r="B590" s="28" t="n"/>
      <c r="C590" s="28" t="n"/>
      <c r="D590" s="28" t="n"/>
      <c r="E590" s="28" t="n"/>
      <c r="F590" s="28" t="n"/>
      <c r="G590" s="28" t="n"/>
      <c r="H590" s="28" t="n"/>
      <c r="I590" s="28" t="n"/>
      <c r="J590" s="28" t="n"/>
      <c r="K590" s="28" t="n"/>
    </row>
    <row r="591">
      <c r="A591" s="28" t="n"/>
      <c r="B591" s="28" t="n"/>
      <c r="C591" s="28" t="n"/>
      <c r="D591" s="28" t="n"/>
      <c r="E591" s="28" t="n"/>
      <c r="F591" s="28" t="n"/>
      <c r="G591" s="28" t="n"/>
      <c r="H591" s="28" t="n"/>
      <c r="I591" s="28" t="n"/>
      <c r="J591" s="28" t="n"/>
      <c r="K591" s="28" t="n"/>
    </row>
    <row r="592">
      <c r="A592" s="28" t="n"/>
      <c r="B592" s="28" t="n"/>
      <c r="C592" s="28" t="n"/>
      <c r="D592" s="28" t="n"/>
      <c r="E592" s="28" t="n"/>
      <c r="F592" s="28" t="n"/>
      <c r="G592" s="28" t="n"/>
      <c r="H592" s="28" t="n"/>
      <c r="I592" s="28" t="n"/>
      <c r="J592" s="28" t="n"/>
      <c r="K592" s="28" t="n"/>
    </row>
    <row r="593">
      <c r="A593" s="28" t="n"/>
      <c r="B593" s="28" t="n"/>
      <c r="C593" s="28" t="n"/>
      <c r="D593" s="28" t="n"/>
      <c r="E593" s="28" t="n"/>
      <c r="F593" s="28" t="n"/>
      <c r="G593" s="28" t="n"/>
      <c r="H593" s="28" t="n"/>
      <c r="I593" s="28" t="n"/>
      <c r="J593" s="28" t="n"/>
      <c r="K593" s="28" t="n"/>
    </row>
    <row r="594">
      <c r="A594" s="28" t="n"/>
      <c r="B594" s="28" t="n"/>
      <c r="C594" s="28" t="n"/>
      <c r="D594" s="28" t="n"/>
      <c r="E594" s="28" t="n"/>
      <c r="F594" s="28" t="n"/>
      <c r="G594" s="28" t="n"/>
      <c r="H594" s="28" t="n"/>
      <c r="I594" s="28" t="n"/>
      <c r="J594" s="28" t="n"/>
      <c r="K594" s="28" t="n"/>
    </row>
    <row r="595">
      <c r="A595" s="28" t="n"/>
      <c r="B595" s="28" t="n"/>
      <c r="C595" s="28" t="n"/>
      <c r="D595" s="28" t="n"/>
      <c r="E595" s="28" t="n"/>
      <c r="F595" s="28" t="n"/>
      <c r="G595" s="28" t="n"/>
      <c r="H595" s="28" t="n"/>
      <c r="I595" s="28" t="n"/>
      <c r="J595" s="28" t="n"/>
      <c r="K595" s="28" t="n"/>
    </row>
    <row r="596">
      <c r="A596" s="28" t="n"/>
      <c r="B596" s="28" t="n"/>
      <c r="C596" s="28" t="n"/>
      <c r="D596" s="28" t="n"/>
      <c r="E596" s="28" t="n"/>
      <c r="F596" s="28" t="n"/>
      <c r="G596" s="28" t="n"/>
      <c r="H596" s="28" t="n"/>
      <c r="I596" s="28" t="n"/>
      <c r="J596" s="28" t="n"/>
      <c r="K596" s="28" t="n"/>
    </row>
    <row r="597">
      <c r="A597" s="28" t="n"/>
      <c r="B597" s="28" t="n"/>
      <c r="C597" s="28" t="n"/>
      <c r="D597" s="28" t="n"/>
      <c r="E597" s="28" t="n"/>
      <c r="F597" s="28" t="n"/>
      <c r="G597" s="28" t="n"/>
      <c r="H597" s="28" t="n"/>
      <c r="I597" s="28" t="n"/>
      <c r="J597" s="28" t="n"/>
      <c r="K597" s="28" t="n"/>
    </row>
    <row r="598">
      <c r="A598" s="28" t="n"/>
      <c r="B598" s="28" t="n"/>
      <c r="C598" s="28" t="n"/>
      <c r="D598" s="28" t="n"/>
      <c r="E598" s="28" t="n"/>
      <c r="F598" s="28" t="n"/>
      <c r="G598" s="28" t="n"/>
      <c r="H598" s="28" t="n"/>
      <c r="I598" s="28" t="n"/>
      <c r="J598" s="28" t="n"/>
      <c r="K598" s="28" t="n"/>
    </row>
    <row r="599">
      <c r="A599" s="28" t="n"/>
      <c r="B599" s="28" t="n"/>
      <c r="C599" s="28" t="n"/>
      <c r="D599" s="28" t="n"/>
      <c r="E599" s="28" t="n"/>
      <c r="F599" s="28" t="n"/>
      <c r="G599" s="28" t="n"/>
      <c r="H599" s="28" t="n"/>
      <c r="I599" s="28" t="n"/>
      <c r="J599" s="28" t="n"/>
      <c r="K599" s="28" t="n"/>
    </row>
    <row r="600">
      <c r="A600" s="28" t="n"/>
      <c r="B600" s="28" t="n"/>
      <c r="C600" s="28" t="n"/>
      <c r="D600" s="28" t="n"/>
      <c r="E600" s="28" t="n"/>
      <c r="F600" s="28" t="n"/>
      <c r="G600" s="28" t="n"/>
      <c r="H600" s="28" t="n"/>
      <c r="I600" s="28" t="n"/>
      <c r="J600" s="28" t="n"/>
      <c r="K600" s="28" t="n"/>
    </row>
    <row r="601">
      <c r="A601" s="28" t="n"/>
      <c r="B601" s="28" t="n"/>
      <c r="C601" s="28" t="n"/>
      <c r="D601" s="28" t="n"/>
      <c r="E601" s="28" t="n"/>
      <c r="F601" s="28" t="n"/>
      <c r="G601" s="28" t="n"/>
      <c r="H601" s="28" t="n"/>
      <c r="I601" s="28" t="n"/>
      <c r="J601" s="28" t="n"/>
      <c r="K601" s="28" t="n"/>
    </row>
    <row r="602">
      <c r="A602" s="28" t="n"/>
      <c r="B602" s="28" t="n"/>
      <c r="C602" s="28" t="n"/>
      <c r="D602" s="28" t="n"/>
      <c r="E602" s="28" t="n"/>
      <c r="F602" s="28" t="n"/>
      <c r="G602" s="28" t="n"/>
      <c r="H602" s="28" t="n"/>
      <c r="I602" s="28" t="n"/>
      <c r="J602" s="28" t="n"/>
      <c r="K602" s="28" t="n"/>
    </row>
    <row r="603">
      <c r="A603" s="28" t="n"/>
      <c r="B603" s="28" t="n"/>
      <c r="C603" s="28" t="n"/>
      <c r="D603" s="28" t="n"/>
      <c r="E603" s="28" t="n"/>
      <c r="F603" s="28" t="n"/>
      <c r="G603" s="28" t="n"/>
      <c r="H603" s="28" t="n"/>
      <c r="I603" s="28" t="n"/>
      <c r="J603" s="28" t="n"/>
      <c r="K603" s="28" t="n"/>
    </row>
    <row r="604">
      <c r="A604" s="28" t="n"/>
      <c r="B604" s="28" t="n"/>
      <c r="C604" s="28" t="n"/>
      <c r="D604" s="28" t="n"/>
      <c r="E604" s="28" t="n"/>
      <c r="F604" s="28" t="n"/>
      <c r="G604" s="28" t="n"/>
      <c r="H604" s="28" t="n"/>
      <c r="I604" s="28" t="n"/>
      <c r="J604" s="28" t="n"/>
      <c r="K604" s="28" t="n"/>
    </row>
    <row r="605">
      <c r="A605" s="28" t="n"/>
      <c r="B605" s="28" t="n"/>
      <c r="C605" s="28" t="n"/>
      <c r="D605" s="28" t="n"/>
      <c r="E605" s="28" t="n"/>
      <c r="F605" s="28" t="n"/>
      <c r="G605" s="28" t="n"/>
      <c r="H605" s="28" t="n"/>
      <c r="I605" s="28" t="n"/>
      <c r="J605" s="28" t="n"/>
      <c r="K605" s="28" t="n"/>
    </row>
    <row r="606">
      <c r="A606" s="28" t="n"/>
      <c r="B606" s="28" t="n"/>
      <c r="C606" s="28" t="n"/>
      <c r="D606" s="28" t="n"/>
      <c r="E606" s="28" t="n"/>
      <c r="F606" s="28" t="n"/>
      <c r="G606" s="28" t="n"/>
      <c r="H606" s="28" t="n"/>
      <c r="I606" s="28" t="n"/>
      <c r="J606" s="28" t="n"/>
      <c r="K606" s="28" t="n"/>
    </row>
    <row r="607">
      <c r="A607" s="28" t="n"/>
      <c r="B607" s="28" t="n"/>
      <c r="C607" s="28" t="n"/>
      <c r="D607" s="28" t="n"/>
      <c r="E607" s="28" t="n"/>
      <c r="F607" s="28" t="n"/>
      <c r="G607" s="28" t="n"/>
      <c r="H607" s="28" t="n"/>
      <c r="I607" s="28" t="n"/>
      <c r="J607" s="28" t="n"/>
      <c r="K607" s="28" t="n"/>
    </row>
    <row r="608">
      <c r="A608" s="28" t="n"/>
      <c r="B608" s="28" t="n"/>
      <c r="C608" s="28" t="n"/>
      <c r="D608" s="28" t="n"/>
      <c r="E608" s="28" t="n"/>
      <c r="F608" s="28" t="n"/>
      <c r="G608" s="28" t="n"/>
      <c r="H608" s="28" t="n"/>
      <c r="I608" s="28" t="n"/>
      <c r="J608" s="28" t="n"/>
      <c r="K608" s="28" t="n"/>
    </row>
    <row r="609">
      <c r="A609" s="28" t="n"/>
      <c r="B609" s="28" t="n"/>
      <c r="C609" s="28" t="n"/>
      <c r="D609" s="28" t="n"/>
      <c r="E609" s="28" t="n"/>
      <c r="F609" s="28" t="n"/>
      <c r="G609" s="28" t="n"/>
      <c r="H609" s="28" t="n"/>
      <c r="I609" s="28" t="n"/>
      <c r="J609" s="28" t="n"/>
      <c r="K609" s="28" t="n"/>
    </row>
    <row r="610">
      <c r="A610" s="28" t="n"/>
      <c r="B610" s="28" t="n"/>
      <c r="C610" s="28" t="n"/>
      <c r="D610" s="28" t="n"/>
      <c r="E610" s="28" t="n"/>
      <c r="F610" s="28" t="n"/>
      <c r="G610" s="28" t="n"/>
      <c r="H610" s="28" t="n"/>
      <c r="I610" s="28" t="n"/>
      <c r="J610" s="28" t="n"/>
      <c r="K610" s="28" t="n"/>
    </row>
    <row r="611">
      <c r="A611" s="28" t="n"/>
      <c r="B611" s="28" t="n"/>
      <c r="C611" s="28" t="n"/>
      <c r="D611" s="28" t="n"/>
      <c r="E611" s="28" t="n"/>
      <c r="F611" s="28" t="n"/>
      <c r="G611" s="28" t="n"/>
      <c r="H611" s="28" t="n"/>
      <c r="I611" s="28" t="n"/>
      <c r="J611" s="28" t="n"/>
      <c r="K611" s="28" t="n"/>
    </row>
    <row r="612">
      <c r="A612" s="28" t="n"/>
      <c r="B612" s="28" t="n"/>
      <c r="C612" s="28" t="n"/>
      <c r="D612" s="28" t="n"/>
      <c r="E612" s="28" t="n"/>
      <c r="F612" s="28" t="n"/>
      <c r="G612" s="28" t="n"/>
      <c r="H612" s="28" t="n"/>
      <c r="I612" s="28" t="n"/>
      <c r="J612" s="28" t="n"/>
      <c r="K612" s="28" t="n"/>
    </row>
    <row r="613">
      <c r="A613" s="28" t="n"/>
      <c r="B613" s="28" t="n"/>
      <c r="C613" s="28" t="n"/>
      <c r="D613" s="28" t="n"/>
      <c r="E613" s="28" t="n"/>
      <c r="F613" s="28" t="n"/>
      <c r="G613" s="28" t="n"/>
      <c r="H613" s="28" t="n"/>
      <c r="I613" s="28" t="n"/>
      <c r="J613" s="28" t="n"/>
      <c r="K613" s="28" t="n"/>
    </row>
    <row r="614">
      <c r="A614" s="28" t="n"/>
      <c r="B614" s="28" t="n"/>
      <c r="C614" s="28" t="n"/>
      <c r="D614" s="28" t="n"/>
      <c r="E614" s="28" t="n"/>
      <c r="F614" s="28" t="n"/>
      <c r="G614" s="28" t="n"/>
      <c r="H614" s="28" t="n"/>
      <c r="I614" s="28" t="n"/>
      <c r="J614" s="28" t="n"/>
      <c r="K614" s="28" t="n"/>
    </row>
    <row r="615">
      <c r="A615" s="28" t="n"/>
      <c r="B615" s="28" t="n"/>
      <c r="C615" s="28" t="n"/>
      <c r="D615" s="28" t="n"/>
      <c r="E615" s="28" t="n"/>
      <c r="F615" s="28" t="n"/>
      <c r="G615" s="28" t="n"/>
      <c r="H615" s="28" t="n"/>
      <c r="I615" s="28" t="n"/>
      <c r="J615" s="28" t="n"/>
      <c r="K615" s="28" t="n"/>
    </row>
    <row r="616">
      <c r="A616" s="28" t="n"/>
      <c r="B616" s="28" t="n"/>
      <c r="C616" s="28" t="n"/>
      <c r="D616" s="28" t="n"/>
      <c r="E616" s="28" t="n"/>
      <c r="F616" s="28" t="n"/>
      <c r="G616" s="28" t="n"/>
      <c r="H616" s="28" t="n"/>
      <c r="I616" s="28" t="n"/>
      <c r="J616" s="28" t="n"/>
      <c r="K616" s="28" t="n"/>
    </row>
    <row r="617">
      <c r="A617" s="28" t="n"/>
      <c r="B617" s="28" t="n"/>
      <c r="C617" s="28" t="n"/>
      <c r="D617" s="28" t="n"/>
      <c r="E617" s="28" t="n"/>
      <c r="F617" s="28" t="n"/>
      <c r="G617" s="28" t="n"/>
      <c r="H617" s="28" t="n"/>
      <c r="I617" s="28" t="n"/>
      <c r="J617" s="28" t="n"/>
      <c r="K617" s="28" t="n"/>
    </row>
    <row r="618">
      <c r="A618" s="28" t="n"/>
      <c r="B618" s="28" t="n"/>
      <c r="C618" s="28" t="n"/>
      <c r="D618" s="28" t="n"/>
      <c r="E618" s="28" t="n"/>
      <c r="F618" s="28" t="n"/>
      <c r="G618" s="28" t="n"/>
      <c r="H618" s="28" t="n"/>
      <c r="I618" s="28" t="n"/>
      <c r="J618" s="28" t="n"/>
      <c r="K618" s="28" t="n"/>
    </row>
    <row r="619">
      <c r="A619" s="28" t="n"/>
      <c r="B619" s="28" t="n"/>
      <c r="C619" s="28" t="n"/>
      <c r="D619" s="28" t="n"/>
      <c r="E619" s="28" t="n"/>
      <c r="F619" s="28" t="n"/>
      <c r="G619" s="28" t="n"/>
      <c r="H619" s="28" t="n"/>
      <c r="I619" s="28" t="n"/>
      <c r="J619" s="28" t="n"/>
      <c r="K619" s="28" t="n"/>
    </row>
    <row r="620">
      <c r="A620" s="28" t="n"/>
      <c r="B620" s="28" t="n"/>
      <c r="C620" s="28" t="n"/>
      <c r="D620" s="28" t="n"/>
      <c r="E620" s="28" t="n"/>
      <c r="F620" s="28" t="n"/>
      <c r="G620" s="28" t="n"/>
      <c r="H620" s="28" t="n"/>
      <c r="I620" s="28" t="n"/>
      <c r="J620" s="28" t="n"/>
      <c r="K620" s="28" t="n"/>
    </row>
    <row r="621">
      <c r="A621" s="28" t="n"/>
      <c r="B621" s="28" t="n"/>
      <c r="C621" s="28" t="n"/>
      <c r="D621" s="28" t="n"/>
      <c r="E621" s="28" t="n"/>
      <c r="F621" s="28" t="n"/>
      <c r="G621" s="28" t="n"/>
      <c r="H621" s="28" t="n"/>
      <c r="I621" s="28" t="n"/>
      <c r="J621" s="28" t="n"/>
      <c r="K621" s="28" t="n"/>
    </row>
    <row r="622">
      <c r="A622" s="28" t="n"/>
      <c r="B622" s="28" t="n"/>
      <c r="C622" s="28" t="n"/>
      <c r="D622" s="28" t="n"/>
      <c r="E622" s="28" t="n"/>
      <c r="F622" s="28" t="n"/>
      <c r="G622" s="28" t="n"/>
      <c r="H622" s="28" t="n"/>
      <c r="I622" s="28" t="n"/>
      <c r="J622" s="28" t="n"/>
      <c r="K622" s="28" t="n"/>
    </row>
    <row r="623">
      <c r="A623" s="28" t="n"/>
      <c r="B623" s="28" t="n"/>
      <c r="C623" s="28" t="n"/>
      <c r="D623" s="28" t="n"/>
      <c r="E623" s="28" t="n"/>
      <c r="F623" s="28" t="n"/>
      <c r="G623" s="28" t="n"/>
      <c r="H623" s="28" t="n"/>
      <c r="I623" s="28" t="n"/>
      <c r="J623" s="28" t="n"/>
      <c r="K623" s="28" t="n"/>
    </row>
    <row r="624">
      <c r="A624" s="28" t="n"/>
      <c r="B624" s="28" t="n"/>
      <c r="C624" s="28" t="n"/>
      <c r="D624" s="28" t="n"/>
      <c r="E624" s="28" t="n"/>
      <c r="F624" s="28" t="n"/>
      <c r="G624" s="28" t="n"/>
      <c r="H624" s="28" t="n"/>
      <c r="I624" s="28" t="n"/>
      <c r="J624" s="28" t="n"/>
      <c r="K624" s="28" t="n"/>
    </row>
    <row r="625">
      <c r="A625" s="28" t="n"/>
      <c r="B625" s="28" t="n"/>
      <c r="C625" s="28" t="n"/>
      <c r="D625" s="28" t="n"/>
      <c r="E625" s="28" t="n"/>
      <c r="F625" s="28" t="n"/>
      <c r="G625" s="28" t="n"/>
      <c r="H625" s="28" t="n"/>
      <c r="I625" s="28" t="n"/>
      <c r="J625" s="28" t="n"/>
      <c r="K625" s="28" t="n"/>
    </row>
    <row r="626">
      <c r="A626" s="28" t="n"/>
      <c r="B626" s="28" t="n"/>
      <c r="C626" s="28" t="n"/>
      <c r="D626" s="28" t="n"/>
      <c r="E626" s="28" t="n"/>
      <c r="F626" s="28" t="n"/>
      <c r="G626" s="28" t="n"/>
      <c r="H626" s="28" t="n"/>
      <c r="I626" s="28" t="n"/>
      <c r="J626" s="28" t="n"/>
      <c r="K626" s="28" t="n"/>
    </row>
    <row r="627">
      <c r="A627" s="28" t="n"/>
      <c r="B627" s="28" t="n"/>
      <c r="C627" s="28" t="n"/>
      <c r="D627" s="28" t="n"/>
      <c r="E627" s="28" t="n"/>
      <c r="F627" s="28" t="n"/>
      <c r="G627" s="28" t="n"/>
      <c r="H627" s="28" t="n"/>
      <c r="I627" s="28" t="n"/>
      <c r="J627" s="28" t="n"/>
      <c r="K627" s="28" t="n"/>
    </row>
    <row r="628">
      <c r="A628" s="28" t="n"/>
      <c r="B628" s="28" t="n"/>
      <c r="C628" s="28" t="n"/>
      <c r="D628" s="28" t="n"/>
      <c r="E628" s="28" t="n"/>
      <c r="F628" s="28" t="n"/>
      <c r="G628" s="28" t="n"/>
      <c r="H628" s="28" t="n"/>
      <c r="I628" s="28" t="n"/>
      <c r="J628" s="28" t="n"/>
      <c r="K628" s="28" t="n"/>
    </row>
    <row r="629">
      <c r="A629" s="28" t="n"/>
      <c r="B629" s="28" t="n"/>
      <c r="C629" s="28" t="n"/>
      <c r="D629" s="28" t="n"/>
      <c r="E629" s="28" t="n"/>
      <c r="F629" s="28" t="n"/>
      <c r="G629" s="28" t="n"/>
      <c r="H629" s="28" t="n"/>
      <c r="I629" s="28" t="n"/>
      <c r="J629" s="28" t="n"/>
      <c r="K629" s="28" t="n"/>
    </row>
    <row r="630">
      <c r="A630" s="28" t="n"/>
      <c r="B630" s="28" t="n"/>
      <c r="C630" s="28" t="n"/>
      <c r="D630" s="28" t="n"/>
      <c r="E630" s="28" t="n"/>
      <c r="F630" s="28" t="n"/>
      <c r="G630" s="28" t="n"/>
      <c r="H630" s="28" t="n"/>
      <c r="I630" s="28" t="n"/>
      <c r="J630" s="28" t="n"/>
      <c r="K630" s="28" t="n"/>
    </row>
    <row r="631">
      <c r="A631" s="28" t="n"/>
      <c r="B631" s="28" t="n"/>
      <c r="C631" s="28" t="n"/>
      <c r="D631" s="28" t="n"/>
      <c r="E631" s="28" t="n"/>
      <c r="F631" s="28" t="n"/>
      <c r="G631" s="28" t="n"/>
      <c r="H631" s="28" t="n"/>
      <c r="I631" s="28" t="n"/>
      <c r="J631" s="28" t="n"/>
      <c r="K631" s="28" t="n"/>
    </row>
    <row r="632">
      <c r="A632" s="28" t="n"/>
      <c r="B632" s="28" t="n"/>
      <c r="C632" s="28" t="n"/>
      <c r="D632" s="28" t="n"/>
      <c r="E632" s="28" t="n"/>
      <c r="F632" s="28" t="n"/>
      <c r="G632" s="28" t="n"/>
      <c r="H632" s="28" t="n"/>
      <c r="I632" s="28" t="n"/>
      <c r="J632" s="28" t="n"/>
      <c r="K632" s="28" t="n"/>
    </row>
    <row r="633">
      <c r="A633" s="28" t="n"/>
      <c r="B633" s="28" t="n"/>
      <c r="C633" s="28" t="n"/>
      <c r="D633" s="28" t="n"/>
      <c r="E633" s="28" t="n"/>
      <c r="F633" s="28" t="n"/>
      <c r="G633" s="28" t="n"/>
      <c r="H633" s="28" t="n"/>
      <c r="I633" s="28" t="n"/>
      <c r="J633" s="28" t="n"/>
      <c r="K633" s="28" t="n"/>
    </row>
    <row r="634">
      <c r="A634" s="28" t="n"/>
      <c r="B634" s="28" t="n"/>
      <c r="C634" s="28" t="n"/>
      <c r="D634" s="28" t="n"/>
      <c r="E634" s="28" t="n"/>
      <c r="F634" s="28" t="n"/>
      <c r="G634" s="28" t="n"/>
      <c r="H634" s="28" t="n"/>
      <c r="I634" s="28" t="n"/>
      <c r="J634" s="28" t="n"/>
      <c r="K634" s="28" t="n"/>
    </row>
    <row r="635">
      <c r="A635" s="28" t="n"/>
      <c r="B635" s="28" t="n"/>
      <c r="C635" s="28" t="n"/>
      <c r="D635" s="28" t="n"/>
      <c r="E635" s="28" t="n"/>
      <c r="F635" s="28" t="n"/>
      <c r="G635" s="28" t="n"/>
      <c r="H635" s="28" t="n"/>
      <c r="I635" s="28" t="n"/>
      <c r="J635" s="28" t="n"/>
      <c r="K635" s="28" t="n"/>
    </row>
    <row r="636">
      <c r="A636" s="28" t="n"/>
      <c r="B636" s="28" t="n"/>
      <c r="C636" s="28" t="n"/>
      <c r="D636" s="28" t="n"/>
      <c r="E636" s="28" t="n"/>
      <c r="F636" s="28" t="n"/>
      <c r="G636" s="28" t="n"/>
      <c r="H636" s="28" t="n"/>
      <c r="I636" s="28" t="n"/>
      <c r="J636" s="28" t="n"/>
      <c r="K636" s="28" t="n"/>
    </row>
    <row r="637">
      <c r="A637" s="28" t="n"/>
      <c r="B637" s="28" t="n"/>
      <c r="C637" s="28" t="n"/>
      <c r="D637" s="28" t="n"/>
      <c r="E637" s="28" t="n"/>
      <c r="F637" s="28" t="n"/>
      <c r="G637" s="28" t="n"/>
      <c r="H637" s="28" t="n"/>
      <c r="I637" s="28" t="n"/>
      <c r="J637" s="28" t="n"/>
      <c r="K637" s="28" t="n"/>
    </row>
    <row r="638">
      <c r="A638" s="28" t="n"/>
      <c r="B638" s="28" t="n"/>
      <c r="C638" s="28" t="n"/>
      <c r="D638" s="28" t="n"/>
      <c r="E638" s="28" t="n"/>
      <c r="F638" s="28" t="n"/>
      <c r="G638" s="28" t="n"/>
      <c r="H638" s="28" t="n"/>
      <c r="I638" s="28" t="n"/>
      <c r="J638" s="28" t="n"/>
      <c r="K638" s="28" t="n"/>
    </row>
    <row r="639">
      <c r="A639" s="28" t="n"/>
      <c r="B639" s="28" t="n"/>
      <c r="C639" s="28" t="n"/>
      <c r="D639" s="28" t="n"/>
      <c r="E639" s="28" t="n"/>
      <c r="F639" s="28" t="n"/>
      <c r="G639" s="28" t="n"/>
      <c r="H639" s="28" t="n"/>
      <c r="I639" s="28" t="n"/>
      <c r="J639" s="28" t="n"/>
      <c r="K639" s="28" t="n"/>
    </row>
    <row r="640">
      <c r="A640" s="28" t="n"/>
      <c r="B640" s="28" t="n"/>
      <c r="C640" s="28" t="n"/>
      <c r="D640" s="28" t="n"/>
      <c r="E640" s="28" t="n"/>
      <c r="F640" s="28" t="n"/>
      <c r="G640" s="28" t="n"/>
      <c r="H640" s="28" t="n"/>
      <c r="I640" s="28" t="n"/>
      <c r="J640" s="28" t="n"/>
      <c r="K640" s="28" t="n"/>
    </row>
    <row r="641">
      <c r="A641" s="28" t="n"/>
      <c r="B641" s="28" t="n"/>
      <c r="C641" s="28" t="n"/>
      <c r="D641" s="28" t="n"/>
      <c r="E641" s="28" t="n"/>
      <c r="F641" s="28" t="n"/>
      <c r="G641" s="28" t="n"/>
      <c r="H641" s="28" t="n"/>
      <c r="I641" s="28" t="n"/>
      <c r="J641" s="28" t="n"/>
      <c r="K641" s="28" t="n"/>
    </row>
    <row r="642">
      <c r="A642" s="28" t="n"/>
      <c r="B642" s="28" t="n"/>
      <c r="C642" s="28" t="n"/>
      <c r="D642" s="28" t="n"/>
      <c r="E642" s="28" t="n"/>
      <c r="F642" s="28" t="n"/>
      <c r="G642" s="28" t="n"/>
      <c r="H642" s="28" t="n"/>
      <c r="I642" s="28" t="n"/>
      <c r="J642" s="28" t="n"/>
      <c r="K642" s="28" t="n"/>
    </row>
    <row r="643">
      <c r="A643" s="28" t="n"/>
      <c r="B643" s="28" t="n"/>
      <c r="C643" s="28" t="n"/>
      <c r="D643" s="28" t="n"/>
      <c r="E643" s="28" t="n"/>
      <c r="F643" s="28" t="n"/>
      <c r="G643" s="28" t="n"/>
      <c r="H643" s="28" t="n"/>
      <c r="I643" s="28" t="n"/>
      <c r="J643" s="28" t="n"/>
      <c r="K643" s="28" t="n"/>
    </row>
    <row r="644">
      <c r="A644" s="28" t="n"/>
      <c r="B644" s="28" t="n"/>
      <c r="C644" s="28" t="n"/>
      <c r="D644" s="28" t="n"/>
      <c r="E644" s="28" t="n"/>
      <c r="F644" s="28" t="n"/>
      <c r="G644" s="28" t="n"/>
      <c r="H644" s="28" t="n"/>
      <c r="I644" s="28" t="n"/>
      <c r="J644" s="28" t="n"/>
      <c r="K644" s="28" t="n"/>
    </row>
    <row r="645">
      <c r="A645" s="28" t="n"/>
      <c r="B645" s="28" t="n"/>
      <c r="C645" s="28" t="n"/>
      <c r="D645" s="28" t="n"/>
      <c r="E645" s="28" t="n"/>
      <c r="F645" s="28" t="n"/>
      <c r="G645" s="28" t="n"/>
      <c r="H645" s="28" t="n"/>
      <c r="I645" s="28" t="n"/>
      <c r="J645" s="28" t="n"/>
      <c r="K645" s="28" t="n"/>
    </row>
    <row r="646">
      <c r="A646" s="28" t="n"/>
      <c r="B646" s="28" t="n"/>
      <c r="C646" s="28" t="n"/>
      <c r="D646" s="28" t="n"/>
      <c r="E646" s="28" t="n"/>
      <c r="F646" s="28" t="n"/>
      <c r="G646" s="28" t="n"/>
      <c r="H646" s="28" t="n"/>
      <c r="I646" s="28" t="n"/>
      <c r="J646" s="28" t="n"/>
      <c r="K646" s="28" t="n"/>
    </row>
    <row r="647">
      <c r="A647" s="28" t="n"/>
      <c r="B647" s="28" t="n"/>
      <c r="C647" s="28" t="n"/>
      <c r="D647" s="28" t="n"/>
      <c r="E647" s="28" t="n"/>
      <c r="F647" s="28" t="n"/>
      <c r="G647" s="28" t="n"/>
      <c r="H647" s="28" t="n"/>
      <c r="I647" s="28" t="n"/>
      <c r="J647" s="28" t="n"/>
      <c r="K647" s="28" t="n"/>
    </row>
    <row r="648">
      <c r="A648" s="28" t="n"/>
      <c r="B648" s="28" t="n"/>
      <c r="C648" s="28" t="n"/>
      <c r="D648" s="28" t="n"/>
      <c r="E648" s="28" t="n"/>
      <c r="F648" s="28" t="n"/>
      <c r="G648" s="28" t="n"/>
      <c r="H648" s="28" t="n"/>
      <c r="I648" s="28" t="n"/>
      <c r="J648" s="28" t="n"/>
      <c r="K648" s="28" t="n"/>
    </row>
    <row r="649">
      <c r="A649" s="28" t="n"/>
      <c r="B649" s="28" t="n"/>
      <c r="C649" s="28" t="n"/>
      <c r="D649" s="28" t="n"/>
      <c r="E649" s="28" t="n"/>
      <c r="F649" s="28" t="n"/>
      <c r="G649" s="28" t="n"/>
      <c r="H649" s="28" t="n"/>
      <c r="I649" s="28" t="n"/>
      <c r="J649" s="28" t="n"/>
      <c r="K649" s="28" t="n"/>
    </row>
    <row r="650">
      <c r="A650" s="28" t="n"/>
      <c r="B650" s="28" t="n"/>
      <c r="C650" s="28" t="n"/>
      <c r="D650" s="28" t="n"/>
      <c r="E650" s="28" t="n"/>
      <c r="F650" s="28" t="n"/>
      <c r="G650" s="28" t="n"/>
      <c r="H650" s="28" t="n"/>
      <c r="I650" s="28" t="n"/>
      <c r="J650" s="28" t="n"/>
      <c r="K650" s="28" t="n"/>
    </row>
    <row r="651">
      <c r="A651" s="28" t="n"/>
      <c r="B651" s="28" t="n"/>
      <c r="C651" s="28" t="n"/>
      <c r="D651" s="28" t="n"/>
      <c r="E651" s="28" t="n"/>
      <c r="F651" s="28" t="n"/>
      <c r="G651" s="28" t="n"/>
      <c r="H651" s="28" t="n"/>
      <c r="I651" s="28" t="n"/>
      <c r="J651" s="28" t="n"/>
      <c r="K651" s="28" t="n"/>
    </row>
    <row r="652">
      <c r="A652" s="28" t="n"/>
      <c r="B652" s="28" t="n"/>
      <c r="C652" s="28" t="n"/>
      <c r="D652" s="28" t="n"/>
      <c r="E652" s="28" t="n"/>
      <c r="F652" s="28" t="n"/>
      <c r="G652" s="28" t="n"/>
      <c r="H652" s="28" t="n"/>
      <c r="I652" s="28" t="n"/>
      <c r="J652" s="28" t="n"/>
      <c r="K652" s="28" t="n"/>
    </row>
    <row r="653">
      <c r="A653" s="28" t="n"/>
      <c r="B653" s="28" t="n"/>
      <c r="C653" s="28" t="n"/>
      <c r="D653" s="28" t="n"/>
      <c r="E653" s="28" t="n"/>
      <c r="F653" s="28" t="n"/>
      <c r="G653" s="28" t="n"/>
      <c r="H653" s="28" t="n"/>
      <c r="I653" s="28" t="n"/>
      <c r="J653" s="28" t="n"/>
      <c r="K653" s="28" t="n"/>
    </row>
    <row r="654">
      <c r="A654" s="28" t="n"/>
      <c r="B654" s="28" t="n"/>
      <c r="C654" s="28" t="n"/>
      <c r="D654" s="28" t="n"/>
      <c r="E654" s="28" t="n"/>
      <c r="F654" s="28" t="n"/>
      <c r="G654" s="28" t="n"/>
      <c r="H654" s="28" t="n"/>
      <c r="I654" s="28" t="n"/>
      <c r="J654" s="28" t="n"/>
      <c r="K654" s="28" t="n"/>
    </row>
    <row r="655">
      <c r="A655" s="28" t="n"/>
      <c r="B655" s="28" t="n"/>
      <c r="C655" s="28" t="n"/>
      <c r="D655" s="28" t="n"/>
      <c r="E655" s="28" t="n"/>
      <c r="F655" s="28" t="n"/>
      <c r="G655" s="28" t="n"/>
      <c r="H655" s="28" t="n"/>
      <c r="I655" s="28" t="n"/>
      <c r="J655" s="28" t="n"/>
      <c r="K655" s="28" t="n"/>
    </row>
    <row r="656">
      <c r="A656" s="28" t="n"/>
      <c r="B656" s="28" t="n"/>
      <c r="C656" s="28" t="n"/>
      <c r="D656" s="28" t="n"/>
      <c r="E656" s="28" t="n"/>
      <c r="F656" s="28" t="n"/>
      <c r="G656" s="28" t="n"/>
      <c r="H656" s="28" t="n"/>
      <c r="I656" s="28" t="n"/>
      <c r="J656" s="28" t="n"/>
      <c r="K656" s="28" t="n"/>
    </row>
    <row r="657">
      <c r="A657" s="28" t="n"/>
      <c r="B657" s="28" t="n"/>
      <c r="C657" s="28" t="n"/>
      <c r="D657" s="28" t="n"/>
      <c r="E657" s="28" t="n"/>
      <c r="F657" s="28" t="n"/>
      <c r="G657" s="28" t="n"/>
      <c r="H657" s="28" t="n"/>
      <c r="I657" s="28" t="n"/>
      <c r="J657" s="28" t="n"/>
      <c r="K657" s="28" t="n"/>
    </row>
    <row r="658">
      <c r="A658" s="28" t="n"/>
      <c r="B658" s="28" t="n"/>
      <c r="C658" s="28" t="n"/>
      <c r="D658" s="28" t="n"/>
      <c r="E658" s="28" t="n"/>
      <c r="F658" s="28" t="n"/>
      <c r="G658" s="28" t="n"/>
      <c r="H658" s="28" t="n"/>
      <c r="I658" s="28" t="n"/>
      <c r="J658" s="28" t="n"/>
      <c r="K658" s="28" t="n"/>
    </row>
    <row r="659">
      <c r="A659" s="28" t="n"/>
      <c r="B659" s="28" t="n"/>
      <c r="C659" s="28" t="n"/>
      <c r="D659" s="28" t="n"/>
      <c r="E659" s="28" t="n"/>
      <c r="F659" s="28" t="n"/>
      <c r="G659" s="28" t="n"/>
      <c r="H659" s="28" t="n"/>
      <c r="I659" s="28" t="n"/>
      <c r="J659" s="28" t="n"/>
      <c r="K659" s="28" t="n"/>
    </row>
    <row r="660">
      <c r="A660" s="28" t="n"/>
      <c r="B660" s="28" t="n"/>
      <c r="C660" s="28" t="n"/>
      <c r="D660" s="28" t="n"/>
      <c r="E660" s="28" t="n"/>
      <c r="F660" s="28" t="n"/>
      <c r="G660" s="28" t="n"/>
      <c r="H660" s="28" t="n"/>
      <c r="I660" s="28" t="n"/>
      <c r="J660" s="28" t="n"/>
      <c r="K660" s="28" t="n"/>
    </row>
    <row r="661">
      <c r="A661" s="28" t="n"/>
      <c r="B661" s="28" t="n"/>
      <c r="C661" s="28" t="n"/>
      <c r="D661" s="28" t="n"/>
      <c r="E661" s="28" t="n"/>
      <c r="F661" s="28" t="n"/>
      <c r="G661" s="28" t="n"/>
      <c r="H661" s="28" t="n"/>
      <c r="I661" s="28" t="n"/>
      <c r="J661" s="28" t="n"/>
      <c r="K661" s="28" t="n"/>
    </row>
    <row r="662">
      <c r="A662" s="28" t="n"/>
      <c r="B662" s="28" t="n"/>
      <c r="C662" s="28" t="n"/>
      <c r="D662" s="28" t="n"/>
      <c r="E662" s="28" t="n"/>
      <c r="F662" s="28" t="n"/>
      <c r="G662" s="28" t="n"/>
      <c r="H662" s="28" t="n"/>
      <c r="I662" s="28" t="n"/>
      <c r="J662" s="28" t="n"/>
      <c r="K662" s="28" t="n"/>
    </row>
    <row r="663">
      <c r="A663" s="28" t="n"/>
      <c r="B663" s="28" t="n"/>
      <c r="C663" s="28" t="n"/>
      <c r="D663" s="28" t="n"/>
      <c r="E663" s="28" t="n"/>
      <c r="F663" s="28" t="n"/>
      <c r="G663" s="28" t="n"/>
      <c r="H663" s="28" t="n"/>
      <c r="I663" s="28" t="n"/>
      <c r="J663" s="28" t="n"/>
      <c r="K663" s="28" t="n"/>
    </row>
    <row r="664">
      <c r="A664" s="28" t="n"/>
      <c r="B664" s="28" t="n"/>
      <c r="C664" s="28" t="n"/>
      <c r="D664" s="28" t="n"/>
      <c r="E664" s="28" t="n"/>
      <c r="F664" s="28" t="n"/>
      <c r="G664" s="28" t="n"/>
      <c r="H664" s="28" t="n"/>
      <c r="I664" s="28" t="n"/>
      <c r="J664" s="28" t="n"/>
      <c r="K664" s="28" t="n"/>
    </row>
    <row r="665">
      <c r="A665" s="28" t="n"/>
      <c r="B665" s="28" t="n"/>
      <c r="C665" s="28" t="n"/>
      <c r="D665" s="28" t="n"/>
      <c r="E665" s="28" t="n"/>
      <c r="F665" s="28" t="n"/>
      <c r="G665" s="28" t="n"/>
      <c r="H665" s="28" t="n"/>
      <c r="I665" s="28" t="n"/>
      <c r="J665" s="28" t="n"/>
      <c r="K665" s="28" t="n"/>
    </row>
    <row r="666">
      <c r="A666" s="28" t="n"/>
      <c r="B666" s="28" t="n"/>
      <c r="C666" s="28" t="n"/>
      <c r="D666" s="28" t="n"/>
      <c r="E666" s="28" t="n"/>
      <c r="F666" s="28" t="n"/>
      <c r="G666" s="28" t="n"/>
      <c r="H666" s="28" t="n"/>
      <c r="I666" s="28" t="n"/>
      <c r="J666" s="28" t="n"/>
      <c r="K666" s="28" t="n"/>
    </row>
    <row r="667">
      <c r="A667" s="28" t="n"/>
      <c r="B667" s="28" t="n"/>
      <c r="C667" s="28" t="n"/>
      <c r="D667" s="28" t="n"/>
      <c r="E667" s="28" t="n"/>
      <c r="F667" s="28" t="n"/>
      <c r="G667" s="28" t="n"/>
      <c r="H667" s="28" t="n"/>
      <c r="I667" s="28" t="n"/>
      <c r="J667" s="28" t="n"/>
      <c r="K667" s="28" t="n"/>
    </row>
    <row r="668">
      <c r="A668" s="28" t="n"/>
      <c r="B668" s="28" t="n"/>
      <c r="C668" s="28" t="n"/>
      <c r="D668" s="28" t="n"/>
      <c r="E668" s="28" t="n"/>
      <c r="F668" s="28" t="n"/>
      <c r="G668" s="28" t="n"/>
      <c r="H668" s="28" t="n"/>
      <c r="I668" s="28" t="n"/>
      <c r="J668" s="28" t="n"/>
      <c r="K668" s="28" t="n"/>
    </row>
    <row r="669">
      <c r="A669" s="28" t="n"/>
      <c r="B669" s="28" t="n"/>
      <c r="C669" s="28" t="n"/>
      <c r="D669" s="28" t="n"/>
      <c r="E669" s="28" t="n"/>
      <c r="F669" s="28" t="n"/>
      <c r="G669" s="28" t="n"/>
      <c r="H669" s="28" t="n"/>
      <c r="I669" s="28" t="n"/>
      <c r="J669" s="28" t="n"/>
      <c r="K669" s="28" t="n"/>
    </row>
    <row r="670">
      <c r="A670" s="28" t="n"/>
      <c r="B670" s="28" t="n"/>
      <c r="C670" s="28" t="n"/>
      <c r="D670" s="28" t="n"/>
      <c r="E670" s="28" t="n"/>
      <c r="F670" s="28" t="n"/>
      <c r="G670" s="28" t="n"/>
      <c r="H670" s="28" t="n"/>
      <c r="I670" s="28" t="n"/>
      <c r="J670" s="28" t="n"/>
      <c r="K670" s="28" t="n"/>
    </row>
    <row r="671">
      <c r="A671" s="28" t="n"/>
      <c r="B671" s="28" t="n"/>
      <c r="C671" s="28" t="n"/>
      <c r="D671" s="28" t="n"/>
      <c r="E671" s="28" t="n"/>
      <c r="F671" s="28" t="n"/>
      <c r="G671" s="28" t="n"/>
      <c r="H671" s="28" t="n"/>
      <c r="I671" s="28" t="n"/>
      <c r="J671" s="28" t="n"/>
      <c r="K671" s="28" t="n"/>
    </row>
    <row r="672">
      <c r="A672" s="28" t="n"/>
      <c r="B672" s="28" t="n"/>
      <c r="C672" s="28" t="n"/>
      <c r="D672" s="28" t="n"/>
      <c r="E672" s="28" t="n"/>
      <c r="F672" s="28" t="n"/>
      <c r="G672" s="28" t="n"/>
      <c r="H672" s="28" t="n"/>
      <c r="I672" s="28" t="n"/>
      <c r="J672" s="28" t="n"/>
      <c r="K672" s="28" t="n"/>
    </row>
    <row r="673">
      <c r="A673" s="28" t="n"/>
      <c r="B673" s="28" t="n"/>
      <c r="C673" s="28" t="n"/>
      <c r="D673" s="28" t="n"/>
      <c r="E673" s="28" t="n"/>
      <c r="F673" s="28" t="n"/>
      <c r="G673" s="28" t="n"/>
      <c r="H673" s="28" t="n"/>
      <c r="I673" s="28" t="n"/>
      <c r="J673" s="28" t="n"/>
      <c r="K673" s="28" t="n"/>
    </row>
    <row r="674">
      <c r="A674" s="28" t="n"/>
      <c r="B674" s="28" t="n"/>
      <c r="C674" s="28" t="n"/>
      <c r="D674" s="28" t="n"/>
      <c r="E674" s="28" t="n"/>
      <c r="F674" s="28" t="n"/>
      <c r="G674" s="28" t="n"/>
      <c r="H674" s="28" t="n"/>
      <c r="I674" s="28" t="n"/>
      <c r="J674" s="28" t="n"/>
      <c r="K674" s="28" t="n"/>
    </row>
    <row r="675">
      <c r="A675" s="28" t="n"/>
      <c r="B675" s="28" t="n"/>
      <c r="C675" s="28" t="n"/>
      <c r="D675" s="28" t="n"/>
      <c r="E675" s="28" t="n"/>
      <c r="F675" s="28" t="n"/>
      <c r="G675" s="28" t="n"/>
      <c r="H675" s="28" t="n"/>
      <c r="I675" s="28" t="n"/>
      <c r="J675" s="28" t="n"/>
      <c r="K675" s="28" t="n"/>
    </row>
    <row r="676">
      <c r="A676" s="28" t="n"/>
      <c r="B676" s="28" t="n"/>
      <c r="C676" s="28" t="n"/>
      <c r="D676" s="28" t="n"/>
      <c r="E676" s="28" t="n"/>
      <c r="F676" s="28" t="n"/>
      <c r="G676" s="28" t="n"/>
      <c r="H676" s="28" t="n"/>
      <c r="I676" s="28" t="n"/>
      <c r="J676" s="28" t="n"/>
      <c r="K676" s="28" t="n"/>
    </row>
    <row r="677">
      <c r="A677" s="28" t="n"/>
      <c r="B677" s="28" t="n"/>
      <c r="C677" s="28" t="n"/>
      <c r="D677" s="28" t="n"/>
      <c r="E677" s="28" t="n"/>
      <c r="F677" s="28" t="n"/>
      <c r="G677" s="28" t="n"/>
      <c r="H677" s="28" t="n"/>
      <c r="I677" s="28" t="n"/>
      <c r="J677" s="28" t="n"/>
      <c r="K677" s="28" t="n"/>
    </row>
    <row r="678">
      <c r="A678" s="28" t="n"/>
      <c r="B678" s="28" t="n"/>
      <c r="C678" s="28" t="n"/>
      <c r="D678" s="28" t="n"/>
      <c r="E678" s="28" t="n"/>
      <c r="F678" s="28" t="n"/>
      <c r="G678" s="28" t="n"/>
      <c r="H678" s="28" t="n"/>
      <c r="I678" s="28" t="n"/>
      <c r="J678" s="28" t="n"/>
      <c r="K678" s="28" t="n"/>
    </row>
    <row r="679">
      <c r="A679" s="28" t="n"/>
      <c r="B679" s="28" t="n"/>
      <c r="C679" s="28" t="n"/>
      <c r="D679" s="28" t="n"/>
      <c r="E679" s="28" t="n"/>
      <c r="F679" s="28" t="n"/>
      <c r="G679" s="28" t="n"/>
      <c r="H679" s="28" t="n"/>
      <c r="I679" s="28" t="n"/>
      <c r="J679" s="28" t="n"/>
      <c r="K679" s="28" t="n"/>
    </row>
    <row r="680">
      <c r="A680" s="28" t="n"/>
      <c r="B680" s="28" t="n"/>
      <c r="C680" s="28" t="n"/>
      <c r="D680" s="28" t="n"/>
      <c r="E680" s="28" t="n"/>
      <c r="F680" s="28" t="n"/>
      <c r="G680" s="28" t="n"/>
      <c r="H680" s="28" t="n"/>
      <c r="I680" s="28" t="n"/>
      <c r="J680" s="28" t="n"/>
      <c r="K680" s="28" t="n"/>
    </row>
    <row r="681">
      <c r="A681" s="28" t="n"/>
      <c r="B681" s="28" t="n"/>
      <c r="C681" s="28" t="n"/>
      <c r="D681" s="28" t="n"/>
      <c r="E681" s="28" t="n"/>
      <c r="F681" s="28" t="n"/>
      <c r="G681" s="28" t="n"/>
      <c r="H681" s="28" t="n"/>
      <c r="I681" s="28" t="n"/>
      <c r="J681" s="28" t="n"/>
      <c r="K681" s="28" t="n"/>
    </row>
    <row r="682">
      <c r="A682" s="28" t="n"/>
      <c r="B682" s="28" t="n"/>
      <c r="C682" s="28" t="n"/>
      <c r="D682" s="28" t="n"/>
      <c r="E682" s="28" t="n"/>
      <c r="F682" s="28" t="n"/>
      <c r="G682" s="28" t="n"/>
      <c r="H682" s="28" t="n"/>
      <c r="I682" s="28" t="n"/>
      <c r="J682" s="28" t="n"/>
      <c r="K682" s="28" t="n"/>
    </row>
    <row r="683">
      <c r="A683" s="28" t="n"/>
      <c r="B683" s="28" t="n"/>
      <c r="C683" s="28" t="n"/>
      <c r="D683" s="28" t="n"/>
      <c r="E683" s="28" t="n"/>
      <c r="F683" s="28" t="n"/>
      <c r="G683" s="28" t="n"/>
      <c r="H683" s="28" t="n"/>
      <c r="I683" s="28" t="n"/>
      <c r="J683" s="28" t="n"/>
      <c r="K683" s="28" t="n"/>
    </row>
    <row r="684">
      <c r="A684" s="28" t="n"/>
      <c r="B684" s="28" t="n"/>
      <c r="C684" s="28" t="n"/>
      <c r="D684" s="28" t="n"/>
      <c r="E684" s="28" t="n"/>
      <c r="F684" s="28" t="n"/>
      <c r="G684" s="28" t="n"/>
      <c r="H684" s="28" t="n"/>
      <c r="I684" s="28" t="n"/>
      <c r="J684" s="28" t="n"/>
      <c r="K684" s="28" t="n"/>
    </row>
    <row r="685">
      <c r="A685" s="28" t="n"/>
      <c r="B685" s="28" t="n"/>
      <c r="C685" s="28" t="n"/>
      <c r="D685" s="28" t="n"/>
      <c r="E685" s="28" t="n"/>
      <c r="F685" s="28" t="n"/>
      <c r="G685" s="28" t="n"/>
      <c r="H685" s="28" t="n"/>
      <c r="I685" s="28" t="n"/>
      <c r="J685" s="28" t="n"/>
      <c r="K685" s="28" t="n"/>
    </row>
    <row r="686">
      <c r="A686" s="28" t="n"/>
      <c r="B686" s="28" t="n"/>
      <c r="C686" s="28" t="n"/>
      <c r="D686" s="28" t="n"/>
      <c r="E686" s="28" t="n"/>
      <c r="F686" s="28" t="n"/>
      <c r="G686" s="28" t="n"/>
      <c r="H686" s="28" t="n"/>
      <c r="I686" s="28" t="n"/>
      <c r="J686" s="28" t="n"/>
      <c r="K686" s="28" t="n"/>
    </row>
    <row r="687">
      <c r="A687" s="28" t="n"/>
      <c r="B687" s="28" t="n"/>
      <c r="C687" s="28" t="n"/>
      <c r="D687" s="28" t="n"/>
      <c r="E687" s="28" t="n"/>
      <c r="F687" s="28" t="n"/>
      <c r="G687" s="28" t="n"/>
      <c r="H687" s="28" t="n"/>
      <c r="I687" s="28" t="n"/>
      <c r="J687" s="28" t="n"/>
      <c r="K687" s="28" t="n"/>
    </row>
    <row r="688">
      <c r="A688" s="28" t="n"/>
      <c r="B688" s="28" t="n"/>
      <c r="C688" s="28" t="n"/>
      <c r="D688" s="28" t="n"/>
      <c r="E688" s="28" t="n"/>
      <c r="F688" s="28" t="n"/>
      <c r="G688" s="28" t="n"/>
      <c r="H688" s="28" t="n"/>
      <c r="I688" s="28" t="n"/>
      <c r="J688" s="28" t="n"/>
      <c r="K688" s="28" t="n"/>
    </row>
    <row r="689">
      <c r="A689" s="28" t="n"/>
      <c r="B689" s="28" t="n"/>
      <c r="C689" s="28" t="n"/>
      <c r="D689" s="28" t="n"/>
      <c r="E689" s="28" t="n"/>
      <c r="F689" s="28" t="n"/>
      <c r="G689" s="28" t="n"/>
      <c r="H689" s="28" t="n"/>
      <c r="I689" s="28" t="n"/>
      <c r="J689" s="28" t="n"/>
      <c r="K689" s="28" t="n"/>
    </row>
    <row r="690">
      <c r="A690" s="28" t="n"/>
      <c r="B690" s="28" t="n"/>
      <c r="C690" s="28" t="n"/>
      <c r="D690" s="28" t="n"/>
      <c r="E690" s="28" t="n"/>
      <c r="F690" s="28" t="n"/>
      <c r="G690" s="28" t="n"/>
      <c r="H690" s="28" t="n"/>
      <c r="I690" s="28" t="n"/>
      <c r="J690" s="28" t="n"/>
      <c r="K690" s="28" t="n"/>
    </row>
    <row r="691">
      <c r="A691" s="28" t="n"/>
      <c r="B691" s="28" t="n"/>
      <c r="C691" s="28" t="n"/>
      <c r="D691" s="28" t="n"/>
      <c r="E691" s="28" t="n"/>
      <c r="F691" s="28" t="n"/>
      <c r="G691" s="28" t="n"/>
      <c r="H691" s="28" t="n"/>
      <c r="I691" s="28" t="n"/>
      <c r="J691" s="28" t="n"/>
      <c r="K691" s="28" t="n"/>
    </row>
    <row r="692">
      <c r="A692" s="28" t="n"/>
      <c r="B692" s="28" t="n"/>
      <c r="C692" s="28" t="n"/>
      <c r="D692" s="28" t="n"/>
      <c r="E692" s="28" t="n"/>
      <c r="F692" s="28" t="n"/>
      <c r="G692" s="28" t="n"/>
      <c r="H692" s="28" t="n"/>
      <c r="I692" s="28" t="n"/>
      <c r="J692" s="28" t="n"/>
      <c r="K692" s="28" t="n"/>
    </row>
    <row r="693">
      <c r="A693" s="28" t="n"/>
      <c r="B693" s="28" t="n"/>
      <c r="C693" s="28" t="n"/>
      <c r="D693" s="28" t="n"/>
      <c r="E693" s="28" t="n"/>
      <c r="F693" s="28" t="n"/>
      <c r="G693" s="28" t="n"/>
      <c r="H693" s="28" t="n"/>
      <c r="I693" s="28" t="n"/>
      <c r="J693" s="28" t="n"/>
      <c r="K693" s="28" t="n"/>
    </row>
    <row r="694">
      <c r="A694" s="28" t="n"/>
      <c r="B694" s="28" t="n"/>
      <c r="C694" s="28" t="n"/>
      <c r="D694" s="28" t="n"/>
      <c r="E694" s="28" t="n"/>
      <c r="F694" s="28" t="n"/>
      <c r="G694" s="28" t="n"/>
      <c r="H694" s="28" t="n"/>
      <c r="I694" s="28" t="n"/>
      <c r="J694" s="28" t="n"/>
      <c r="K694" s="28" t="n"/>
    </row>
    <row r="695">
      <c r="A695" s="28" t="n"/>
      <c r="B695" s="28" t="n"/>
      <c r="C695" s="28" t="n"/>
      <c r="D695" s="28" t="n"/>
      <c r="E695" s="28" t="n"/>
      <c r="F695" s="28" t="n"/>
      <c r="G695" s="28" t="n"/>
      <c r="H695" s="28" t="n"/>
      <c r="I695" s="28" t="n"/>
      <c r="J695" s="28" t="n"/>
      <c r="K695" s="28" t="n"/>
    </row>
    <row r="696">
      <c r="A696" s="28" t="n"/>
      <c r="B696" s="28" t="n"/>
      <c r="C696" s="28" t="n"/>
      <c r="D696" s="28" t="n"/>
      <c r="E696" s="28" t="n"/>
      <c r="F696" s="28" t="n"/>
      <c r="G696" s="28" t="n"/>
      <c r="H696" s="28" t="n"/>
      <c r="I696" s="28" t="n"/>
      <c r="J696" s="28" t="n"/>
      <c r="K696" s="28" t="n"/>
    </row>
    <row r="697">
      <c r="A697" s="28" t="n"/>
      <c r="B697" s="28" t="n"/>
      <c r="C697" s="28" t="n"/>
      <c r="D697" s="28" t="n"/>
      <c r="E697" s="28" t="n"/>
      <c r="F697" s="28" t="n"/>
      <c r="G697" s="28" t="n"/>
      <c r="H697" s="28" t="n"/>
      <c r="I697" s="28" t="n"/>
      <c r="J697" s="28" t="n"/>
      <c r="K697" s="28" t="n"/>
    </row>
    <row r="698">
      <c r="A698" s="28" t="n"/>
      <c r="B698" s="28" t="n"/>
      <c r="C698" s="28" t="n"/>
      <c r="D698" s="28" t="n"/>
      <c r="E698" s="28" t="n"/>
      <c r="F698" s="28" t="n"/>
      <c r="G698" s="28" t="n"/>
      <c r="H698" s="28" t="n"/>
      <c r="I698" s="28" t="n"/>
      <c r="J698" s="28" t="n"/>
      <c r="K698" s="28" t="n"/>
    </row>
    <row r="699">
      <c r="A699" s="28" t="n"/>
      <c r="B699" s="28" t="n"/>
      <c r="C699" s="28" t="n"/>
      <c r="D699" s="28" t="n"/>
      <c r="E699" s="28" t="n"/>
      <c r="F699" s="28" t="n"/>
      <c r="G699" s="28" t="n"/>
      <c r="H699" s="28" t="n"/>
      <c r="I699" s="28" t="n"/>
      <c r="J699" s="28" t="n"/>
      <c r="K699" s="28" t="n"/>
    </row>
    <row r="700">
      <c r="A700" s="28" t="n"/>
      <c r="B700" s="28" t="n"/>
      <c r="C700" s="28" t="n"/>
      <c r="D700" s="28" t="n"/>
      <c r="E700" s="28" t="n"/>
      <c r="F700" s="28" t="n"/>
      <c r="G700" s="28" t="n"/>
      <c r="H700" s="28" t="n"/>
      <c r="I700" s="28" t="n"/>
      <c r="J700" s="28" t="n"/>
      <c r="K700" s="28" t="n"/>
    </row>
    <row r="701">
      <c r="A701" s="28" t="n"/>
      <c r="B701" s="28" t="n"/>
      <c r="C701" s="28" t="n"/>
      <c r="D701" s="28" t="n"/>
      <c r="E701" s="28" t="n"/>
      <c r="F701" s="28" t="n"/>
      <c r="G701" s="28" t="n"/>
      <c r="H701" s="28" t="n"/>
      <c r="I701" s="28" t="n"/>
      <c r="J701" s="28" t="n"/>
      <c r="K701" s="28" t="n"/>
    </row>
    <row r="702">
      <c r="A702" s="28" t="n"/>
      <c r="B702" s="28" t="n"/>
      <c r="C702" s="28" t="n"/>
      <c r="D702" s="28" t="n"/>
      <c r="E702" s="28" t="n"/>
      <c r="F702" s="28" t="n"/>
      <c r="G702" s="28" t="n"/>
      <c r="H702" s="28" t="n"/>
      <c r="I702" s="28" t="n"/>
      <c r="J702" s="28" t="n"/>
      <c r="K702" s="28" t="n"/>
    </row>
    <row r="703">
      <c r="A703" s="28" t="n"/>
      <c r="B703" s="28" t="n"/>
      <c r="C703" s="28" t="n"/>
      <c r="D703" s="28" t="n"/>
      <c r="E703" s="28" t="n"/>
      <c r="F703" s="28" t="n"/>
      <c r="G703" s="28" t="n"/>
      <c r="H703" s="28" t="n"/>
      <c r="I703" s="28" t="n"/>
      <c r="J703" s="28" t="n"/>
      <c r="K703" s="28" t="n"/>
    </row>
    <row r="704">
      <c r="A704" s="28" t="n"/>
      <c r="B704" s="28" t="n"/>
      <c r="C704" s="28" t="n"/>
      <c r="D704" s="28" t="n"/>
      <c r="E704" s="28" t="n"/>
      <c r="F704" s="28" t="n"/>
      <c r="G704" s="28" t="n"/>
      <c r="H704" s="28" t="n"/>
      <c r="I704" s="28" t="n"/>
      <c r="J704" s="28" t="n"/>
      <c r="K704" s="28" t="n"/>
    </row>
    <row r="705">
      <c r="A705" s="28" t="n"/>
      <c r="B705" s="28" t="n"/>
      <c r="C705" s="28" t="n"/>
      <c r="D705" s="28" t="n"/>
      <c r="E705" s="28" t="n"/>
      <c r="F705" s="28" t="n"/>
      <c r="G705" s="28" t="n"/>
      <c r="H705" s="28" t="n"/>
      <c r="I705" s="28" t="n"/>
      <c r="J705" s="28" t="n"/>
      <c r="K705" s="28" t="n"/>
    </row>
    <row r="706">
      <c r="A706" s="28" t="n"/>
      <c r="B706" s="28" t="n"/>
      <c r="C706" s="28" t="n"/>
      <c r="D706" s="28" t="n"/>
      <c r="E706" s="28" t="n"/>
      <c r="F706" s="28" t="n"/>
      <c r="G706" s="28" t="n"/>
      <c r="H706" s="28" t="n"/>
      <c r="I706" s="28" t="n"/>
      <c r="J706" s="28" t="n"/>
      <c r="K706" s="28" t="n"/>
    </row>
    <row r="707">
      <c r="A707" s="28" t="n"/>
      <c r="B707" s="28" t="n"/>
      <c r="C707" s="28" t="n"/>
      <c r="D707" s="28" t="n"/>
      <c r="E707" s="28" t="n"/>
      <c r="F707" s="28" t="n"/>
      <c r="G707" s="28" t="n"/>
      <c r="H707" s="28" t="n"/>
      <c r="I707" s="28" t="n"/>
      <c r="J707" s="28" t="n"/>
      <c r="K707" s="28" t="n"/>
    </row>
    <row r="708">
      <c r="A708" s="28" t="n"/>
      <c r="B708" s="28" t="n"/>
      <c r="C708" s="28" t="n"/>
      <c r="D708" s="28" t="n"/>
      <c r="E708" s="28" t="n"/>
      <c r="F708" s="28" t="n"/>
      <c r="G708" s="28" t="n"/>
      <c r="H708" s="28" t="n"/>
      <c r="I708" s="28" t="n"/>
      <c r="J708" s="28" t="n"/>
      <c r="K708" s="28" t="n"/>
    </row>
    <row r="709">
      <c r="A709" s="28" t="n"/>
      <c r="B709" s="28" t="n"/>
      <c r="C709" s="28" t="n"/>
      <c r="D709" s="28" t="n"/>
      <c r="E709" s="28" t="n"/>
      <c r="F709" s="28" t="n"/>
      <c r="G709" s="28" t="n"/>
      <c r="H709" s="28" t="n"/>
      <c r="I709" s="28" t="n"/>
      <c r="J709" s="28" t="n"/>
      <c r="K709" s="28" t="n"/>
    </row>
    <row r="710">
      <c r="A710" s="28" t="n"/>
      <c r="B710" s="28" t="n"/>
      <c r="C710" s="28" t="n"/>
      <c r="D710" s="28" t="n"/>
      <c r="E710" s="28" t="n"/>
      <c r="F710" s="28" t="n"/>
      <c r="G710" s="28" t="n"/>
      <c r="H710" s="28" t="n"/>
      <c r="I710" s="28" t="n"/>
      <c r="J710" s="28" t="n"/>
      <c r="K710" s="28" t="n"/>
    </row>
    <row r="711">
      <c r="A711" s="28" t="n"/>
      <c r="B711" s="28" t="n"/>
      <c r="C711" s="28" t="n"/>
      <c r="D711" s="28" t="n"/>
      <c r="E711" s="28" t="n"/>
      <c r="F711" s="28" t="n"/>
      <c r="G711" s="28" t="n"/>
      <c r="H711" s="28" t="n"/>
      <c r="I711" s="28" t="n"/>
      <c r="J711" s="28" t="n"/>
      <c r="K711" s="28" t="n"/>
    </row>
    <row r="712">
      <c r="A712" s="28" t="n"/>
      <c r="B712" s="28" t="n"/>
      <c r="C712" s="28" t="n"/>
      <c r="D712" s="28" t="n"/>
      <c r="E712" s="28" t="n"/>
      <c r="F712" s="28" t="n"/>
      <c r="G712" s="28" t="n"/>
      <c r="H712" s="28" t="n"/>
      <c r="I712" s="28" t="n"/>
      <c r="J712" s="28" t="n"/>
      <c r="K712" s="28" t="n"/>
    </row>
    <row r="713">
      <c r="A713" s="28" t="n"/>
      <c r="B713" s="28" t="n"/>
      <c r="C713" s="28" t="n"/>
      <c r="D713" s="28" t="n"/>
      <c r="E713" s="28" t="n"/>
      <c r="F713" s="28" t="n"/>
      <c r="G713" s="28" t="n"/>
      <c r="H713" s="28" t="n"/>
      <c r="I713" s="28" t="n"/>
      <c r="J713" s="28" t="n"/>
      <c r="K713" s="28" t="n"/>
    </row>
    <row r="714">
      <c r="A714" s="28" t="n"/>
      <c r="B714" s="28" t="n"/>
      <c r="C714" s="28" t="n"/>
      <c r="D714" s="28" t="n"/>
      <c r="E714" s="28" t="n"/>
      <c r="F714" s="28" t="n"/>
      <c r="G714" s="28" t="n"/>
      <c r="H714" s="28" t="n"/>
      <c r="I714" s="28" t="n"/>
      <c r="J714" s="28" t="n"/>
      <c r="K714" s="28" t="n"/>
    </row>
    <row r="715">
      <c r="A715" s="28" t="n"/>
      <c r="B715" s="28" t="n"/>
      <c r="C715" s="28" t="n"/>
      <c r="D715" s="28" t="n"/>
      <c r="E715" s="28" t="n"/>
      <c r="F715" s="28" t="n"/>
      <c r="G715" s="28" t="n"/>
      <c r="H715" s="28" t="n"/>
      <c r="I715" s="28" t="n"/>
      <c r="J715" s="28" t="n"/>
      <c r="K715" s="28" t="n"/>
    </row>
    <row r="716">
      <c r="A716" s="28" t="n"/>
      <c r="B716" s="28" t="n"/>
      <c r="C716" s="28" t="n"/>
      <c r="D716" s="28" t="n"/>
      <c r="E716" s="28" t="n"/>
      <c r="F716" s="28" t="n"/>
      <c r="G716" s="28" t="n"/>
      <c r="H716" s="28" t="n"/>
      <c r="I716" s="28" t="n"/>
      <c r="J716" s="28" t="n"/>
      <c r="K716" s="28" t="n"/>
    </row>
    <row r="717">
      <c r="A717" s="28" t="n"/>
      <c r="B717" s="28" t="n"/>
      <c r="C717" s="28" t="n"/>
      <c r="D717" s="28" t="n"/>
      <c r="E717" s="28" t="n"/>
      <c r="F717" s="28" t="n"/>
      <c r="G717" s="28" t="n"/>
      <c r="H717" s="28" t="n"/>
      <c r="I717" s="28" t="n"/>
      <c r="J717" s="28" t="n"/>
      <c r="K717" s="28" t="n"/>
    </row>
    <row r="718">
      <c r="A718" s="28" t="n"/>
      <c r="B718" s="28" t="n"/>
      <c r="C718" s="28" t="n"/>
      <c r="D718" s="28" t="n"/>
      <c r="E718" s="28" t="n"/>
      <c r="F718" s="28" t="n"/>
      <c r="G718" s="28" t="n"/>
      <c r="H718" s="28" t="n"/>
      <c r="I718" s="28" t="n"/>
      <c r="J718" s="28" t="n"/>
      <c r="K718" s="28" t="n"/>
    </row>
    <row r="719">
      <c r="A719" s="28" t="n"/>
      <c r="B719" s="28" t="n"/>
      <c r="C719" s="28" t="n"/>
      <c r="D719" s="28" t="n"/>
      <c r="E719" s="28" t="n"/>
      <c r="F719" s="28" t="n"/>
      <c r="G719" s="28" t="n"/>
      <c r="H719" s="28" t="n"/>
      <c r="I719" s="28" t="n"/>
      <c r="J719" s="28" t="n"/>
      <c r="K719" s="28" t="n"/>
    </row>
    <row r="720">
      <c r="A720" s="28" t="n"/>
      <c r="B720" s="28" t="n"/>
      <c r="C720" s="28" t="n"/>
      <c r="D720" s="28" t="n"/>
      <c r="E720" s="28" t="n"/>
      <c r="F720" s="28" t="n"/>
      <c r="G720" s="28" t="n"/>
      <c r="H720" s="28" t="n"/>
      <c r="I720" s="28" t="n"/>
      <c r="J720" s="28" t="n"/>
      <c r="K720" s="28" t="n"/>
    </row>
    <row r="721">
      <c r="A721" s="28" t="n"/>
      <c r="B721" s="28" t="n"/>
      <c r="C721" s="28" t="n"/>
      <c r="D721" s="28" t="n"/>
      <c r="E721" s="28" t="n"/>
      <c r="F721" s="28" t="n"/>
      <c r="G721" s="28" t="n"/>
      <c r="H721" s="28" t="n"/>
      <c r="I721" s="28" t="n"/>
      <c r="J721" s="28" t="n"/>
      <c r="K721" s="28" t="n"/>
    </row>
    <row r="722">
      <c r="A722" s="28" t="n"/>
      <c r="B722" s="28" t="n"/>
      <c r="C722" s="28" t="n"/>
      <c r="D722" s="28" t="n"/>
      <c r="E722" s="28" t="n"/>
      <c r="F722" s="28" t="n"/>
      <c r="G722" s="28" t="n"/>
      <c r="H722" s="28" t="n"/>
      <c r="I722" s="28" t="n"/>
      <c r="J722" s="28" t="n"/>
      <c r="K722" s="28" t="n"/>
    </row>
    <row r="723">
      <c r="A723" s="28" t="n"/>
      <c r="B723" s="28" t="n"/>
      <c r="C723" s="28" t="n"/>
      <c r="D723" s="28" t="n"/>
      <c r="E723" s="28" t="n"/>
      <c r="F723" s="28" t="n"/>
      <c r="G723" s="28" t="n"/>
      <c r="H723" s="28" t="n"/>
      <c r="I723" s="28" t="n"/>
      <c r="J723" s="28" t="n"/>
      <c r="K723" s="28" t="n"/>
    </row>
    <row r="724">
      <c r="A724" s="28" t="n"/>
      <c r="B724" s="28" t="n"/>
      <c r="C724" s="28" t="n"/>
      <c r="D724" s="28" t="n"/>
      <c r="E724" s="28" t="n"/>
      <c r="F724" s="28" t="n"/>
      <c r="G724" s="28" t="n"/>
      <c r="H724" s="28" t="n"/>
      <c r="I724" s="28" t="n"/>
      <c r="J724" s="28" t="n"/>
      <c r="K724" s="28" t="n"/>
    </row>
    <row r="725">
      <c r="A725" s="28" t="n"/>
      <c r="B725" s="28" t="n"/>
      <c r="C725" s="28" t="n"/>
      <c r="D725" s="28" t="n"/>
      <c r="E725" s="28" t="n"/>
      <c r="F725" s="28" t="n"/>
      <c r="G725" s="28" t="n"/>
      <c r="H725" s="28" t="n"/>
      <c r="I725" s="28" t="n"/>
      <c r="J725" s="28" t="n"/>
      <c r="K725" s="28" t="n"/>
    </row>
    <row r="726">
      <c r="A726" s="28" t="n"/>
      <c r="B726" s="28" t="n"/>
      <c r="C726" s="28" t="n"/>
      <c r="D726" s="28" t="n"/>
      <c r="E726" s="28" t="n"/>
      <c r="F726" s="28" t="n"/>
      <c r="G726" s="28" t="n"/>
      <c r="H726" s="28" t="n"/>
      <c r="I726" s="28" t="n"/>
      <c r="J726" s="28" t="n"/>
      <c r="K726" s="28" t="n"/>
    </row>
    <row r="727">
      <c r="A727" s="28" t="n"/>
      <c r="B727" s="28" t="n"/>
      <c r="C727" s="28" t="n"/>
      <c r="D727" s="28" t="n"/>
      <c r="E727" s="28" t="n"/>
      <c r="F727" s="28" t="n"/>
      <c r="G727" s="28" t="n"/>
      <c r="H727" s="28" t="n"/>
      <c r="I727" s="28" t="n"/>
      <c r="J727" s="28" t="n"/>
      <c r="K727" s="28" t="n"/>
    </row>
    <row r="728">
      <c r="A728" s="28" t="n"/>
      <c r="B728" s="28" t="n"/>
      <c r="C728" s="28" t="n"/>
      <c r="D728" s="28" t="n"/>
      <c r="E728" s="28" t="n"/>
      <c r="F728" s="28" t="n"/>
      <c r="G728" s="28" t="n"/>
      <c r="H728" s="28" t="n"/>
      <c r="I728" s="28" t="n"/>
      <c r="J728" s="28" t="n"/>
      <c r="K728" s="28" t="n"/>
    </row>
    <row r="729">
      <c r="A729" s="28" t="n"/>
      <c r="B729" s="28" t="n"/>
      <c r="C729" s="28" t="n"/>
      <c r="D729" s="28" t="n"/>
      <c r="E729" s="28" t="n"/>
      <c r="F729" s="28" t="n"/>
      <c r="G729" s="28" t="n"/>
      <c r="H729" s="28" t="n"/>
      <c r="I729" s="28" t="n"/>
      <c r="J729" s="28" t="n"/>
      <c r="K729" s="28" t="n"/>
    </row>
    <row r="730">
      <c r="A730" s="28" t="n"/>
      <c r="B730" s="28" t="n"/>
      <c r="C730" s="28" t="n"/>
      <c r="D730" s="28" t="n"/>
      <c r="E730" s="28" t="n"/>
      <c r="F730" s="28" t="n"/>
      <c r="G730" s="28" t="n"/>
      <c r="H730" s="28" t="n"/>
      <c r="I730" s="28" t="n"/>
      <c r="J730" s="28" t="n"/>
      <c r="K730" s="28" t="n"/>
    </row>
    <row r="731">
      <c r="A731" s="28" t="n"/>
      <c r="B731" s="28" t="n"/>
      <c r="C731" s="28" t="n"/>
      <c r="D731" s="28" t="n"/>
      <c r="E731" s="28" t="n"/>
      <c r="F731" s="28" t="n"/>
      <c r="G731" s="28" t="n"/>
      <c r="H731" s="28" t="n"/>
      <c r="I731" s="28" t="n"/>
      <c r="J731" s="28" t="n"/>
      <c r="K731" s="28" t="n"/>
    </row>
    <row r="732">
      <c r="A732" s="28" t="n"/>
      <c r="B732" s="28" t="n"/>
      <c r="C732" s="28" t="n"/>
      <c r="D732" s="28" t="n"/>
      <c r="E732" s="28" t="n"/>
      <c r="F732" s="28" t="n"/>
      <c r="G732" s="28" t="n"/>
      <c r="H732" s="28" t="n"/>
      <c r="I732" s="28" t="n"/>
      <c r="J732" s="28" t="n"/>
      <c r="K732" s="28" t="n"/>
    </row>
    <row r="733">
      <c r="A733" s="28" t="n"/>
      <c r="B733" s="28" t="n"/>
      <c r="C733" s="28" t="n"/>
      <c r="D733" s="28" t="n"/>
      <c r="E733" s="28" t="n"/>
      <c r="F733" s="28" t="n"/>
      <c r="G733" s="28" t="n"/>
      <c r="H733" s="28" t="n"/>
      <c r="I733" s="28" t="n"/>
      <c r="J733" s="28" t="n"/>
      <c r="K733" s="28" t="n"/>
    </row>
    <row r="734">
      <c r="A734" s="28" t="n"/>
      <c r="B734" s="28" t="n"/>
      <c r="C734" s="28" t="n"/>
      <c r="D734" s="28" t="n"/>
      <c r="E734" s="28" t="n"/>
      <c r="F734" s="28" t="n"/>
      <c r="G734" s="28" t="n"/>
      <c r="H734" s="28" t="n"/>
      <c r="I734" s="28" t="n"/>
      <c r="J734" s="28" t="n"/>
      <c r="K734" s="28" t="n"/>
    </row>
    <row r="735">
      <c r="A735" s="28" t="n"/>
      <c r="B735" s="28" t="n"/>
      <c r="C735" s="28" t="n"/>
      <c r="D735" s="28" t="n"/>
      <c r="E735" s="28" t="n"/>
      <c r="F735" s="28" t="n"/>
      <c r="G735" s="28" t="n"/>
      <c r="H735" s="28" t="n"/>
      <c r="I735" s="28" t="n"/>
      <c r="J735" s="28" t="n"/>
      <c r="K735" s="28" t="n"/>
    </row>
    <row r="736">
      <c r="A736" s="28" t="n"/>
      <c r="B736" s="28" t="n"/>
      <c r="C736" s="28" t="n"/>
      <c r="D736" s="28" t="n"/>
      <c r="E736" s="28" t="n"/>
      <c r="F736" s="28" t="n"/>
      <c r="G736" s="28" t="n"/>
      <c r="H736" s="28" t="n"/>
      <c r="I736" s="28" t="n"/>
      <c r="J736" s="28" t="n"/>
      <c r="K736" s="28" t="n"/>
    </row>
    <row r="737">
      <c r="A737" s="28" t="n"/>
      <c r="B737" s="28" t="n"/>
      <c r="C737" s="28" t="n"/>
      <c r="D737" s="28" t="n"/>
      <c r="E737" s="28" t="n"/>
      <c r="F737" s="28" t="n"/>
      <c r="G737" s="28" t="n"/>
      <c r="H737" s="28" t="n"/>
      <c r="I737" s="28" t="n"/>
      <c r="J737" s="28" t="n"/>
      <c r="K737" s="28" t="n"/>
    </row>
    <row r="738">
      <c r="A738" s="28" t="n"/>
      <c r="B738" s="28" t="n"/>
      <c r="C738" s="28" t="n"/>
      <c r="D738" s="28" t="n"/>
      <c r="E738" s="28" t="n"/>
      <c r="F738" s="28" t="n"/>
      <c r="G738" s="28" t="n"/>
      <c r="H738" s="28" t="n"/>
      <c r="I738" s="28" t="n"/>
      <c r="J738" s="28" t="n"/>
      <c r="K738" s="28" t="n"/>
    </row>
    <row r="739">
      <c r="A739" s="28" t="n"/>
      <c r="B739" s="28" t="n"/>
      <c r="C739" s="28" t="n"/>
      <c r="D739" s="28" t="n"/>
      <c r="E739" s="28" t="n"/>
      <c r="F739" s="28" t="n"/>
      <c r="G739" s="28" t="n"/>
      <c r="H739" s="28" t="n"/>
      <c r="I739" s="28" t="n"/>
      <c r="J739" s="28" t="n"/>
      <c r="K739" s="28" t="n"/>
    </row>
    <row r="740">
      <c r="A740" s="28" t="n"/>
      <c r="B740" s="28" t="n"/>
      <c r="C740" s="28" t="n"/>
      <c r="D740" s="28" t="n"/>
      <c r="E740" s="28" t="n"/>
      <c r="F740" s="28" t="n"/>
      <c r="G740" s="28" t="n"/>
      <c r="H740" s="28" t="n"/>
      <c r="I740" s="28" t="n"/>
      <c r="J740" s="28" t="n"/>
      <c r="K740" s="28" t="n"/>
    </row>
    <row r="741">
      <c r="A741" s="28" t="n"/>
      <c r="B741" s="28" t="n"/>
      <c r="C741" s="28" t="n"/>
      <c r="D741" s="28" t="n"/>
      <c r="E741" s="28" t="n"/>
      <c r="F741" s="28" t="n"/>
      <c r="G741" s="28" t="n"/>
      <c r="H741" s="28" t="n"/>
      <c r="I741" s="28" t="n"/>
      <c r="J741" s="28" t="n"/>
      <c r="K741" s="28" t="n"/>
    </row>
    <row r="742">
      <c r="A742" s="28" t="n"/>
      <c r="B742" s="28" t="n"/>
      <c r="C742" s="28" t="n"/>
      <c r="D742" s="28" t="n"/>
      <c r="E742" s="28" t="n"/>
      <c r="F742" s="28" t="n"/>
      <c r="G742" s="28" t="n"/>
      <c r="H742" s="28" t="n"/>
      <c r="I742" s="28" t="n"/>
      <c r="J742" s="28" t="n"/>
      <c r="K742" s="28" t="n"/>
    </row>
    <row r="743">
      <c r="A743" s="28" t="n"/>
      <c r="B743" s="28" t="n"/>
      <c r="C743" s="28" t="n"/>
      <c r="D743" s="28" t="n"/>
      <c r="E743" s="28" t="n"/>
      <c r="F743" s="28" t="n"/>
      <c r="G743" s="28" t="n"/>
      <c r="H743" s="28" t="n"/>
      <c r="I743" s="28" t="n"/>
      <c r="J743" s="28" t="n"/>
      <c r="K743" s="28" t="n"/>
    </row>
    <row r="744">
      <c r="A744" s="28" t="n"/>
      <c r="B744" s="28" t="n"/>
      <c r="C744" s="28" t="n"/>
      <c r="D744" s="28" t="n"/>
      <c r="E744" s="28" t="n"/>
      <c r="F744" s="28" t="n"/>
      <c r="G744" s="28" t="n"/>
      <c r="H744" s="28" t="n"/>
      <c r="I744" s="28" t="n"/>
      <c r="J744" s="28" t="n"/>
      <c r="K744" s="28" t="n"/>
    </row>
    <row r="745">
      <c r="A745" s="28" t="n"/>
      <c r="B745" s="28" t="n"/>
      <c r="C745" s="28" t="n"/>
      <c r="D745" s="28" t="n"/>
      <c r="E745" s="28" t="n"/>
      <c r="F745" s="28" t="n"/>
      <c r="G745" s="28" t="n"/>
      <c r="H745" s="28" t="n"/>
      <c r="I745" s="28" t="n"/>
      <c r="J745" s="28" t="n"/>
      <c r="K745" s="28" t="n"/>
    </row>
    <row r="746">
      <c r="A746" s="28" t="n"/>
      <c r="B746" s="28" t="n"/>
      <c r="C746" s="28" t="n"/>
      <c r="D746" s="28" t="n"/>
      <c r="E746" s="28" t="n"/>
      <c r="F746" s="28" t="n"/>
      <c r="G746" s="28" t="n"/>
      <c r="H746" s="28" t="n"/>
      <c r="I746" s="28" t="n"/>
      <c r="J746" s="28" t="n"/>
      <c r="K746" s="28" t="n"/>
    </row>
    <row r="747">
      <c r="A747" s="28" t="n"/>
      <c r="B747" s="28" t="n"/>
      <c r="C747" s="28" t="n"/>
      <c r="D747" s="28" t="n"/>
      <c r="E747" s="28" t="n"/>
      <c r="F747" s="28" t="n"/>
      <c r="G747" s="28" t="n"/>
      <c r="H747" s="28" t="n"/>
      <c r="I747" s="28" t="n"/>
      <c r="J747" s="28" t="n"/>
      <c r="K747" s="28" t="n"/>
    </row>
    <row r="748">
      <c r="A748" s="28" t="n"/>
      <c r="B748" s="28" t="n"/>
      <c r="C748" s="28" t="n"/>
      <c r="D748" s="28" t="n"/>
      <c r="E748" s="28" t="n"/>
      <c r="F748" s="28" t="n"/>
      <c r="G748" s="28" t="n"/>
      <c r="H748" s="28" t="n"/>
      <c r="I748" s="28" t="n"/>
      <c r="J748" s="28" t="n"/>
      <c r="K748" s="28" t="n"/>
    </row>
    <row r="749">
      <c r="A749" s="28" t="n"/>
      <c r="B749" s="28" t="n"/>
      <c r="C749" s="28" t="n"/>
      <c r="D749" s="28" t="n"/>
      <c r="E749" s="28" t="n"/>
      <c r="F749" s="28" t="n"/>
      <c r="G749" s="28" t="n"/>
      <c r="H749" s="28" t="n"/>
      <c r="I749" s="28" t="n"/>
      <c r="J749" s="28" t="n"/>
      <c r="K749" s="28" t="n"/>
    </row>
    <row r="750">
      <c r="A750" s="28" t="n"/>
      <c r="B750" s="28" t="n"/>
      <c r="C750" s="28" t="n"/>
      <c r="D750" s="28" t="n"/>
      <c r="E750" s="28" t="n"/>
      <c r="F750" s="28" t="n"/>
      <c r="G750" s="28" t="n"/>
      <c r="H750" s="28" t="n"/>
      <c r="I750" s="28" t="n"/>
      <c r="J750" s="28" t="n"/>
      <c r="K750" s="28" t="n"/>
    </row>
    <row r="751">
      <c r="A751" s="28" t="n"/>
      <c r="B751" s="28" t="n"/>
      <c r="C751" s="28" t="n"/>
      <c r="D751" s="28" t="n"/>
      <c r="E751" s="28" t="n"/>
      <c r="F751" s="28" t="n"/>
      <c r="G751" s="28" t="n"/>
      <c r="H751" s="28" t="n"/>
      <c r="I751" s="28" t="n"/>
      <c r="J751" s="28" t="n"/>
      <c r="K751" s="28" t="n"/>
    </row>
    <row r="752">
      <c r="A752" s="28" t="n"/>
      <c r="B752" s="28" t="n"/>
      <c r="C752" s="28" t="n"/>
      <c r="D752" s="28" t="n"/>
      <c r="E752" s="28" t="n"/>
      <c r="F752" s="28" t="n"/>
      <c r="G752" s="28" t="n"/>
      <c r="H752" s="28" t="n"/>
      <c r="I752" s="28" t="n"/>
      <c r="J752" s="28" t="n"/>
      <c r="K752" s="28" t="n"/>
    </row>
    <row r="753">
      <c r="A753" s="28" t="n"/>
      <c r="B753" s="28" t="n"/>
      <c r="C753" s="28" t="n"/>
      <c r="D753" s="28" t="n"/>
      <c r="E753" s="28" t="n"/>
      <c r="F753" s="28" t="n"/>
      <c r="G753" s="28" t="n"/>
      <c r="H753" s="28" t="n"/>
      <c r="I753" s="28" t="n"/>
      <c r="J753" s="28" t="n"/>
      <c r="K753" s="28" t="n"/>
    </row>
    <row r="754">
      <c r="A754" s="28" t="n"/>
      <c r="B754" s="28" t="n"/>
      <c r="C754" s="28" t="n"/>
      <c r="D754" s="28" t="n"/>
      <c r="E754" s="28" t="n"/>
      <c r="F754" s="28" t="n"/>
      <c r="G754" s="28" t="n"/>
      <c r="H754" s="28" t="n"/>
      <c r="I754" s="28" t="n"/>
      <c r="J754" s="28" t="n"/>
      <c r="K754" s="28" t="n"/>
    </row>
    <row r="755">
      <c r="A755" s="28" t="n"/>
      <c r="B755" s="28" t="n"/>
      <c r="C755" s="28" t="n"/>
      <c r="D755" s="28" t="n"/>
      <c r="E755" s="28" t="n"/>
      <c r="F755" s="28" t="n"/>
      <c r="G755" s="28" t="n"/>
      <c r="H755" s="28" t="n"/>
      <c r="I755" s="28" t="n"/>
      <c r="J755" s="28" t="n"/>
      <c r="K755" s="28" t="n"/>
    </row>
    <row r="756">
      <c r="A756" s="28" t="n"/>
      <c r="B756" s="28" t="n"/>
      <c r="C756" s="28" t="n"/>
      <c r="D756" s="28" t="n"/>
      <c r="E756" s="28" t="n"/>
      <c r="F756" s="28" t="n"/>
      <c r="G756" s="28" t="n"/>
      <c r="H756" s="28" t="n"/>
      <c r="I756" s="28" t="n"/>
      <c r="J756" s="28" t="n"/>
      <c r="K756" s="28" t="n"/>
    </row>
    <row r="757">
      <c r="A757" s="28" t="n"/>
      <c r="B757" s="28" t="n"/>
      <c r="C757" s="28" t="n"/>
      <c r="D757" s="28" t="n"/>
      <c r="E757" s="28" t="n"/>
      <c r="F757" s="28" t="n"/>
      <c r="G757" s="28" t="n"/>
      <c r="H757" s="28" t="n"/>
      <c r="I757" s="28" t="n"/>
      <c r="J757" s="28" t="n"/>
      <c r="K757" s="28" t="n"/>
    </row>
    <row r="758">
      <c r="A758" s="28" t="n"/>
      <c r="B758" s="28" t="n"/>
      <c r="C758" s="28" t="n"/>
      <c r="D758" s="28" t="n"/>
      <c r="E758" s="28" t="n"/>
      <c r="F758" s="28" t="n"/>
      <c r="G758" s="28" t="n"/>
      <c r="H758" s="28" t="n"/>
      <c r="I758" s="28" t="n"/>
      <c r="J758" s="28" t="n"/>
      <c r="K758" s="28" t="n"/>
    </row>
    <row r="759">
      <c r="A759" s="28" t="n"/>
      <c r="B759" s="28" t="n"/>
      <c r="C759" s="28" t="n"/>
      <c r="D759" s="28" t="n"/>
      <c r="E759" s="28" t="n"/>
      <c r="F759" s="28" t="n"/>
      <c r="G759" s="28" t="n"/>
      <c r="H759" s="28" t="n"/>
      <c r="I759" s="28" t="n"/>
      <c r="J759" s="28" t="n"/>
      <c r="K759" s="28" t="n"/>
    </row>
    <row r="760">
      <c r="A760" s="28" t="n"/>
      <c r="B760" s="28" t="n"/>
      <c r="C760" s="28" t="n"/>
      <c r="D760" s="28" t="n"/>
      <c r="E760" s="28" t="n"/>
      <c r="F760" s="28" t="n"/>
      <c r="G760" s="28" t="n"/>
      <c r="H760" s="28" t="n"/>
      <c r="I760" s="28" t="n"/>
      <c r="J760" s="28" t="n"/>
      <c r="K760" s="28" t="n"/>
    </row>
    <row r="761">
      <c r="A761" s="28" t="n"/>
      <c r="B761" s="28" t="n"/>
      <c r="C761" s="28" t="n"/>
      <c r="D761" s="28" t="n"/>
      <c r="E761" s="28" t="n"/>
      <c r="F761" s="28" t="n"/>
      <c r="G761" s="28" t="n"/>
      <c r="H761" s="28" t="n"/>
      <c r="I761" s="28" t="n"/>
      <c r="J761" s="28" t="n"/>
      <c r="K761" s="28" t="n"/>
    </row>
    <row r="762">
      <c r="A762" s="28" t="n"/>
      <c r="B762" s="28" t="n"/>
      <c r="C762" s="28" t="n"/>
      <c r="D762" s="28" t="n"/>
      <c r="E762" s="28" t="n"/>
      <c r="F762" s="28" t="n"/>
      <c r="G762" s="28" t="n"/>
      <c r="H762" s="28" t="n"/>
      <c r="I762" s="28" t="n"/>
      <c r="J762" s="28" t="n"/>
      <c r="K762" s="28" t="n"/>
    </row>
    <row r="763">
      <c r="A763" s="28" t="n"/>
      <c r="B763" s="28" t="n"/>
      <c r="C763" s="28" t="n"/>
      <c r="D763" s="28" t="n"/>
      <c r="E763" s="28" t="n"/>
      <c r="F763" s="28" t="n"/>
      <c r="G763" s="28" t="n"/>
      <c r="H763" s="28" t="n"/>
      <c r="I763" s="28" t="n"/>
      <c r="J763" s="28" t="n"/>
      <c r="K763" s="28" t="n"/>
    </row>
    <row r="764">
      <c r="A764" s="28" t="n"/>
      <c r="B764" s="28" t="n"/>
      <c r="C764" s="28" t="n"/>
      <c r="D764" s="28" t="n"/>
      <c r="E764" s="28" t="n"/>
      <c r="F764" s="28" t="n"/>
      <c r="G764" s="28" t="n"/>
      <c r="H764" s="28" t="n"/>
      <c r="I764" s="28" t="n"/>
      <c r="J764" s="28" t="n"/>
      <c r="K764" s="28" t="n"/>
    </row>
    <row r="765">
      <c r="A765" s="28" t="n"/>
      <c r="B765" s="28" t="n"/>
      <c r="C765" s="28" t="n"/>
      <c r="D765" s="28" t="n"/>
      <c r="E765" s="28" t="n"/>
      <c r="F765" s="28" t="n"/>
      <c r="G765" s="28" t="n"/>
      <c r="H765" s="28" t="n"/>
      <c r="I765" s="28" t="n"/>
      <c r="J765" s="28" t="n"/>
      <c r="K765" s="28" t="n"/>
    </row>
    <row r="766">
      <c r="A766" s="28" t="n"/>
      <c r="B766" s="28" t="n"/>
      <c r="C766" s="28" t="n"/>
      <c r="D766" s="28" t="n"/>
      <c r="E766" s="28" t="n"/>
      <c r="F766" s="28" t="n"/>
      <c r="G766" s="28" t="n"/>
      <c r="H766" s="28" t="n"/>
      <c r="I766" s="28" t="n"/>
      <c r="J766" s="28" t="n"/>
      <c r="K766" s="28" t="n"/>
    </row>
    <row r="767">
      <c r="A767" s="28" t="n"/>
      <c r="B767" s="28" t="n"/>
      <c r="C767" s="28" t="n"/>
      <c r="D767" s="28" t="n"/>
      <c r="E767" s="28" t="n"/>
      <c r="F767" s="28" t="n"/>
      <c r="G767" s="28" t="n"/>
      <c r="H767" s="28" t="n"/>
      <c r="I767" s="28" t="n"/>
      <c r="J767" s="28" t="n"/>
      <c r="K767" s="28" t="n"/>
    </row>
    <row r="768">
      <c r="A768" s="28" t="n"/>
      <c r="B768" s="28" t="n"/>
      <c r="C768" s="28" t="n"/>
      <c r="D768" s="28" t="n"/>
      <c r="E768" s="28" t="n"/>
      <c r="F768" s="28" t="n"/>
      <c r="G768" s="28" t="n"/>
      <c r="H768" s="28" t="n"/>
      <c r="I768" s="28" t="n"/>
      <c r="J768" s="28" t="n"/>
      <c r="K768" s="28" t="n"/>
    </row>
    <row r="769">
      <c r="A769" s="28" t="n"/>
      <c r="B769" s="28" t="n"/>
      <c r="C769" s="28" t="n"/>
      <c r="D769" s="28" t="n"/>
      <c r="E769" s="28" t="n"/>
      <c r="F769" s="28" t="n"/>
      <c r="G769" s="28" t="n"/>
      <c r="H769" s="28" t="n"/>
      <c r="I769" s="28" t="n"/>
      <c r="J769" s="28" t="n"/>
      <c r="K769" s="28" t="n"/>
    </row>
    <row r="770">
      <c r="A770" s="28" t="n"/>
      <c r="B770" s="28" t="n"/>
      <c r="C770" s="28" t="n"/>
      <c r="D770" s="28" t="n"/>
      <c r="E770" s="28" t="n"/>
      <c r="F770" s="28" t="n"/>
      <c r="G770" s="28" t="n"/>
      <c r="H770" s="28" t="n"/>
      <c r="I770" s="28" t="n"/>
      <c r="J770" s="28" t="n"/>
      <c r="K770" s="28" t="n"/>
    </row>
    <row r="771">
      <c r="A771" s="28" t="n"/>
      <c r="B771" s="28" t="n"/>
      <c r="C771" s="28" t="n"/>
      <c r="D771" s="28" t="n"/>
      <c r="E771" s="28" t="n"/>
      <c r="F771" s="28" t="n"/>
      <c r="G771" s="28" t="n"/>
      <c r="H771" s="28" t="n"/>
      <c r="I771" s="28" t="n"/>
      <c r="J771" s="28" t="n"/>
      <c r="K771" s="28" t="n"/>
    </row>
    <row r="772">
      <c r="A772" s="28" t="n"/>
      <c r="B772" s="28" t="n"/>
      <c r="C772" s="28" t="n"/>
      <c r="D772" s="28" t="n"/>
      <c r="E772" s="28" t="n"/>
      <c r="F772" s="28" t="n"/>
      <c r="G772" s="28" t="n"/>
      <c r="H772" s="28" t="n"/>
      <c r="I772" s="28" t="n"/>
      <c r="J772" s="28" t="n"/>
      <c r="K772" s="28" t="n"/>
    </row>
    <row r="773">
      <c r="A773" s="28" t="n"/>
      <c r="B773" s="28" t="n"/>
      <c r="C773" s="28" t="n"/>
      <c r="D773" s="28" t="n"/>
      <c r="E773" s="28" t="n"/>
      <c r="F773" s="28" t="n"/>
      <c r="G773" s="28" t="n"/>
      <c r="H773" s="28" t="n"/>
      <c r="I773" s="28" t="n"/>
      <c r="J773" s="28" t="n"/>
      <c r="K773" s="28" t="n"/>
    </row>
    <row r="774">
      <c r="A774" s="28" t="n"/>
      <c r="B774" s="28" t="n"/>
      <c r="C774" s="28" t="n"/>
      <c r="D774" s="28" t="n"/>
      <c r="E774" s="28" t="n"/>
      <c r="F774" s="28" t="n"/>
      <c r="G774" s="28" t="n"/>
      <c r="H774" s="28" t="n"/>
      <c r="I774" s="28" t="n"/>
      <c r="J774" s="28" t="n"/>
      <c r="K774" s="28" t="n"/>
    </row>
    <row r="775">
      <c r="A775" s="28" t="n"/>
      <c r="B775" s="28" t="n"/>
      <c r="C775" s="28" t="n"/>
      <c r="D775" s="28" t="n"/>
      <c r="E775" s="28" t="n"/>
      <c r="F775" s="28" t="n"/>
      <c r="G775" s="28" t="n"/>
      <c r="H775" s="28" t="n"/>
      <c r="I775" s="28" t="n"/>
      <c r="J775" s="28" t="n"/>
      <c r="K775" s="28" t="n"/>
    </row>
    <row r="776">
      <c r="A776" s="28" t="n"/>
      <c r="B776" s="28" t="n"/>
      <c r="C776" s="28" t="n"/>
      <c r="D776" s="28" t="n"/>
      <c r="E776" s="28" t="n"/>
      <c r="F776" s="28" t="n"/>
      <c r="G776" s="28" t="n"/>
      <c r="H776" s="28" t="n"/>
      <c r="I776" s="28" t="n"/>
      <c r="J776" s="28" t="n"/>
      <c r="K776" s="28" t="n"/>
    </row>
    <row r="777">
      <c r="A777" s="28" t="n"/>
      <c r="B777" s="28" t="n"/>
      <c r="C777" s="28" t="n"/>
      <c r="D777" s="28" t="n"/>
      <c r="E777" s="28" t="n"/>
      <c r="F777" s="28" t="n"/>
      <c r="G777" s="28" t="n"/>
      <c r="H777" s="28" t="n"/>
      <c r="I777" s="28" t="n"/>
      <c r="J777" s="28" t="n"/>
      <c r="K777" s="28" t="n"/>
    </row>
    <row r="778">
      <c r="A778" s="28" t="n"/>
      <c r="B778" s="28" t="n"/>
      <c r="C778" s="28" t="n"/>
      <c r="D778" s="28" t="n"/>
      <c r="E778" s="28" t="n"/>
      <c r="F778" s="28" t="n"/>
      <c r="G778" s="28" t="n"/>
      <c r="H778" s="28" t="n"/>
      <c r="I778" s="28" t="n"/>
      <c r="J778" s="28" t="n"/>
      <c r="K778" s="28" t="n"/>
    </row>
    <row r="779">
      <c r="A779" s="28" t="n"/>
      <c r="B779" s="28" t="n"/>
      <c r="C779" s="28" t="n"/>
      <c r="D779" s="28" t="n"/>
      <c r="E779" s="28" t="n"/>
      <c r="F779" s="28" t="n"/>
      <c r="G779" s="28" t="n"/>
      <c r="H779" s="28" t="n"/>
      <c r="I779" s="28" t="n"/>
      <c r="J779" s="28" t="n"/>
      <c r="K779" s="28" t="n"/>
    </row>
    <row r="780">
      <c r="A780" s="28" t="n"/>
      <c r="B780" s="28" t="n"/>
      <c r="C780" s="28" t="n"/>
      <c r="D780" s="28" t="n"/>
      <c r="E780" s="28" t="n"/>
      <c r="F780" s="28" t="n"/>
      <c r="G780" s="28" t="n"/>
      <c r="H780" s="28" t="n"/>
      <c r="I780" s="28" t="n"/>
      <c r="J780" s="28" t="n"/>
      <c r="K780" s="28" t="n"/>
    </row>
    <row r="781">
      <c r="A781" s="28" t="n"/>
      <c r="B781" s="28" t="n"/>
      <c r="C781" s="28" t="n"/>
      <c r="D781" s="28" t="n"/>
      <c r="E781" s="28" t="n"/>
      <c r="F781" s="28" t="n"/>
      <c r="G781" s="28" t="n"/>
      <c r="H781" s="28" t="n"/>
      <c r="I781" s="28" t="n"/>
      <c r="J781" s="28" t="n"/>
      <c r="K781" s="28" t="n"/>
    </row>
    <row r="782">
      <c r="A782" s="28" t="n"/>
      <c r="B782" s="28" t="n"/>
      <c r="C782" s="28" t="n"/>
      <c r="D782" s="28" t="n"/>
      <c r="E782" s="28" t="n"/>
      <c r="F782" s="28" t="n"/>
      <c r="G782" s="28" t="n"/>
      <c r="H782" s="28" t="n"/>
      <c r="I782" s="28" t="n"/>
      <c r="J782" s="28" t="n"/>
      <c r="K782" s="28" t="n"/>
    </row>
    <row r="783">
      <c r="A783" s="28" t="n"/>
      <c r="B783" s="28" t="n"/>
      <c r="C783" s="28" t="n"/>
      <c r="D783" s="28" t="n"/>
      <c r="E783" s="28" t="n"/>
      <c r="F783" s="28" t="n"/>
      <c r="G783" s="28" t="n"/>
      <c r="H783" s="28" t="n"/>
      <c r="I783" s="28" t="n"/>
      <c r="J783" s="28" t="n"/>
      <c r="K783" s="28" t="n"/>
    </row>
    <row r="784">
      <c r="A784" s="28" t="n"/>
      <c r="B784" s="28" t="n"/>
      <c r="C784" s="28" t="n"/>
      <c r="D784" s="28" t="n"/>
      <c r="E784" s="28" t="n"/>
      <c r="F784" s="28" t="n"/>
      <c r="G784" s="28" t="n"/>
      <c r="H784" s="28" t="n"/>
      <c r="I784" s="28" t="n"/>
      <c r="J784" s="28" t="n"/>
      <c r="K784" s="28" t="n"/>
    </row>
    <row r="785">
      <c r="A785" s="28" t="n"/>
      <c r="B785" s="28" t="n"/>
      <c r="C785" s="28" t="n"/>
      <c r="D785" s="28" t="n"/>
      <c r="E785" s="28" t="n"/>
      <c r="F785" s="28" t="n"/>
      <c r="G785" s="28" t="n"/>
      <c r="H785" s="28" t="n"/>
      <c r="I785" s="28" t="n"/>
      <c r="J785" s="28" t="n"/>
      <c r="K785" s="28" t="n"/>
    </row>
    <row r="786">
      <c r="A786" s="28" t="n"/>
      <c r="B786" s="28" t="n"/>
      <c r="C786" s="28" t="n"/>
      <c r="D786" s="28" t="n"/>
      <c r="E786" s="28" t="n"/>
      <c r="F786" s="28" t="n"/>
      <c r="G786" s="28" t="n"/>
      <c r="H786" s="28" t="n"/>
      <c r="I786" s="28" t="n"/>
      <c r="J786" s="28" t="n"/>
      <c r="K786" s="28" t="n"/>
    </row>
    <row r="787">
      <c r="A787" s="28" t="n"/>
      <c r="B787" s="28" t="n"/>
      <c r="C787" s="28" t="n"/>
      <c r="D787" s="28" t="n"/>
      <c r="E787" s="28" t="n"/>
      <c r="F787" s="28" t="n"/>
      <c r="G787" s="28" t="n"/>
      <c r="H787" s="28" t="n"/>
      <c r="I787" s="28" t="n"/>
      <c r="J787" s="28" t="n"/>
      <c r="K787" s="28" t="n"/>
    </row>
    <row r="788">
      <c r="A788" s="28" t="n"/>
      <c r="B788" s="28" t="n"/>
      <c r="C788" s="28" t="n"/>
      <c r="D788" s="28" t="n"/>
      <c r="E788" s="28" t="n"/>
      <c r="F788" s="28" t="n"/>
      <c r="G788" s="28" t="n"/>
      <c r="H788" s="28" t="n"/>
      <c r="I788" s="28" t="n"/>
      <c r="J788" s="28" t="n"/>
      <c r="K788" s="28" t="n"/>
    </row>
    <row r="789">
      <c r="A789" s="28" t="n"/>
      <c r="B789" s="28" t="n"/>
      <c r="C789" s="28" t="n"/>
      <c r="D789" s="28" t="n"/>
      <c r="E789" s="28" t="n"/>
      <c r="F789" s="28" t="n"/>
      <c r="G789" s="28" t="n"/>
      <c r="H789" s="28" t="n"/>
      <c r="I789" s="28" t="n"/>
      <c r="J789" s="28" t="n"/>
      <c r="K789" s="28" t="n"/>
    </row>
    <row r="790">
      <c r="A790" s="28" t="n"/>
      <c r="B790" s="28" t="n"/>
      <c r="C790" s="28" t="n"/>
      <c r="D790" s="28" t="n"/>
      <c r="E790" s="28" t="n"/>
      <c r="F790" s="28" t="n"/>
      <c r="G790" s="28" t="n"/>
      <c r="H790" s="28" t="n"/>
      <c r="I790" s="28" t="n"/>
      <c r="J790" s="28" t="n"/>
      <c r="K790" s="28" t="n"/>
    </row>
    <row r="791">
      <c r="A791" s="28" t="n"/>
      <c r="B791" s="28" t="n"/>
      <c r="C791" s="28" t="n"/>
      <c r="D791" s="28" t="n"/>
      <c r="E791" s="28" t="n"/>
      <c r="F791" s="28" t="n"/>
      <c r="G791" s="28" t="n"/>
      <c r="H791" s="28" t="n"/>
      <c r="I791" s="28" t="n"/>
      <c r="J791" s="28" t="n"/>
      <c r="K791" s="28" t="n"/>
    </row>
    <row r="792">
      <c r="A792" s="28" t="n"/>
      <c r="B792" s="28" t="n"/>
      <c r="C792" s="28" t="n"/>
      <c r="D792" s="28" t="n"/>
      <c r="E792" s="28" t="n"/>
      <c r="F792" s="28" t="n"/>
      <c r="G792" s="28" t="n"/>
      <c r="H792" s="28" t="n"/>
      <c r="I792" s="28" t="n"/>
      <c r="J792" s="28" t="n"/>
      <c r="K792" s="28" t="n"/>
    </row>
    <row r="793">
      <c r="A793" s="28" t="n"/>
      <c r="B793" s="28" t="n"/>
      <c r="C793" s="28" t="n"/>
      <c r="D793" s="28" t="n"/>
      <c r="E793" s="28" t="n"/>
      <c r="F793" s="28" t="n"/>
      <c r="G793" s="28" t="n"/>
      <c r="H793" s="28" t="n"/>
      <c r="I793" s="28" t="n"/>
      <c r="J793" s="28" t="n"/>
      <c r="K793" s="28" t="n"/>
    </row>
    <row r="794">
      <c r="A794" s="28" t="n"/>
      <c r="B794" s="28" t="n"/>
      <c r="C794" s="28" t="n"/>
      <c r="D794" s="28" t="n"/>
      <c r="E794" s="28" t="n"/>
      <c r="F794" s="28" t="n"/>
      <c r="G794" s="28" t="n"/>
      <c r="H794" s="28" t="n"/>
      <c r="I794" s="28" t="n"/>
      <c r="J794" s="28" t="n"/>
      <c r="K794" s="28" t="n"/>
    </row>
    <row r="795">
      <c r="A795" s="28" t="n"/>
      <c r="B795" s="28" t="n"/>
      <c r="C795" s="28" t="n"/>
      <c r="D795" s="28" t="n"/>
      <c r="E795" s="28" t="n"/>
      <c r="F795" s="28" t="n"/>
      <c r="G795" s="28" t="n"/>
      <c r="H795" s="28" t="n"/>
      <c r="I795" s="28" t="n"/>
      <c r="J795" s="28" t="n"/>
      <c r="K795" s="28" t="n"/>
    </row>
    <row r="796">
      <c r="A796" s="28" t="n"/>
      <c r="B796" s="28" t="n"/>
      <c r="C796" s="28" t="n"/>
      <c r="D796" s="28" t="n"/>
      <c r="E796" s="28" t="n"/>
      <c r="F796" s="28" t="n"/>
      <c r="G796" s="28" t="n"/>
      <c r="H796" s="28" t="n"/>
      <c r="I796" s="28" t="n"/>
      <c r="J796" s="28" t="n"/>
      <c r="K796" s="28" t="n"/>
    </row>
    <row r="797">
      <c r="A797" s="28" t="n"/>
      <c r="B797" s="28" t="n"/>
      <c r="C797" s="28" t="n"/>
      <c r="D797" s="28" t="n"/>
      <c r="E797" s="28" t="n"/>
      <c r="F797" s="28" t="n"/>
      <c r="G797" s="28" t="n"/>
      <c r="H797" s="28" t="n"/>
      <c r="I797" s="28" t="n"/>
      <c r="J797" s="28" t="n"/>
      <c r="K797" s="28" t="n"/>
    </row>
    <row r="798">
      <c r="A798" s="28" t="n"/>
      <c r="B798" s="28" t="n"/>
      <c r="C798" s="28" t="n"/>
      <c r="D798" s="28" t="n"/>
      <c r="E798" s="28" t="n"/>
      <c r="F798" s="28" t="n"/>
      <c r="G798" s="28" t="n"/>
      <c r="H798" s="28" t="n"/>
      <c r="I798" s="28" t="n"/>
      <c r="J798" s="28" t="n"/>
      <c r="K798" s="28" t="n"/>
    </row>
    <row r="799">
      <c r="A799" s="28" t="n"/>
      <c r="B799" s="28" t="n"/>
      <c r="C799" s="28" t="n"/>
      <c r="D799" s="28" t="n"/>
      <c r="E799" s="28" t="n"/>
      <c r="F799" s="28" t="n"/>
      <c r="G799" s="28" t="n"/>
      <c r="H799" s="28" t="n"/>
      <c r="I799" s="28" t="n"/>
      <c r="J799" s="28" t="n"/>
      <c r="K799" s="28" t="n"/>
    </row>
    <row r="800">
      <c r="A800" s="28" t="n"/>
      <c r="B800" s="28" t="n"/>
      <c r="C800" s="28" t="n"/>
      <c r="D800" s="28" t="n"/>
      <c r="E800" s="28" t="n"/>
      <c r="F800" s="28" t="n"/>
      <c r="G800" s="28" t="n"/>
      <c r="H800" s="28" t="n"/>
      <c r="I800" s="28" t="n"/>
      <c r="J800" s="28" t="n"/>
      <c r="K800" s="28" t="n"/>
    </row>
    <row r="801">
      <c r="A801" s="28" t="n"/>
      <c r="B801" s="28" t="n"/>
      <c r="C801" s="28" t="n"/>
      <c r="D801" s="28" t="n"/>
      <c r="E801" s="28" t="n"/>
      <c r="F801" s="28" t="n"/>
      <c r="G801" s="28" t="n"/>
      <c r="H801" s="28" t="n"/>
      <c r="I801" s="28" t="n"/>
      <c r="J801" s="28" t="n"/>
      <c r="K801" s="28" t="n"/>
    </row>
    <row r="802">
      <c r="A802" s="28" t="n"/>
      <c r="B802" s="28" t="n"/>
      <c r="C802" s="28" t="n"/>
      <c r="D802" s="28" t="n"/>
      <c r="E802" s="28" t="n"/>
      <c r="F802" s="28" t="n"/>
      <c r="G802" s="28" t="n"/>
      <c r="H802" s="28" t="n"/>
      <c r="I802" s="28" t="n"/>
      <c r="J802" s="28" t="n"/>
      <c r="K802" s="28" t="n"/>
    </row>
    <row r="803">
      <c r="A803" s="28" t="n"/>
      <c r="B803" s="28" t="n"/>
      <c r="C803" s="28" t="n"/>
      <c r="D803" s="28" t="n"/>
      <c r="E803" s="28" t="n"/>
      <c r="F803" s="28" t="n"/>
      <c r="G803" s="28" t="n"/>
      <c r="H803" s="28" t="n"/>
      <c r="I803" s="28" t="n"/>
      <c r="J803" s="28" t="n"/>
      <c r="K803" s="28" t="n"/>
    </row>
    <row r="804">
      <c r="A804" s="28" t="n"/>
      <c r="B804" s="28" t="n"/>
      <c r="C804" s="28" t="n"/>
      <c r="D804" s="28" t="n"/>
      <c r="E804" s="28" t="n"/>
      <c r="F804" s="28" t="n"/>
      <c r="G804" s="28" t="n"/>
      <c r="H804" s="28" t="n"/>
      <c r="I804" s="28" t="n"/>
      <c r="J804" s="28" t="n"/>
      <c r="K804" s="28" t="n"/>
    </row>
    <row r="805">
      <c r="A805" s="28" t="n"/>
      <c r="B805" s="28" t="n"/>
      <c r="C805" s="28" t="n"/>
      <c r="D805" s="28" t="n"/>
      <c r="E805" s="28" t="n"/>
      <c r="F805" s="28" t="n"/>
      <c r="G805" s="28" t="n"/>
      <c r="H805" s="28" t="n"/>
      <c r="I805" s="28" t="n"/>
      <c r="J805" s="28" t="n"/>
      <c r="K805" s="28" t="n"/>
    </row>
    <row r="806">
      <c r="A806" s="28" t="n"/>
      <c r="B806" s="28" t="n"/>
      <c r="C806" s="28" t="n"/>
      <c r="D806" s="28" t="n"/>
      <c r="E806" s="28" t="n"/>
      <c r="F806" s="28" t="n"/>
      <c r="G806" s="28" t="n"/>
      <c r="H806" s="28" t="n"/>
      <c r="I806" s="28" t="n"/>
      <c r="J806" s="28" t="n"/>
      <c r="K806" s="28" t="n"/>
    </row>
    <row r="807">
      <c r="A807" s="28" t="n"/>
      <c r="B807" s="28" t="n"/>
      <c r="C807" s="28" t="n"/>
      <c r="D807" s="28" t="n"/>
      <c r="E807" s="28" t="n"/>
      <c r="F807" s="28" t="n"/>
      <c r="G807" s="28" t="n"/>
      <c r="H807" s="28" t="n"/>
      <c r="I807" s="28" t="n"/>
      <c r="J807" s="28" t="n"/>
      <c r="K807" s="28" t="n"/>
    </row>
    <row r="808">
      <c r="A808" s="28" t="n"/>
      <c r="B808" s="28" t="n"/>
      <c r="C808" s="28" t="n"/>
      <c r="D808" s="28" t="n"/>
      <c r="E808" s="28" t="n"/>
      <c r="F808" s="28" t="n"/>
      <c r="G808" s="28" t="n"/>
      <c r="H808" s="28" t="n"/>
      <c r="I808" s="28" t="n"/>
      <c r="J808" s="28" t="n"/>
      <c r="K808" s="28" t="n"/>
    </row>
    <row r="809">
      <c r="A809" s="28" t="n"/>
      <c r="B809" s="28" t="n"/>
      <c r="C809" s="28" t="n"/>
      <c r="D809" s="28" t="n"/>
      <c r="E809" s="28" t="n"/>
      <c r="F809" s="28" t="n"/>
      <c r="G809" s="28" t="n"/>
      <c r="H809" s="28" t="n"/>
      <c r="I809" s="28" t="n"/>
      <c r="J809" s="28" t="n"/>
      <c r="K809" s="28" t="n"/>
    </row>
    <row r="810">
      <c r="A810" s="28" t="n"/>
      <c r="B810" s="28" t="n"/>
      <c r="C810" s="28" t="n"/>
      <c r="D810" s="28" t="n"/>
      <c r="E810" s="28" t="n"/>
      <c r="F810" s="28" t="n"/>
      <c r="G810" s="28" t="n"/>
      <c r="H810" s="28" t="n"/>
      <c r="I810" s="28" t="n"/>
      <c r="J810" s="28" t="n"/>
      <c r="K810" s="28" t="n"/>
    </row>
    <row r="811">
      <c r="A811" s="28" t="n"/>
      <c r="B811" s="28" t="n"/>
      <c r="C811" s="28" t="n"/>
      <c r="D811" s="28" t="n"/>
      <c r="E811" s="28" t="n"/>
      <c r="F811" s="28" t="n"/>
      <c r="G811" s="28" t="n"/>
      <c r="H811" s="28" t="n"/>
      <c r="I811" s="28" t="n"/>
      <c r="J811" s="28" t="n"/>
      <c r="K811" s="28" t="n"/>
    </row>
    <row r="812">
      <c r="A812" s="28" t="n"/>
      <c r="B812" s="28" t="n"/>
      <c r="C812" s="28" t="n"/>
      <c r="D812" s="28" t="n"/>
      <c r="E812" s="28" t="n"/>
      <c r="F812" s="28" t="n"/>
      <c r="G812" s="28" t="n"/>
      <c r="H812" s="28" t="n"/>
      <c r="I812" s="28" t="n"/>
      <c r="J812" s="28" t="n"/>
      <c r="K812" s="28" t="n"/>
    </row>
    <row r="813">
      <c r="A813" s="28" t="n"/>
      <c r="B813" s="28" t="n"/>
      <c r="C813" s="28" t="n"/>
      <c r="D813" s="28" t="n"/>
      <c r="E813" s="28" t="n"/>
      <c r="F813" s="28" t="n"/>
      <c r="G813" s="28" t="n"/>
      <c r="H813" s="28" t="n"/>
      <c r="I813" s="28" t="n"/>
      <c r="J813" s="28" t="n"/>
      <c r="K813" s="28" t="n"/>
    </row>
    <row r="814">
      <c r="A814" s="28" t="n"/>
      <c r="B814" s="28" t="n"/>
      <c r="C814" s="28" t="n"/>
      <c r="D814" s="28" t="n"/>
      <c r="E814" s="28" t="n"/>
      <c r="F814" s="28" t="n"/>
      <c r="G814" s="28" t="n"/>
      <c r="H814" s="28" t="n"/>
      <c r="I814" s="28" t="n"/>
      <c r="J814" s="28" t="n"/>
      <c r="K814" s="28" t="n"/>
    </row>
    <row r="815">
      <c r="A815" s="28" t="n"/>
      <c r="B815" s="28" t="n"/>
      <c r="C815" s="28" t="n"/>
      <c r="D815" s="28" t="n"/>
      <c r="E815" s="28" t="n"/>
      <c r="F815" s="28" t="n"/>
      <c r="G815" s="28" t="n"/>
      <c r="H815" s="28" t="n"/>
      <c r="I815" s="28" t="n"/>
      <c r="J815" s="28" t="n"/>
      <c r="K815" s="28" t="n"/>
    </row>
    <row r="816">
      <c r="A816" s="28" t="n"/>
      <c r="B816" s="28" t="n"/>
      <c r="C816" s="28" t="n"/>
      <c r="D816" s="28" t="n"/>
      <c r="E816" s="28" t="n"/>
      <c r="F816" s="28" t="n"/>
      <c r="G816" s="28" t="n"/>
      <c r="H816" s="28" t="n"/>
      <c r="I816" s="28" t="n"/>
      <c r="J816" s="28" t="n"/>
      <c r="K816" s="28" t="n"/>
    </row>
    <row r="817">
      <c r="A817" s="28" t="n"/>
      <c r="B817" s="28" t="n"/>
      <c r="C817" s="28" t="n"/>
      <c r="D817" s="28" t="n"/>
      <c r="E817" s="28" t="n"/>
      <c r="F817" s="28" t="n"/>
      <c r="G817" s="28" t="n"/>
      <c r="H817" s="28" t="n"/>
      <c r="I817" s="28" t="n"/>
      <c r="J817" s="28" t="n"/>
      <c r="K817" s="28" t="n"/>
    </row>
    <row r="818">
      <c r="A818" s="28" t="n"/>
      <c r="B818" s="28" t="n"/>
      <c r="C818" s="28" t="n"/>
      <c r="D818" s="28" t="n"/>
      <c r="E818" s="28" t="n"/>
      <c r="F818" s="28" t="n"/>
      <c r="G818" s="28" t="n"/>
      <c r="H818" s="28" t="n"/>
      <c r="I818" s="28" t="n"/>
      <c r="J818" s="28" t="n"/>
      <c r="K818" s="28" t="n"/>
    </row>
    <row r="819">
      <c r="A819" s="28" t="n"/>
      <c r="B819" s="28" t="n"/>
      <c r="C819" s="28" t="n"/>
      <c r="D819" s="28" t="n"/>
      <c r="E819" s="28" t="n"/>
      <c r="F819" s="28" t="n"/>
      <c r="G819" s="28" t="n"/>
      <c r="H819" s="28" t="n"/>
      <c r="I819" s="28" t="n"/>
      <c r="J819" s="28" t="n"/>
      <c r="K819" s="28" t="n"/>
    </row>
    <row r="820">
      <c r="A820" s="28" t="n"/>
      <c r="B820" s="28" t="n"/>
      <c r="C820" s="28" t="n"/>
      <c r="D820" s="28" t="n"/>
      <c r="E820" s="28" t="n"/>
      <c r="F820" s="28" t="n"/>
      <c r="G820" s="28" t="n"/>
      <c r="H820" s="28" t="n"/>
      <c r="I820" s="28" t="n"/>
      <c r="J820" s="28" t="n"/>
      <c r="K820" s="28" t="n"/>
    </row>
    <row r="821">
      <c r="A821" s="28" t="n"/>
      <c r="B821" s="28" t="n"/>
      <c r="C821" s="28" t="n"/>
      <c r="D821" s="28" t="n"/>
      <c r="E821" s="28" t="n"/>
      <c r="F821" s="28" t="n"/>
      <c r="G821" s="28" t="n"/>
      <c r="H821" s="28" t="n"/>
      <c r="I821" s="28" t="n"/>
      <c r="J821" s="28" t="n"/>
      <c r="K821" s="28" t="n"/>
    </row>
    <row r="822">
      <c r="A822" s="28" t="n"/>
      <c r="B822" s="28" t="n"/>
      <c r="C822" s="28" t="n"/>
      <c r="D822" s="28" t="n"/>
      <c r="E822" s="28" t="n"/>
      <c r="F822" s="28" t="n"/>
      <c r="G822" s="28" t="n"/>
      <c r="H822" s="28" t="n"/>
      <c r="I822" s="28" t="n"/>
      <c r="J822" s="28" t="n"/>
      <c r="K822" s="28" t="n"/>
    </row>
    <row r="823">
      <c r="A823" s="28" t="n"/>
      <c r="B823" s="28" t="n"/>
      <c r="C823" s="28" t="n"/>
      <c r="D823" s="28" t="n"/>
      <c r="E823" s="28" t="n"/>
      <c r="F823" s="28" t="n"/>
      <c r="G823" s="28" t="n"/>
      <c r="H823" s="28" t="n"/>
      <c r="I823" s="28" t="n"/>
      <c r="J823" s="28" t="n"/>
      <c r="K823" s="28" t="n"/>
    </row>
    <row r="824">
      <c r="A824" s="28" t="n"/>
      <c r="B824" s="28" t="n"/>
      <c r="C824" s="28" t="n"/>
      <c r="D824" s="28" t="n"/>
      <c r="E824" s="28" t="n"/>
      <c r="F824" s="28" t="n"/>
      <c r="G824" s="28" t="n"/>
      <c r="H824" s="28" t="n"/>
      <c r="I824" s="28" t="n"/>
      <c r="J824" s="28" t="n"/>
      <c r="K824" s="28" t="n"/>
    </row>
    <row r="825">
      <c r="A825" s="28" t="n"/>
      <c r="B825" s="28" t="n"/>
      <c r="C825" s="28" t="n"/>
      <c r="D825" s="28" t="n"/>
      <c r="E825" s="28" t="n"/>
      <c r="F825" s="28" t="n"/>
      <c r="G825" s="28" t="n"/>
      <c r="H825" s="28" t="n"/>
      <c r="I825" s="28" t="n"/>
      <c r="J825" s="28" t="n"/>
      <c r="K825" s="28" t="n"/>
    </row>
    <row r="826">
      <c r="A826" s="28" t="n"/>
      <c r="B826" s="28" t="n"/>
      <c r="C826" s="28" t="n"/>
      <c r="D826" s="28" t="n"/>
      <c r="E826" s="28" t="n"/>
      <c r="F826" s="28" t="n"/>
      <c r="G826" s="28" t="n"/>
      <c r="H826" s="28" t="n"/>
      <c r="I826" s="28" t="n"/>
      <c r="J826" s="28" t="n"/>
      <c r="K826" s="28" t="n"/>
    </row>
    <row r="827">
      <c r="A827" s="28" t="n"/>
      <c r="B827" s="28" t="n"/>
      <c r="C827" s="28" t="n"/>
      <c r="D827" s="28" t="n"/>
      <c r="E827" s="28" t="n"/>
      <c r="F827" s="28" t="n"/>
      <c r="G827" s="28" t="n"/>
      <c r="H827" s="28" t="n"/>
      <c r="I827" s="28" t="n"/>
      <c r="J827" s="28" t="n"/>
      <c r="K827" s="28" t="n"/>
    </row>
    <row r="828">
      <c r="A828" s="28" t="n"/>
      <c r="B828" s="28" t="n"/>
      <c r="C828" s="28" t="n"/>
      <c r="D828" s="28" t="n"/>
      <c r="E828" s="28" t="n"/>
      <c r="F828" s="28" t="n"/>
      <c r="G828" s="28" t="n"/>
      <c r="H828" s="28" t="n"/>
      <c r="I828" s="28" t="n"/>
      <c r="J828" s="28" t="n"/>
      <c r="K828" s="28" t="n"/>
    </row>
    <row r="829">
      <c r="A829" s="28" t="n"/>
      <c r="B829" s="28" t="n"/>
      <c r="C829" s="28" t="n"/>
      <c r="D829" s="28" t="n"/>
      <c r="E829" s="28" t="n"/>
      <c r="F829" s="28" t="n"/>
      <c r="G829" s="28" t="n"/>
      <c r="H829" s="28" t="n"/>
      <c r="I829" s="28" t="n"/>
      <c r="J829" s="28" t="n"/>
      <c r="K829" s="28" t="n"/>
    </row>
    <row r="830">
      <c r="A830" s="28" t="n"/>
      <c r="B830" s="28" t="n"/>
      <c r="C830" s="28" t="n"/>
      <c r="D830" s="28" t="n"/>
      <c r="E830" s="28" t="n"/>
      <c r="F830" s="28" t="n"/>
      <c r="G830" s="28" t="n"/>
      <c r="H830" s="28" t="n"/>
      <c r="I830" s="28" t="n"/>
      <c r="J830" s="28" t="n"/>
      <c r="K830" s="28" t="n"/>
    </row>
    <row r="831">
      <c r="A831" s="28" t="n"/>
      <c r="B831" s="28" t="n"/>
      <c r="C831" s="28" t="n"/>
      <c r="D831" s="28" t="n"/>
      <c r="E831" s="28" t="n"/>
      <c r="F831" s="28" t="n"/>
      <c r="G831" s="28" t="n"/>
      <c r="H831" s="28" t="n"/>
      <c r="I831" s="28" t="n"/>
      <c r="J831" s="28" t="n"/>
      <c r="K831" s="28" t="n"/>
    </row>
    <row r="832">
      <c r="A832" s="28" t="n"/>
      <c r="B832" s="28" t="n"/>
      <c r="C832" s="28" t="n"/>
      <c r="D832" s="28" t="n"/>
      <c r="E832" s="28" t="n"/>
      <c r="F832" s="28" t="n"/>
      <c r="G832" s="28" t="n"/>
      <c r="H832" s="28" t="n"/>
      <c r="I832" s="28" t="n"/>
      <c r="J832" s="28" t="n"/>
      <c r="K832" s="28" t="n"/>
    </row>
    <row r="833">
      <c r="A833" s="28" t="n"/>
      <c r="B833" s="28" t="n"/>
      <c r="C833" s="28" t="n"/>
      <c r="D833" s="28" t="n"/>
      <c r="E833" s="28" t="n"/>
      <c r="F833" s="28" t="n"/>
      <c r="G833" s="28" t="n"/>
      <c r="H833" s="28" t="n"/>
      <c r="I833" s="28" t="n"/>
      <c r="J833" s="28" t="n"/>
      <c r="K833" s="28" t="n"/>
    </row>
    <row r="834">
      <c r="A834" s="28" t="n"/>
      <c r="B834" s="28" t="n"/>
      <c r="C834" s="28" t="n"/>
      <c r="D834" s="28" t="n"/>
      <c r="E834" s="28" t="n"/>
      <c r="F834" s="28" t="n"/>
      <c r="G834" s="28" t="n"/>
      <c r="H834" s="28" t="n"/>
      <c r="I834" s="28" t="n"/>
      <c r="J834" s="28" t="n"/>
      <c r="K834" s="28" t="n"/>
    </row>
    <row r="835">
      <c r="A835" s="28" t="n"/>
      <c r="B835" s="28" t="n"/>
      <c r="C835" s="28" t="n"/>
      <c r="D835" s="28" t="n"/>
      <c r="E835" s="28" t="n"/>
      <c r="F835" s="28" t="n"/>
      <c r="G835" s="28" t="n"/>
      <c r="H835" s="28" t="n"/>
      <c r="I835" s="28" t="n"/>
      <c r="J835" s="28" t="n"/>
      <c r="K835" s="28" t="n"/>
    </row>
    <row r="836">
      <c r="A836" s="28" t="n"/>
      <c r="B836" s="28" t="n"/>
      <c r="C836" s="28" t="n"/>
      <c r="D836" s="28" t="n"/>
      <c r="E836" s="28" t="n"/>
      <c r="F836" s="28" t="n"/>
      <c r="G836" s="28" t="n"/>
      <c r="H836" s="28" t="n"/>
      <c r="I836" s="28" t="n"/>
      <c r="J836" s="28" t="n"/>
      <c r="K836" s="28" t="n"/>
    </row>
    <row r="837">
      <c r="A837" s="28" t="n"/>
      <c r="B837" s="28" t="n"/>
      <c r="C837" s="28" t="n"/>
      <c r="D837" s="28" t="n"/>
      <c r="E837" s="28" t="n"/>
      <c r="F837" s="28" t="n"/>
      <c r="G837" s="28" t="n"/>
      <c r="H837" s="28" t="n"/>
      <c r="I837" s="28" t="n"/>
      <c r="J837" s="28" t="n"/>
      <c r="K837" s="28" t="n"/>
    </row>
    <row r="838">
      <c r="A838" s="28" t="n"/>
      <c r="B838" s="28" t="n"/>
      <c r="C838" s="28" t="n"/>
      <c r="D838" s="28" t="n"/>
      <c r="E838" s="28" t="n"/>
      <c r="F838" s="28" t="n"/>
      <c r="G838" s="28" t="n"/>
      <c r="H838" s="28" t="n"/>
      <c r="I838" s="28" t="n"/>
      <c r="J838" s="28" t="n"/>
      <c r="K838" s="28" t="n"/>
    </row>
    <row r="839">
      <c r="A839" s="28" t="n"/>
      <c r="B839" s="28" t="n"/>
      <c r="C839" s="28" t="n"/>
      <c r="D839" s="28" t="n"/>
      <c r="E839" s="28" t="n"/>
      <c r="F839" s="28" t="n"/>
      <c r="G839" s="28" t="n"/>
      <c r="H839" s="28" t="n"/>
      <c r="I839" s="28" t="n"/>
      <c r="J839" s="28" t="n"/>
      <c r="K839" s="28" t="n"/>
    </row>
    <row r="840">
      <c r="A840" s="28" t="n"/>
      <c r="B840" s="28" t="n"/>
      <c r="C840" s="28" t="n"/>
      <c r="D840" s="28" t="n"/>
      <c r="E840" s="28" t="n"/>
      <c r="F840" s="28" t="n"/>
      <c r="G840" s="28" t="n"/>
      <c r="H840" s="28" t="n"/>
      <c r="I840" s="28" t="n"/>
      <c r="J840" s="28" t="n"/>
      <c r="K840" s="28" t="n"/>
    </row>
    <row r="841">
      <c r="A841" s="28" t="n"/>
      <c r="B841" s="28" t="n"/>
      <c r="C841" s="28" t="n"/>
      <c r="D841" s="28" t="n"/>
      <c r="E841" s="28" t="n"/>
      <c r="F841" s="28" t="n"/>
      <c r="G841" s="28" t="n"/>
      <c r="H841" s="28" t="n"/>
      <c r="I841" s="28" t="n"/>
      <c r="J841" s="28" t="n"/>
      <c r="K841" s="28" t="n"/>
    </row>
    <row r="842">
      <c r="A842" s="28" t="n"/>
      <c r="B842" s="28" t="n"/>
      <c r="C842" s="28" t="n"/>
      <c r="D842" s="28" t="n"/>
      <c r="E842" s="28" t="n"/>
      <c r="F842" s="28" t="n"/>
      <c r="G842" s="28" t="n"/>
      <c r="H842" s="28" t="n"/>
      <c r="I842" s="28" t="n"/>
      <c r="J842" s="28" t="n"/>
      <c r="K842" s="28" t="n"/>
    </row>
    <row r="843">
      <c r="A843" s="28" t="n"/>
      <c r="B843" s="28" t="n"/>
      <c r="C843" s="28" t="n"/>
      <c r="D843" s="28" t="n"/>
      <c r="E843" s="28" t="n"/>
      <c r="F843" s="28" t="n"/>
      <c r="G843" s="28" t="n"/>
      <c r="H843" s="28" t="n"/>
      <c r="I843" s="28" t="n"/>
      <c r="J843" s="28" t="n"/>
      <c r="K843" s="28" t="n"/>
    </row>
    <row r="844">
      <c r="A844" s="28" t="n"/>
      <c r="B844" s="28" t="n"/>
      <c r="C844" s="28" t="n"/>
      <c r="D844" s="28" t="n"/>
      <c r="E844" s="28" t="n"/>
      <c r="F844" s="28" t="n"/>
      <c r="G844" s="28" t="n"/>
      <c r="H844" s="28" t="n"/>
      <c r="I844" s="28" t="n"/>
      <c r="J844" s="28" t="n"/>
      <c r="K844" s="28" t="n"/>
    </row>
    <row r="845">
      <c r="A845" s="28" t="n"/>
      <c r="B845" s="28" t="n"/>
      <c r="C845" s="28" t="n"/>
      <c r="D845" s="28" t="n"/>
      <c r="E845" s="28" t="n"/>
      <c r="F845" s="28" t="n"/>
      <c r="G845" s="28" t="n"/>
      <c r="H845" s="28" t="n"/>
      <c r="I845" s="28" t="n"/>
      <c r="J845" s="28" t="n"/>
      <c r="K845" s="28" t="n"/>
    </row>
    <row r="846">
      <c r="A846" s="28" t="n"/>
      <c r="B846" s="28" t="n"/>
      <c r="C846" s="28" t="n"/>
      <c r="D846" s="28" t="n"/>
      <c r="E846" s="28" t="n"/>
      <c r="F846" s="28" t="n"/>
      <c r="G846" s="28" t="n"/>
      <c r="H846" s="28" t="n"/>
      <c r="I846" s="28" t="n"/>
      <c r="J846" s="28" t="n"/>
      <c r="K846" s="28" t="n"/>
    </row>
    <row r="847">
      <c r="A847" s="28" t="n"/>
      <c r="B847" s="28" t="n"/>
      <c r="C847" s="28" t="n"/>
      <c r="D847" s="28" t="n"/>
      <c r="E847" s="28" t="n"/>
      <c r="F847" s="28" t="n"/>
      <c r="G847" s="28" t="n"/>
      <c r="H847" s="28" t="n"/>
      <c r="I847" s="28" t="n"/>
      <c r="J847" s="28" t="n"/>
      <c r="K847" s="28" t="n"/>
    </row>
    <row r="848">
      <c r="A848" s="28" t="n"/>
      <c r="B848" s="28" t="n"/>
      <c r="C848" s="28" t="n"/>
      <c r="D848" s="28" t="n"/>
      <c r="E848" s="28" t="n"/>
      <c r="F848" s="28" t="n"/>
      <c r="G848" s="28" t="n"/>
      <c r="H848" s="28" t="n"/>
      <c r="I848" s="28" t="n"/>
      <c r="J848" s="28" t="n"/>
      <c r="K848" s="28" t="n"/>
    </row>
    <row r="849">
      <c r="A849" s="28" t="n"/>
      <c r="B849" s="28" t="n"/>
      <c r="C849" s="28" t="n"/>
      <c r="D849" s="28" t="n"/>
      <c r="E849" s="28" t="n"/>
      <c r="F849" s="28" t="n"/>
      <c r="G849" s="28" t="n"/>
      <c r="H849" s="28" t="n"/>
      <c r="I849" s="28" t="n"/>
      <c r="J849" s="28" t="n"/>
      <c r="K849" s="28" t="n"/>
    </row>
    <row r="850">
      <c r="A850" s="28" t="n"/>
      <c r="B850" s="28" t="n"/>
      <c r="C850" s="28" t="n"/>
      <c r="D850" s="28" t="n"/>
      <c r="E850" s="28" t="n"/>
      <c r="F850" s="28" t="n"/>
      <c r="G850" s="28" t="n"/>
      <c r="H850" s="28" t="n"/>
      <c r="I850" s="28" t="n"/>
      <c r="J850" s="28" t="n"/>
      <c r="K850" s="28" t="n"/>
    </row>
    <row r="851">
      <c r="A851" s="28" t="n"/>
      <c r="B851" s="28" t="n"/>
      <c r="C851" s="28" t="n"/>
      <c r="D851" s="28" t="n"/>
      <c r="E851" s="28" t="n"/>
      <c r="F851" s="28" t="n"/>
      <c r="G851" s="28" t="n"/>
      <c r="H851" s="28" t="n"/>
      <c r="I851" s="28" t="n"/>
      <c r="J851" s="28" t="n"/>
      <c r="K851" s="28" t="n"/>
    </row>
    <row r="852">
      <c r="A852" s="28" t="n"/>
      <c r="B852" s="28" t="n"/>
      <c r="C852" s="28" t="n"/>
      <c r="D852" s="28" t="n"/>
      <c r="E852" s="28" t="n"/>
      <c r="F852" s="28" t="n"/>
      <c r="G852" s="28" t="n"/>
      <c r="H852" s="28" t="n"/>
      <c r="I852" s="28" t="n"/>
      <c r="J852" s="28" t="n"/>
      <c r="K852" s="28" t="n"/>
    </row>
    <row r="853">
      <c r="A853" s="28" t="n"/>
      <c r="B853" s="28" t="n"/>
      <c r="C853" s="28" t="n"/>
      <c r="D853" s="28" t="n"/>
      <c r="E853" s="28" t="n"/>
      <c r="F853" s="28" t="n"/>
      <c r="G853" s="28" t="n"/>
      <c r="H853" s="28" t="n"/>
      <c r="I853" s="28" t="n"/>
      <c r="J853" s="28" t="n"/>
      <c r="K853" s="28" t="n"/>
    </row>
    <row r="854">
      <c r="A854" s="28" t="n"/>
      <c r="B854" s="28" t="n"/>
      <c r="C854" s="28" t="n"/>
      <c r="D854" s="28" t="n"/>
      <c r="E854" s="28" t="n"/>
      <c r="F854" s="28" t="n"/>
      <c r="G854" s="28" t="n"/>
      <c r="H854" s="28" t="n"/>
      <c r="I854" s="28" t="n"/>
      <c r="J854" s="28" t="n"/>
      <c r="K854" s="28" t="n"/>
    </row>
    <row r="855">
      <c r="A855" s="28" t="n"/>
      <c r="B855" s="28" t="n"/>
      <c r="C855" s="28" t="n"/>
      <c r="D855" s="28" t="n"/>
      <c r="E855" s="28" t="n"/>
      <c r="F855" s="28" t="n"/>
      <c r="G855" s="28" t="n"/>
      <c r="H855" s="28" t="n"/>
      <c r="I855" s="28" t="n"/>
      <c r="J855" s="28" t="n"/>
      <c r="K855" s="28" t="n"/>
    </row>
    <row r="856">
      <c r="A856" s="28" t="n"/>
      <c r="B856" s="28" t="n"/>
      <c r="C856" s="28" t="n"/>
      <c r="D856" s="28" t="n"/>
      <c r="E856" s="28" t="n"/>
      <c r="F856" s="28" t="n"/>
      <c r="G856" s="28" t="n"/>
      <c r="H856" s="28" t="n"/>
      <c r="I856" s="28" t="n"/>
      <c r="J856" s="28" t="n"/>
      <c r="K856" s="28" t="n"/>
    </row>
    <row r="857">
      <c r="A857" s="28" t="n"/>
      <c r="B857" s="28" t="n"/>
      <c r="C857" s="28" t="n"/>
      <c r="D857" s="28" t="n"/>
      <c r="E857" s="28" t="n"/>
      <c r="F857" s="28" t="n"/>
      <c r="G857" s="28" t="n"/>
      <c r="H857" s="28" t="n"/>
      <c r="I857" s="28" t="n"/>
      <c r="J857" s="28" t="n"/>
      <c r="K857" s="28" t="n"/>
    </row>
    <row r="858">
      <c r="A858" s="28" t="n"/>
      <c r="B858" s="28" t="n"/>
      <c r="C858" s="28" t="n"/>
      <c r="D858" s="28" t="n"/>
      <c r="E858" s="28" t="n"/>
      <c r="F858" s="28" t="n"/>
      <c r="G858" s="28" t="n"/>
      <c r="H858" s="28" t="n"/>
      <c r="I858" s="28" t="n"/>
      <c r="J858" s="28" t="n"/>
      <c r="K858" s="28" t="n"/>
    </row>
    <row r="859">
      <c r="A859" s="28" t="n"/>
      <c r="B859" s="28" t="n"/>
      <c r="C859" s="28" t="n"/>
      <c r="D859" s="28" t="n"/>
      <c r="E859" s="28" t="n"/>
      <c r="F859" s="28" t="n"/>
      <c r="G859" s="28" t="n"/>
      <c r="H859" s="28" t="n"/>
      <c r="I859" s="28" t="n"/>
      <c r="J859" s="28" t="n"/>
      <c r="K859" s="28" t="n"/>
    </row>
    <row r="860">
      <c r="A860" s="28" t="n"/>
      <c r="B860" s="28" t="n"/>
      <c r="C860" s="28" t="n"/>
      <c r="D860" s="28" t="n"/>
      <c r="E860" s="28" t="n"/>
      <c r="F860" s="28" t="n"/>
      <c r="G860" s="28" t="n"/>
      <c r="H860" s="28" t="n"/>
      <c r="I860" s="28" t="n"/>
      <c r="J860" s="28" t="n"/>
      <c r="K860" s="28" t="n"/>
    </row>
    <row r="861">
      <c r="A861" s="28" t="n"/>
      <c r="B861" s="28" t="n"/>
      <c r="C861" s="28" t="n"/>
      <c r="D861" s="28" t="n"/>
      <c r="E861" s="28" t="n"/>
      <c r="F861" s="28" t="n"/>
      <c r="G861" s="28" t="n"/>
      <c r="H861" s="28" t="n"/>
      <c r="I861" s="28" t="n"/>
      <c r="J861" s="28" t="n"/>
      <c r="K861" s="28" t="n"/>
    </row>
    <row r="862">
      <c r="A862" s="28" t="n"/>
      <c r="B862" s="28" t="n"/>
      <c r="C862" s="28" t="n"/>
      <c r="D862" s="28" t="n"/>
      <c r="E862" s="28" t="n"/>
      <c r="F862" s="28" t="n"/>
      <c r="G862" s="28" t="n"/>
      <c r="H862" s="28" t="n"/>
      <c r="I862" s="28" t="n"/>
      <c r="J862" s="28" t="n"/>
      <c r="K862" s="28" t="n"/>
    </row>
    <row r="863">
      <c r="A863" s="28" t="n"/>
      <c r="B863" s="28" t="n"/>
      <c r="C863" s="28" t="n"/>
      <c r="D863" s="28" t="n"/>
      <c r="E863" s="28" t="n"/>
      <c r="F863" s="28" t="n"/>
      <c r="G863" s="28" t="n"/>
      <c r="H863" s="28" t="n"/>
      <c r="I863" s="28" t="n"/>
      <c r="J863" s="28" t="n"/>
      <c r="K863" s="28" t="n"/>
    </row>
    <row r="864">
      <c r="A864" s="28" t="n"/>
      <c r="B864" s="28" t="n"/>
      <c r="C864" s="28" t="n"/>
      <c r="D864" s="28" t="n"/>
      <c r="E864" s="28" t="n"/>
      <c r="F864" s="28" t="n"/>
      <c r="G864" s="28" t="n"/>
      <c r="H864" s="28" t="n"/>
      <c r="I864" s="28" t="n"/>
      <c r="J864" s="28" t="n"/>
      <c r="K864" s="28" t="n"/>
    </row>
    <row r="865">
      <c r="A865" s="28" t="n"/>
      <c r="B865" s="28" t="n"/>
      <c r="C865" s="28" t="n"/>
      <c r="D865" s="28" t="n"/>
      <c r="E865" s="28" t="n"/>
      <c r="F865" s="28" t="n"/>
      <c r="G865" s="28" t="n"/>
      <c r="H865" s="28" t="n"/>
      <c r="I865" s="28" t="n"/>
      <c r="J865" s="28" t="n"/>
      <c r="K865" s="28" t="n"/>
    </row>
    <row r="866">
      <c r="A866" s="28" t="n"/>
      <c r="B866" s="28" t="n"/>
      <c r="C866" s="28" t="n"/>
      <c r="D866" s="28" t="n"/>
      <c r="E866" s="28" t="n"/>
      <c r="F866" s="28" t="n"/>
      <c r="G866" s="28" t="n"/>
      <c r="H866" s="28" t="n"/>
      <c r="I866" s="28" t="n"/>
      <c r="J866" s="28" t="n"/>
      <c r="K866" s="28" t="n"/>
    </row>
    <row r="867">
      <c r="A867" s="28" t="n"/>
      <c r="B867" s="28" t="n"/>
      <c r="C867" s="28" t="n"/>
      <c r="D867" s="28" t="n"/>
      <c r="E867" s="28" t="n"/>
      <c r="F867" s="28" t="n"/>
      <c r="G867" s="28" t="n"/>
      <c r="H867" s="28" t="n"/>
      <c r="I867" s="28" t="n"/>
      <c r="J867" s="28" t="n"/>
      <c r="K867" s="28" t="n"/>
    </row>
    <row r="868">
      <c r="A868" s="28" t="n"/>
      <c r="B868" s="28" t="n"/>
      <c r="C868" s="28" t="n"/>
      <c r="D868" s="28" t="n"/>
      <c r="E868" s="28" t="n"/>
      <c r="F868" s="28" t="n"/>
      <c r="G868" s="28" t="n"/>
      <c r="H868" s="28" t="n"/>
      <c r="I868" s="28" t="n"/>
      <c r="J868" s="28" t="n"/>
      <c r="K868" s="28" t="n"/>
    </row>
    <row r="869">
      <c r="A869" s="28" t="n"/>
      <c r="B869" s="28" t="n"/>
      <c r="C869" s="28" t="n"/>
      <c r="D869" s="28" t="n"/>
      <c r="E869" s="28" t="n"/>
      <c r="F869" s="28" t="n"/>
      <c r="G869" s="28" t="n"/>
      <c r="H869" s="28" t="n"/>
      <c r="I869" s="28" t="n"/>
      <c r="J869" s="28" t="n"/>
      <c r="K869" s="28" t="n"/>
    </row>
    <row r="870">
      <c r="A870" s="28" t="n"/>
      <c r="B870" s="28" t="n"/>
      <c r="C870" s="28" t="n"/>
      <c r="D870" s="28" t="n"/>
      <c r="E870" s="28" t="n"/>
      <c r="F870" s="28" t="n"/>
      <c r="G870" s="28" t="n"/>
      <c r="H870" s="28" t="n"/>
      <c r="I870" s="28" t="n"/>
      <c r="J870" s="28" t="n"/>
      <c r="K870" s="28" t="n"/>
    </row>
    <row r="871">
      <c r="A871" s="28" t="n"/>
      <c r="B871" s="28" t="n"/>
      <c r="C871" s="28" t="n"/>
      <c r="D871" s="28" t="n"/>
      <c r="E871" s="28" t="n"/>
      <c r="F871" s="28" t="n"/>
      <c r="G871" s="28" t="n"/>
      <c r="H871" s="28" t="n"/>
      <c r="I871" s="28" t="n"/>
      <c r="J871" s="28" t="n"/>
      <c r="K871" s="28" t="n"/>
    </row>
    <row r="872">
      <c r="A872" s="28" t="n"/>
      <c r="B872" s="28" t="n"/>
      <c r="C872" s="28" t="n"/>
      <c r="D872" s="28" t="n"/>
      <c r="E872" s="28" t="n"/>
      <c r="F872" s="28" t="n"/>
      <c r="G872" s="28" t="n"/>
      <c r="H872" s="28" t="n"/>
      <c r="I872" s="28" t="n"/>
      <c r="J872" s="28" t="n"/>
      <c r="K872" s="28" t="n"/>
    </row>
    <row r="873">
      <c r="A873" s="28" t="n"/>
      <c r="B873" s="28" t="n"/>
      <c r="C873" s="28" t="n"/>
      <c r="D873" s="28" t="n"/>
      <c r="E873" s="28" t="n"/>
      <c r="F873" s="28" t="n"/>
      <c r="G873" s="28" t="n"/>
      <c r="H873" s="28" t="n"/>
      <c r="I873" s="28" t="n"/>
      <c r="J873" s="28" t="n"/>
      <c r="K873" s="28" t="n"/>
    </row>
    <row r="874">
      <c r="A874" s="28" t="n"/>
      <c r="B874" s="28" t="n"/>
      <c r="C874" s="28" t="n"/>
      <c r="D874" s="28" t="n"/>
      <c r="E874" s="28" t="n"/>
      <c r="F874" s="28" t="n"/>
      <c r="G874" s="28" t="n"/>
      <c r="H874" s="28" t="n"/>
      <c r="I874" s="28" t="n"/>
      <c r="J874" s="28" t="n"/>
      <c r="K874" s="28" t="n"/>
    </row>
    <row r="875">
      <c r="A875" s="28" t="n"/>
      <c r="B875" s="28" t="n"/>
      <c r="C875" s="28" t="n"/>
      <c r="D875" s="28" t="n"/>
      <c r="E875" s="28" t="n"/>
      <c r="F875" s="28" t="n"/>
      <c r="G875" s="28" t="n"/>
      <c r="H875" s="28" t="n"/>
      <c r="I875" s="28" t="n"/>
      <c r="J875" s="28" t="n"/>
      <c r="K875" s="28" t="n"/>
    </row>
    <row r="876">
      <c r="A876" s="28" t="n"/>
      <c r="B876" s="28" t="n"/>
      <c r="C876" s="28" t="n"/>
      <c r="D876" s="28" t="n"/>
      <c r="E876" s="28" t="n"/>
      <c r="F876" s="28" t="n"/>
      <c r="G876" s="28" t="n"/>
      <c r="H876" s="28" t="n"/>
      <c r="I876" s="28" t="n"/>
      <c r="J876" s="28" t="n"/>
      <c r="K876" s="28" t="n"/>
    </row>
    <row r="877">
      <c r="A877" s="28" t="n"/>
      <c r="B877" s="28" t="n"/>
      <c r="C877" s="28" t="n"/>
      <c r="D877" s="28" t="n"/>
      <c r="E877" s="28" t="n"/>
      <c r="F877" s="28" t="n"/>
      <c r="G877" s="28" t="n"/>
      <c r="H877" s="28" t="n"/>
      <c r="I877" s="28" t="n"/>
      <c r="J877" s="28" t="n"/>
      <c r="K877" s="28" t="n"/>
    </row>
    <row r="878">
      <c r="A878" s="28" t="n"/>
      <c r="B878" s="28" t="n"/>
      <c r="C878" s="28" t="n"/>
      <c r="D878" s="28" t="n"/>
      <c r="E878" s="28" t="n"/>
      <c r="F878" s="28" t="n"/>
      <c r="G878" s="28" t="n"/>
      <c r="H878" s="28" t="n"/>
      <c r="I878" s="28" t="n"/>
      <c r="J878" s="28" t="n"/>
      <c r="K878" s="28" t="n"/>
    </row>
    <row r="879">
      <c r="A879" s="28" t="n"/>
      <c r="B879" s="28" t="n"/>
      <c r="C879" s="28" t="n"/>
      <c r="D879" s="28" t="n"/>
      <c r="E879" s="28" t="n"/>
      <c r="F879" s="28" t="n"/>
      <c r="G879" s="28" t="n"/>
      <c r="H879" s="28" t="n"/>
      <c r="I879" s="28" t="n"/>
      <c r="J879" s="28" t="n"/>
      <c r="K879" s="28" t="n"/>
    </row>
    <row r="880">
      <c r="A880" s="28" t="n"/>
      <c r="B880" s="28" t="n"/>
      <c r="C880" s="28" t="n"/>
      <c r="D880" s="28" t="n"/>
      <c r="E880" s="28" t="n"/>
      <c r="F880" s="28" t="n"/>
      <c r="G880" s="28" t="n"/>
      <c r="H880" s="28" t="n"/>
      <c r="I880" s="28" t="n"/>
      <c r="J880" s="28" t="n"/>
      <c r="K880" s="28" t="n"/>
    </row>
    <row r="881">
      <c r="A881" s="28" t="n"/>
      <c r="B881" s="28" t="n"/>
      <c r="C881" s="28" t="n"/>
      <c r="D881" s="28" t="n"/>
      <c r="E881" s="28" t="n"/>
      <c r="F881" s="28" t="n"/>
      <c r="G881" s="28" t="n"/>
      <c r="H881" s="28" t="n"/>
      <c r="I881" s="28" t="n"/>
      <c r="J881" s="28" t="n"/>
      <c r="K881" s="28" t="n"/>
    </row>
    <row r="882">
      <c r="A882" s="28" t="n"/>
      <c r="B882" s="28" t="n"/>
      <c r="C882" s="28" t="n"/>
      <c r="D882" s="28" t="n"/>
      <c r="E882" s="28" t="n"/>
      <c r="F882" s="28" t="n"/>
      <c r="G882" s="28" t="n"/>
      <c r="H882" s="28" t="n"/>
      <c r="I882" s="28" t="n"/>
      <c r="J882" s="28" t="n"/>
      <c r="K882" s="28" t="n"/>
    </row>
    <row r="883">
      <c r="A883" s="28" t="n"/>
      <c r="B883" s="28" t="n"/>
      <c r="C883" s="28" t="n"/>
      <c r="D883" s="28" t="n"/>
      <c r="E883" s="28" t="n"/>
      <c r="F883" s="28" t="n"/>
      <c r="G883" s="28" t="n"/>
      <c r="H883" s="28" t="n"/>
      <c r="I883" s="28" t="n"/>
      <c r="J883" s="28" t="n"/>
      <c r="K883" s="28" t="n"/>
    </row>
    <row r="884">
      <c r="A884" s="28" t="n"/>
      <c r="B884" s="28" t="n"/>
      <c r="C884" s="28" t="n"/>
      <c r="D884" s="28" t="n"/>
      <c r="E884" s="28" t="n"/>
      <c r="F884" s="28" t="n"/>
      <c r="G884" s="28" t="n"/>
      <c r="H884" s="28" t="n"/>
      <c r="I884" s="28" t="n"/>
      <c r="J884" s="28" t="n"/>
      <c r="K884" s="28" t="n"/>
    </row>
    <row r="885">
      <c r="A885" s="28" t="n"/>
      <c r="B885" s="28" t="n"/>
      <c r="C885" s="28" t="n"/>
      <c r="D885" s="28" t="n"/>
      <c r="E885" s="28" t="n"/>
      <c r="F885" s="28" t="n"/>
      <c r="G885" s="28" t="n"/>
      <c r="H885" s="28" t="n"/>
      <c r="I885" s="28" t="n"/>
      <c r="J885" s="28" t="n"/>
      <c r="K885" s="28" t="n"/>
    </row>
    <row r="886">
      <c r="A886" s="28" t="n"/>
      <c r="B886" s="28" t="n"/>
      <c r="C886" s="28" t="n"/>
      <c r="D886" s="28" t="n"/>
      <c r="E886" s="28" t="n"/>
      <c r="F886" s="28" t="n"/>
      <c r="G886" s="28" t="n"/>
      <c r="H886" s="28" t="n"/>
      <c r="I886" s="28" t="n"/>
      <c r="J886" s="28" t="n"/>
      <c r="K886" s="28" t="n"/>
    </row>
    <row r="887">
      <c r="A887" s="28" t="n"/>
      <c r="B887" s="28" t="n"/>
      <c r="C887" s="28" t="n"/>
      <c r="D887" s="28" t="n"/>
      <c r="E887" s="28" t="n"/>
      <c r="F887" s="28" t="n"/>
      <c r="G887" s="28" t="n"/>
      <c r="H887" s="28" t="n"/>
      <c r="I887" s="28" t="n"/>
      <c r="J887" s="28" t="n"/>
      <c r="K887" s="28" t="n"/>
    </row>
    <row r="888">
      <c r="A888" s="28" t="n"/>
      <c r="B888" s="28" t="n"/>
      <c r="C888" s="28" t="n"/>
      <c r="D888" s="28" t="n"/>
      <c r="E888" s="28" t="n"/>
      <c r="F888" s="28" t="n"/>
      <c r="G888" s="28" t="n"/>
      <c r="H888" s="28" t="n"/>
      <c r="I888" s="28" t="n"/>
      <c r="J888" s="28" t="n"/>
      <c r="K888" s="28" t="n"/>
    </row>
    <row r="889">
      <c r="A889" s="28" t="n"/>
      <c r="B889" s="28" t="n"/>
      <c r="C889" s="28" t="n"/>
      <c r="D889" s="28" t="n"/>
      <c r="E889" s="28" t="n"/>
      <c r="F889" s="28" t="n"/>
      <c r="G889" s="28" t="n"/>
      <c r="H889" s="28" t="n"/>
      <c r="I889" s="28" t="n"/>
      <c r="J889" s="28" t="n"/>
      <c r="K889" s="28" t="n"/>
    </row>
    <row r="890">
      <c r="A890" s="28" t="n"/>
      <c r="B890" s="28" t="n"/>
      <c r="C890" s="28" t="n"/>
      <c r="D890" s="28" t="n"/>
      <c r="E890" s="28" t="n"/>
      <c r="F890" s="28" t="n"/>
      <c r="G890" s="28" t="n"/>
      <c r="H890" s="28" t="n"/>
      <c r="I890" s="28" t="n"/>
      <c r="J890" s="28" t="n"/>
      <c r="K890" s="28" t="n"/>
    </row>
    <row r="891">
      <c r="A891" s="28" t="n"/>
      <c r="B891" s="28" t="n"/>
      <c r="C891" s="28" t="n"/>
      <c r="D891" s="28" t="n"/>
      <c r="E891" s="28" t="n"/>
      <c r="F891" s="28" t="n"/>
      <c r="G891" s="28" t="n"/>
      <c r="H891" s="28" t="n"/>
      <c r="I891" s="28" t="n"/>
      <c r="J891" s="28" t="n"/>
      <c r="K891" s="28" t="n"/>
    </row>
    <row r="892">
      <c r="A892" s="28" t="n"/>
      <c r="B892" s="28" t="n"/>
      <c r="C892" s="28" t="n"/>
      <c r="D892" s="28" t="n"/>
      <c r="E892" s="28" t="n"/>
      <c r="F892" s="28" t="n"/>
      <c r="G892" s="28" t="n"/>
      <c r="H892" s="28" t="n"/>
      <c r="I892" s="28" t="n"/>
      <c r="J892" s="28" t="n"/>
      <c r="K892" s="28" t="n"/>
    </row>
    <row r="893">
      <c r="A893" s="28" t="n"/>
      <c r="B893" s="28" t="n"/>
      <c r="C893" s="28" t="n"/>
      <c r="D893" s="28" t="n"/>
      <c r="E893" s="28" t="n"/>
      <c r="F893" s="28" t="n"/>
      <c r="G893" s="28" t="n"/>
      <c r="H893" s="28" t="n"/>
      <c r="I893" s="28" t="n"/>
      <c r="J893" s="28" t="n"/>
      <c r="K893" s="28" t="n"/>
    </row>
    <row r="894">
      <c r="A894" s="28" t="n"/>
      <c r="B894" s="28" t="n"/>
      <c r="C894" s="28" t="n"/>
      <c r="D894" s="28" t="n"/>
      <c r="E894" s="28" t="n"/>
      <c r="F894" s="28" t="n"/>
      <c r="G894" s="28" t="n"/>
      <c r="H894" s="28" t="n"/>
      <c r="I894" s="28" t="n"/>
      <c r="J894" s="28" t="n"/>
      <c r="K894" s="28" t="n"/>
    </row>
    <row r="895">
      <c r="A895" s="28" t="n"/>
      <c r="B895" s="28" t="n"/>
      <c r="C895" s="28" t="n"/>
      <c r="D895" s="28" t="n"/>
      <c r="E895" s="28" t="n"/>
      <c r="F895" s="28" t="n"/>
      <c r="G895" s="28" t="n"/>
      <c r="H895" s="28" t="n"/>
      <c r="I895" s="28" t="n"/>
      <c r="J895" s="28" t="n"/>
      <c r="K895" s="28" t="n"/>
    </row>
    <row r="896">
      <c r="A896" s="28" t="n"/>
      <c r="B896" s="28" t="n"/>
      <c r="C896" s="28" t="n"/>
      <c r="D896" s="28" t="n"/>
      <c r="E896" s="28" t="n"/>
      <c r="F896" s="28" t="n"/>
      <c r="G896" s="28" t="n"/>
      <c r="H896" s="28" t="n"/>
      <c r="I896" s="28" t="n"/>
      <c r="J896" s="28" t="n"/>
      <c r="K896" s="28" t="n"/>
    </row>
    <row r="897">
      <c r="A897" s="28" t="n"/>
      <c r="B897" s="28" t="n"/>
      <c r="C897" s="28" t="n"/>
      <c r="D897" s="28" t="n"/>
      <c r="E897" s="28" t="n"/>
      <c r="F897" s="28" t="n"/>
      <c r="G897" s="28" t="n"/>
      <c r="H897" s="28" t="n"/>
      <c r="I897" s="28" t="n"/>
      <c r="J897" s="28" t="n"/>
      <c r="K897" s="28" t="n"/>
    </row>
    <row r="898">
      <c r="A898" s="28" t="n"/>
      <c r="B898" s="28" t="n"/>
      <c r="C898" s="28" t="n"/>
      <c r="D898" s="28" t="n"/>
      <c r="E898" s="28" t="n"/>
      <c r="F898" s="28" t="n"/>
      <c r="G898" s="28" t="n"/>
      <c r="H898" s="28" t="n"/>
      <c r="I898" s="28" t="n"/>
      <c r="J898" s="28" t="n"/>
      <c r="K898" s="28" t="n"/>
    </row>
    <row r="899">
      <c r="A899" s="28" t="n"/>
      <c r="B899" s="28" t="n"/>
      <c r="C899" s="28" t="n"/>
      <c r="D899" s="28" t="n"/>
      <c r="E899" s="28" t="n"/>
      <c r="F899" s="28" t="n"/>
      <c r="G899" s="28" t="n"/>
      <c r="H899" s="28" t="n"/>
      <c r="I899" s="28" t="n"/>
      <c r="J899" s="28" t="n"/>
      <c r="K899" s="28" t="n"/>
    </row>
    <row r="900">
      <c r="A900" s="28" t="n"/>
      <c r="B900" s="28" t="n"/>
      <c r="C900" s="28" t="n"/>
      <c r="D900" s="28" t="n"/>
      <c r="E900" s="28" t="n"/>
      <c r="F900" s="28" t="n"/>
      <c r="G900" s="28" t="n"/>
      <c r="H900" s="28" t="n"/>
      <c r="I900" s="28" t="n"/>
      <c r="J900" s="28" t="n"/>
      <c r="K900" s="28" t="n"/>
    </row>
    <row r="901">
      <c r="A901" s="28" t="n"/>
      <c r="B901" s="28" t="n"/>
      <c r="C901" s="28" t="n"/>
      <c r="D901" s="28" t="n"/>
      <c r="E901" s="28" t="n"/>
      <c r="F901" s="28" t="n"/>
      <c r="G901" s="28" t="n"/>
      <c r="H901" s="28" t="n"/>
      <c r="I901" s="28" t="n"/>
      <c r="J901" s="28" t="n"/>
      <c r="K901" s="28" t="n"/>
    </row>
    <row r="902">
      <c r="A902" s="28" t="n"/>
      <c r="B902" s="28" t="n"/>
      <c r="C902" s="28" t="n"/>
      <c r="D902" s="28" t="n"/>
      <c r="E902" s="28" t="n"/>
      <c r="F902" s="28" t="n"/>
      <c r="G902" s="28" t="n"/>
      <c r="H902" s="28" t="n"/>
      <c r="I902" s="28" t="n"/>
      <c r="J902" s="28" t="n"/>
      <c r="K902" s="28" t="n"/>
    </row>
    <row r="903">
      <c r="A903" s="28" t="n"/>
      <c r="B903" s="28" t="n"/>
      <c r="C903" s="28" t="n"/>
      <c r="D903" s="28" t="n"/>
      <c r="E903" s="28" t="n"/>
      <c r="F903" s="28" t="n"/>
      <c r="G903" s="28" t="n"/>
      <c r="H903" s="28" t="n"/>
      <c r="I903" s="28" t="n"/>
      <c r="J903" s="28" t="n"/>
      <c r="K903" s="28" t="n"/>
    </row>
    <row r="904">
      <c r="A904" s="28" t="n"/>
      <c r="B904" s="28" t="n"/>
      <c r="C904" s="28" t="n"/>
      <c r="D904" s="28" t="n"/>
      <c r="E904" s="28" t="n"/>
      <c r="F904" s="28" t="n"/>
      <c r="G904" s="28" t="n"/>
      <c r="H904" s="28" t="n"/>
      <c r="I904" s="28" t="n"/>
      <c r="J904" s="28" t="n"/>
      <c r="K904" s="28" t="n"/>
    </row>
    <row r="905">
      <c r="A905" s="28" t="n"/>
      <c r="B905" s="28" t="n"/>
      <c r="C905" s="28" t="n"/>
      <c r="D905" s="28" t="n"/>
      <c r="E905" s="28" t="n"/>
      <c r="F905" s="28" t="n"/>
      <c r="G905" s="28" t="n"/>
      <c r="H905" s="28" t="n"/>
      <c r="I905" s="28" t="n"/>
      <c r="J905" s="28" t="n"/>
      <c r="K905" s="28" t="n"/>
    </row>
    <row r="906">
      <c r="A906" s="28" t="n"/>
      <c r="B906" s="28" t="n"/>
      <c r="C906" s="28" t="n"/>
      <c r="D906" s="28" t="n"/>
      <c r="E906" s="28" t="n"/>
      <c r="F906" s="28" t="n"/>
      <c r="G906" s="28" t="n"/>
      <c r="H906" s="28" t="n"/>
      <c r="I906" s="28" t="n"/>
      <c r="J906" s="28" t="n"/>
      <c r="K906" s="28" t="n"/>
    </row>
    <row r="907">
      <c r="A907" s="28" t="n"/>
      <c r="B907" s="28" t="n"/>
      <c r="C907" s="28" t="n"/>
      <c r="D907" s="28" t="n"/>
      <c r="E907" s="28" t="n"/>
      <c r="F907" s="28" t="n"/>
      <c r="G907" s="28" t="n"/>
      <c r="H907" s="28" t="n"/>
      <c r="I907" s="28" t="n"/>
      <c r="J907" s="28" t="n"/>
      <c r="K907" s="28" t="n"/>
    </row>
    <row r="908">
      <c r="A908" s="28" t="n"/>
      <c r="B908" s="28" t="n"/>
      <c r="C908" s="28" t="n"/>
      <c r="D908" s="28" t="n"/>
      <c r="E908" s="28" t="n"/>
      <c r="F908" s="28" t="n"/>
      <c r="G908" s="28" t="n"/>
      <c r="H908" s="28" t="n"/>
      <c r="I908" s="28" t="n"/>
      <c r="J908" s="28" t="n"/>
      <c r="K908" s="28" t="n"/>
    </row>
    <row r="909">
      <c r="A909" s="28" t="n"/>
      <c r="B909" s="28" t="n"/>
      <c r="C909" s="28" t="n"/>
      <c r="D909" s="28" t="n"/>
      <c r="E909" s="28" t="n"/>
      <c r="F909" s="28" t="n"/>
      <c r="G909" s="28" t="n"/>
      <c r="H909" s="28" t="n"/>
      <c r="I909" s="28" t="n"/>
      <c r="J909" s="28" t="n"/>
      <c r="K909" s="28" t="n"/>
    </row>
    <row r="910">
      <c r="A910" s="28" t="n"/>
      <c r="B910" s="28" t="n"/>
      <c r="C910" s="28" t="n"/>
      <c r="D910" s="28" t="n"/>
      <c r="E910" s="28" t="n"/>
      <c r="F910" s="28" t="n"/>
      <c r="G910" s="28" t="n"/>
      <c r="H910" s="28" t="n"/>
      <c r="I910" s="28" t="n"/>
      <c r="J910" s="28" t="n"/>
      <c r="K910" s="28" t="n"/>
    </row>
    <row r="911">
      <c r="A911" s="28" t="n"/>
      <c r="B911" s="28" t="n"/>
      <c r="C911" s="28" t="n"/>
      <c r="D911" s="28" t="n"/>
      <c r="E911" s="28" t="n"/>
      <c r="F911" s="28" t="n"/>
      <c r="G911" s="28" t="n"/>
      <c r="H911" s="28" t="n"/>
      <c r="I911" s="28" t="n"/>
      <c r="J911" s="28" t="n"/>
      <c r="K911" s="28" t="n"/>
    </row>
    <row r="912">
      <c r="A912" s="28" t="n"/>
      <c r="B912" s="28" t="n"/>
      <c r="C912" s="28" t="n"/>
      <c r="D912" s="28" t="n"/>
      <c r="E912" s="28" t="n"/>
      <c r="F912" s="28" t="n"/>
      <c r="G912" s="28" t="n"/>
      <c r="H912" s="28" t="n"/>
      <c r="I912" s="28" t="n"/>
      <c r="J912" s="28" t="n"/>
      <c r="K912" s="28" t="n"/>
    </row>
    <row r="913">
      <c r="A913" s="28" t="n"/>
      <c r="B913" s="28" t="n"/>
      <c r="C913" s="28" t="n"/>
      <c r="D913" s="28" t="n"/>
      <c r="E913" s="28" t="n"/>
      <c r="F913" s="28" t="n"/>
      <c r="G913" s="28" t="n"/>
      <c r="H913" s="28" t="n"/>
      <c r="I913" s="28" t="n"/>
      <c r="J913" s="28" t="n"/>
      <c r="K913" s="28" t="n"/>
    </row>
    <row r="914">
      <c r="A914" s="28" t="n"/>
      <c r="B914" s="28" t="n"/>
      <c r="C914" s="28" t="n"/>
      <c r="D914" s="28" t="n"/>
      <c r="E914" s="28" t="n"/>
      <c r="F914" s="28" t="n"/>
      <c r="G914" s="28" t="n"/>
      <c r="H914" s="28" t="n"/>
      <c r="I914" s="28" t="n"/>
      <c r="J914" s="28" t="n"/>
      <c r="K914" s="28" t="n"/>
    </row>
    <row r="915">
      <c r="A915" s="28" t="n"/>
      <c r="B915" s="28" t="n"/>
      <c r="C915" s="28" t="n"/>
      <c r="D915" s="28" t="n"/>
      <c r="E915" s="28" t="n"/>
      <c r="F915" s="28" t="n"/>
      <c r="G915" s="28" t="n"/>
      <c r="H915" s="28" t="n"/>
      <c r="I915" s="28" t="n"/>
      <c r="J915" s="28" t="n"/>
      <c r="K915" s="28" t="n"/>
    </row>
    <row r="916">
      <c r="A916" s="28" t="n"/>
      <c r="B916" s="28" t="n"/>
      <c r="C916" s="28" t="n"/>
      <c r="D916" s="28" t="n"/>
      <c r="E916" s="28" t="n"/>
      <c r="F916" s="28" t="n"/>
      <c r="G916" s="28" t="n"/>
      <c r="H916" s="28" t="n"/>
      <c r="I916" s="28" t="n"/>
      <c r="J916" s="28" t="n"/>
      <c r="K916" s="28" t="n"/>
    </row>
    <row r="917">
      <c r="A917" s="28" t="n"/>
      <c r="B917" s="28" t="n"/>
      <c r="C917" s="28" t="n"/>
      <c r="D917" s="28" t="n"/>
      <c r="E917" s="28" t="n"/>
      <c r="F917" s="28" t="n"/>
      <c r="G917" s="28" t="n"/>
      <c r="H917" s="28" t="n"/>
      <c r="I917" s="28" t="n"/>
      <c r="J917" s="28" t="n"/>
      <c r="K917" s="28" t="n"/>
    </row>
    <row r="918">
      <c r="A918" s="28" t="n"/>
      <c r="B918" s="28" t="n"/>
      <c r="C918" s="28" t="n"/>
      <c r="D918" s="28" t="n"/>
      <c r="E918" s="28" t="n"/>
      <c r="F918" s="28" t="n"/>
      <c r="G918" s="28" t="n"/>
      <c r="H918" s="28" t="n"/>
      <c r="I918" s="28" t="n"/>
      <c r="J918" s="28" t="n"/>
      <c r="K918" s="28" t="n"/>
    </row>
    <row r="919">
      <c r="A919" s="28" t="n"/>
      <c r="B919" s="28" t="n"/>
      <c r="C919" s="28" t="n"/>
      <c r="D919" s="28" t="n"/>
      <c r="E919" s="28" t="n"/>
      <c r="F919" s="28" t="n"/>
      <c r="G919" s="28" t="n"/>
      <c r="H919" s="28" t="n"/>
      <c r="I919" s="28" t="n"/>
      <c r="J919" s="28" t="n"/>
      <c r="K919" s="28" t="n"/>
    </row>
    <row r="920">
      <c r="A920" s="28" t="n"/>
      <c r="B920" s="28" t="n"/>
      <c r="C920" s="28" t="n"/>
      <c r="D920" s="28" t="n"/>
      <c r="E920" s="28" t="n"/>
      <c r="F920" s="28" t="n"/>
      <c r="G920" s="28" t="n"/>
      <c r="H920" s="28" t="n"/>
      <c r="I920" s="28" t="n"/>
      <c r="J920" s="28" t="n"/>
      <c r="K920" s="28" t="n"/>
    </row>
    <row r="921">
      <c r="A921" s="28" t="n"/>
      <c r="B921" s="28" t="n"/>
      <c r="C921" s="28" t="n"/>
      <c r="D921" s="28" t="n"/>
      <c r="E921" s="28" t="n"/>
      <c r="F921" s="28" t="n"/>
      <c r="G921" s="28" t="n"/>
      <c r="H921" s="28" t="n"/>
      <c r="I921" s="28" t="n"/>
      <c r="J921" s="28" t="n"/>
      <c r="K921" s="28" t="n"/>
    </row>
    <row r="922">
      <c r="A922" s="28" t="n"/>
      <c r="B922" s="28" t="n"/>
      <c r="C922" s="28" t="n"/>
      <c r="D922" s="28" t="n"/>
      <c r="E922" s="28" t="n"/>
      <c r="F922" s="28" t="n"/>
      <c r="G922" s="28" t="n"/>
      <c r="H922" s="28" t="n"/>
      <c r="I922" s="28" t="n"/>
      <c r="J922" s="28" t="n"/>
      <c r="K922" s="28" t="n"/>
    </row>
    <row r="923">
      <c r="A923" s="28" t="n"/>
      <c r="B923" s="28" t="n"/>
      <c r="C923" s="28" t="n"/>
      <c r="D923" s="28" t="n"/>
      <c r="E923" s="28" t="n"/>
      <c r="F923" s="28" t="n"/>
      <c r="G923" s="28" t="n"/>
      <c r="H923" s="28" t="n"/>
      <c r="I923" s="28" t="n"/>
      <c r="J923" s="28" t="n"/>
      <c r="K923" s="28" t="n"/>
    </row>
    <row r="924">
      <c r="A924" s="28" t="n"/>
      <c r="B924" s="28" t="n"/>
      <c r="C924" s="28" t="n"/>
      <c r="D924" s="28" t="n"/>
      <c r="E924" s="28" t="n"/>
      <c r="F924" s="28" t="n"/>
      <c r="G924" s="28" t="n"/>
      <c r="H924" s="28" t="n"/>
      <c r="I924" s="28" t="n"/>
      <c r="J924" s="28" t="n"/>
      <c r="K924" s="28" t="n"/>
    </row>
    <row r="925">
      <c r="A925" s="28" t="n"/>
      <c r="B925" s="28" t="n"/>
      <c r="C925" s="28" t="n"/>
      <c r="D925" s="28" t="n"/>
      <c r="E925" s="28" t="n"/>
      <c r="F925" s="28" t="n"/>
      <c r="G925" s="28" t="n"/>
      <c r="H925" s="28" t="n"/>
      <c r="I925" s="28" t="n"/>
      <c r="J925" s="28" t="n"/>
      <c r="K925" s="28" t="n"/>
    </row>
    <row r="926">
      <c r="A926" s="28" t="n"/>
      <c r="B926" s="28" t="n"/>
      <c r="C926" s="28" t="n"/>
      <c r="D926" s="28" t="n"/>
      <c r="E926" s="28" t="n"/>
      <c r="F926" s="28" t="n"/>
      <c r="G926" s="28" t="n"/>
      <c r="H926" s="28" t="n"/>
      <c r="I926" s="28" t="n"/>
      <c r="J926" s="28" t="n"/>
      <c r="K926" s="28" t="n"/>
    </row>
    <row r="927">
      <c r="A927" s="28" t="n"/>
      <c r="B927" s="28" t="n"/>
      <c r="C927" s="28" t="n"/>
      <c r="D927" s="28" t="n"/>
      <c r="E927" s="28" t="n"/>
      <c r="F927" s="28" t="n"/>
      <c r="G927" s="28" t="n"/>
      <c r="H927" s="28" t="n"/>
      <c r="I927" s="28" t="n"/>
      <c r="J927" s="28" t="n"/>
      <c r="K927" s="28" t="n"/>
    </row>
    <row r="928">
      <c r="A928" s="28" t="n"/>
      <c r="B928" s="28" t="n"/>
      <c r="C928" s="28" t="n"/>
      <c r="D928" s="28" t="n"/>
      <c r="E928" s="28" t="n"/>
      <c r="F928" s="28" t="n"/>
      <c r="G928" s="28" t="n"/>
      <c r="H928" s="28" t="n"/>
      <c r="I928" s="28" t="n"/>
      <c r="J928" s="28" t="n"/>
      <c r="K928" s="28" t="n"/>
    </row>
    <row r="929">
      <c r="A929" s="28" t="n"/>
      <c r="B929" s="28" t="n"/>
      <c r="C929" s="28" t="n"/>
      <c r="D929" s="28" t="n"/>
      <c r="E929" s="28" t="n"/>
      <c r="F929" s="28" t="n"/>
      <c r="G929" s="28" t="n"/>
      <c r="H929" s="28" t="n"/>
      <c r="I929" s="28" t="n"/>
      <c r="J929" s="28" t="n"/>
      <c r="K929" s="28" t="n"/>
    </row>
    <row r="930">
      <c r="A930" s="28" t="n"/>
      <c r="B930" s="28" t="n"/>
      <c r="C930" s="28" t="n"/>
      <c r="D930" s="28" t="n"/>
      <c r="E930" s="28" t="n"/>
      <c r="F930" s="28" t="n"/>
      <c r="G930" s="28" t="n"/>
      <c r="H930" s="28" t="n"/>
      <c r="I930" s="28" t="n"/>
      <c r="J930" s="28" t="n"/>
      <c r="K930" s="28" t="n"/>
    </row>
    <row r="931">
      <c r="A931" s="28" t="n"/>
      <c r="B931" s="28" t="n"/>
      <c r="C931" s="28" t="n"/>
      <c r="D931" s="28" t="n"/>
      <c r="E931" s="28" t="n"/>
      <c r="F931" s="28" t="n"/>
      <c r="G931" s="28" t="n"/>
      <c r="H931" s="28" t="n"/>
      <c r="I931" s="28" t="n"/>
      <c r="J931" s="28" t="n"/>
      <c r="K931" s="28" t="n"/>
    </row>
    <row r="932">
      <c r="A932" s="28" t="n"/>
      <c r="B932" s="28" t="n"/>
      <c r="C932" s="28" t="n"/>
      <c r="D932" s="28" t="n"/>
      <c r="E932" s="28" t="n"/>
      <c r="F932" s="28" t="n"/>
      <c r="G932" s="28" t="n"/>
      <c r="H932" s="28" t="n"/>
      <c r="I932" s="28" t="n"/>
      <c r="J932" s="28" t="n"/>
      <c r="K932" s="28" t="n"/>
    </row>
    <row r="933">
      <c r="A933" s="28" t="n"/>
      <c r="B933" s="28" t="n"/>
      <c r="C933" s="28" t="n"/>
      <c r="D933" s="28" t="n"/>
      <c r="E933" s="28" t="n"/>
      <c r="F933" s="28" t="n"/>
      <c r="G933" s="28" t="n"/>
      <c r="H933" s="28" t="n"/>
      <c r="I933" s="28" t="n"/>
      <c r="J933" s="28" t="n"/>
      <c r="K933" s="28" t="n"/>
    </row>
    <row r="934">
      <c r="A934" s="28" t="n"/>
      <c r="B934" s="28" t="n"/>
      <c r="C934" s="28" t="n"/>
      <c r="D934" s="28" t="n"/>
      <c r="E934" s="28" t="n"/>
      <c r="F934" s="28" t="n"/>
      <c r="G934" s="28" t="n"/>
      <c r="H934" s="28" t="n"/>
      <c r="I934" s="28" t="n"/>
      <c r="J934" s="28" t="n"/>
      <c r="K934" s="28" t="n"/>
    </row>
    <row r="935">
      <c r="A935" s="28" t="n"/>
      <c r="B935" s="28" t="n"/>
      <c r="C935" s="28" t="n"/>
      <c r="D935" s="28" t="n"/>
      <c r="E935" s="28" t="n"/>
      <c r="F935" s="28" t="n"/>
      <c r="G935" s="28" t="n"/>
      <c r="H935" s="28" t="n"/>
      <c r="I935" s="28" t="n"/>
      <c r="J935" s="28" t="n"/>
      <c r="K935" s="28" t="n"/>
    </row>
    <row r="936">
      <c r="A936" s="28" t="n"/>
      <c r="B936" s="28" t="n"/>
      <c r="C936" s="28" t="n"/>
      <c r="D936" s="28" t="n"/>
      <c r="E936" s="28" t="n"/>
      <c r="F936" s="28" t="n"/>
      <c r="G936" s="28" t="n"/>
      <c r="H936" s="28" t="n"/>
      <c r="I936" s="28" t="n"/>
      <c r="J936" s="28" t="n"/>
      <c r="K936" s="28" t="n"/>
    </row>
    <row r="937">
      <c r="A937" s="28" t="n"/>
      <c r="B937" s="28" t="n"/>
      <c r="C937" s="28" t="n"/>
      <c r="D937" s="28" t="n"/>
      <c r="E937" s="28" t="n"/>
      <c r="F937" s="28" t="n"/>
      <c r="G937" s="28" t="n"/>
      <c r="H937" s="28" t="n"/>
      <c r="I937" s="28" t="n"/>
      <c r="J937" s="28" t="n"/>
      <c r="K937" s="28" t="n"/>
    </row>
    <row r="938">
      <c r="A938" s="28" t="n"/>
      <c r="B938" s="28" t="n"/>
      <c r="C938" s="28" t="n"/>
      <c r="D938" s="28" t="n"/>
      <c r="E938" s="28" t="n"/>
      <c r="F938" s="28" t="n"/>
      <c r="G938" s="28" t="n"/>
      <c r="H938" s="28" t="n"/>
      <c r="I938" s="28" t="n"/>
      <c r="J938" s="28" t="n"/>
      <c r="K938" s="28" t="n"/>
    </row>
    <row r="939">
      <c r="A939" s="28" t="n"/>
      <c r="B939" s="28" t="n"/>
      <c r="C939" s="28" t="n"/>
      <c r="D939" s="28" t="n"/>
      <c r="E939" s="28" t="n"/>
      <c r="F939" s="28" t="n"/>
      <c r="G939" s="28" t="n"/>
      <c r="H939" s="28" t="n"/>
      <c r="I939" s="28" t="n"/>
      <c r="J939" s="28" t="n"/>
      <c r="K939" s="28" t="n"/>
    </row>
    <row r="940">
      <c r="A940" s="28" t="n"/>
      <c r="B940" s="28" t="n"/>
      <c r="C940" s="28" t="n"/>
      <c r="D940" s="28" t="n"/>
      <c r="E940" s="28" t="n"/>
      <c r="F940" s="28" t="n"/>
      <c r="G940" s="28" t="n"/>
      <c r="H940" s="28" t="n"/>
      <c r="I940" s="28" t="n"/>
      <c r="J940" s="28" t="n"/>
      <c r="K940" s="28" t="n"/>
    </row>
    <row r="941">
      <c r="A941" s="28" t="n"/>
      <c r="B941" s="28" t="n"/>
      <c r="C941" s="28" t="n"/>
      <c r="D941" s="28" t="n"/>
      <c r="E941" s="28" t="n"/>
      <c r="F941" s="28" t="n"/>
      <c r="G941" s="28" t="n"/>
      <c r="H941" s="28" t="n"/>
      <c r="I941" s="28" t="n"/>
      <c r="J941" s="28" t="n"/>
      <c r="K941" s="28" t="n"/>
    </row>
    <row r="942">
      <c r="A942" s="28" t="n"/>
      <c r="B942" s="28" t="n"/>
      <c r="C942" s="28" t="n"/>
      <c r="D942" s="28" t="n"/>
      <c r="E942" s="28" t="n"/>
      <c r="F942" s="28" t="n"/>
      <c r="G942" s="28" t="n"/>
      <c r="H942" s="28" t="n"/>
      <c r="I942" s="28" t="n"/>
      <c r="J942" s="28" t="n"/>
      <c r="K942" s="28" t="n"/>
    </row>
    <row r="943">
      <c r="A943" s="28" t="n"/>
      <c r="B943" s="28" t="n"/>
      <c r="C943" s="28" t="n"/>
      <c r="D943" s="28" t="n"/>
      <c r="E943" s="28" t="n"/>
      <c r="F943" s="28" t="n"/>
      <c r="G943" s="28" t="n"/>
      <c r="H943" s="28" t="n"/>
      <c r="I943" s="28" t="n"/>
      <c r="J943" s="28" t="n"/>
      <c r="K943" s="28" t="n"/>
    </row>
    <row r="944">
      <c r="A944" s="28" t="n"/>
      <c r="B944" s="28" t="n"/>
      <c r="C944" s="28" t="n"/>
      <c r="D944" s="28" t="n"/>
      <c r="E944" s="28" t="n"/>
      <c r="F944" s="28" t="n"/>
      <c r="G944" s="28" t="n"/>
      <c r="H944" s="28" t="n"/>
      <c r="I944" s="28" t="n"/>
      <c r="J944" s="28" t="n"/>
      <c r="K944" s="28" t="n"/>
    </row>
    <row r="945">
      <c r="A945" s="28" t="n"/>
      <c r="B945" s="28" t="n"/>
      <c r="C945" s="28" t="n"/>
      <c r="D945" s="28" t="n"/>
      <c r="E945" s="28" t="n"/>
      <c r="F945" s="28" t="n"/>
      <c r="G945" s="28" t="n"/>
      <c r="H945" s="28" t="n"/>
      <c r="I945" s="28" t="n"/>
      <c r="J945" s="28" t="n"/>
      <c r="K945" s="28" t="n"/>
    </row>
    <row r="946">
      <c r="A946" s="28" t="n"/>
      <c r="B946" s="28" t="n"/>
      <c r="C946" s="28" t="n"/>
      <c r="D946" s="28" t="n"/>
      <c r="E946" s="28" t="n"/>
      <c r="F946" s="28" t="n"/>
      <c r="G946" s="28" t="n"/>
      <c r="H946" s="28" t="n"/>
      <c r="I946" s="28" t="n"/>
      <c r="J946" s="28" t="n"/>
      <c r="K946" s="28" t="n"/>
    </row>
    <row r="947">
      <c r="A947" s="28" t="n"/>
      <c r="B947" s="28" t="n"/>
      <c r="C947" s="28" t="n"/>
      <c r="D947" s="28" t="n"/>
      <c r="E947" s="28" t="n"/>
      <c r="F947" s="28" t="n"/>
      <c r="G947" s="28" t="n"/>
      <c r="H947" s="28" t="n"/>
      <c r="I947" s="28" t="n"/>
      <c r="J947" s="28" t="n"/>
      <c r="K947" s="28" t="n"/>
    </row>
    <row r="948">
      <c r="A948" s="28" t="n"/>
      <c r="B948" s="28" t="n"/>
      <c r="C948" s="28" t="n"/>
      <c r="D948" s="28" t="n"/>
      <c r="E948" s="28" t="n"/>
      <c r="F948" s="28" t="n"/>
      <c r="G948" s="28" t="n"/>
      <c r="H948" s="28" t="n"/>
      <c r="I948" s="28" t="n"/>
      <c r="J948" s="28" t="n"/>
      <c r="K948" s="28" t="n"/>
    </row>
    <row r="949">
      <c r="A949" s="28" t="n"/>
      <c r="B949" s="28" t="n"/>
      <c r="C949" s="28" t="n"/>
      <c r="D949" s="28" t="n"/>
      <c r="E949" s="28" t="n"/>
      <c r="F949" s="28" t="n"/>
      <c r="G949" s="28" t="n"/>
      <c r="H949" s="28" t="n"/>
      <c r="I949" s="28" t="n"/>
      <c r="J949" s="28" t="n"/>
      <c r="K949" s="28" t="n"/>
    </row>
    <row r="950">
      <c r="A950" s="28" t="n"/>
      <c r="B950" s="28" t="n"/>
      <c r="C950" s="28" t="n"/>
      <c r="D950" s="28" t="n"/>
      <c r="E950" s="28" t="n"/>
      <c r="F950" s="28" t="n"/>
      <c r="G950" s="28" t="n"/>
      <c r="H950" s="28" t="n"/>
      <c r="I950" s="28" t="n"/>
      <c r="J950" s="28" t="n"/>
      <c r="K950" s="28" t="n"/>
    </row>
    <row r="951">
      <c r="A951" s="28" t="n"/>
      <c r="B951" s="28" t="n"/>
      <c r="C951" s="28" t="n"/>
      <c r="D951" s="28" t="n"/>
      <c r="E951" s="28" t="n"/>
      <c r="F951" s="28" t="n"/>
      <c r="G951" s="28" t="n"/>
      <c r="H951" s="28" t="n"/>
      <c r="I951" s="28" t="n"/>
      <c r="J951" s="28" t="n"/>
      <c r="K951" s="28" t="n"/>
    </row>
    <row r="952">
      <c r="A952" s="28" t="n"/>
      <c r="B952" s="28" t="n"/>
      <c r="C952" s="28" t="n"/>
      <c r="D952" s="28" t="n"/>
      <c r="E952" s="28" t="n"/>
      <c r="F952" s="28" t="n"/>
      <c r="G952" s="28" t="n"/>
      <c r="H952" s="28" t="n"/>
      <c r="I952" s="28" t="n"/>
      <c r="J952" s="28" t="n"/>
      <c r="K952" s="28" t="n"/>
    </row>
    <row r="953">
      <c r="A953" s="28" t="n"/>
      <c r="B953" s="28" t="n"/>
      <c r="C953" s="28" t="n"/>
      <c r="D953" s="28" t="n"/>
      <c r="E953" s="28" t="n"/>
      <c r="F953" s="28" t="n"/>
      <c r="G953" s="28" t="n"/>
      <c r="H953" s="28" t="n"/>
      <c r="I953" s="28" t="n"/>
      <c r="J953" s="28" t="n"/>
      <c r="K953" s="28" t="n"/>
    </row>
    <row r="954">
      <c r="A954" s="28" t="n"/>
      <c r="B954" s="28" t="n"/>
      <c r="C954" s="28" t="n"/>
      <c r="D954" s="28" t="n"/>
      <c r="E954" s="28" t="n"/>
      <c r="F954" s="28" t="n"/>
      <c r="G954" s="28" t="n"/>
      <c r="H954" s="28" t="n"/>
      <c r="I954" s="28" t="n"/>
      <c r="J954" s="28" t="n"/>
      <c r="K954" s="28" t="n"/>
    </row>
    <row r="955">
      <c r="A955" s="28" t="n"/>
      <c r="B955" s="28" t="n"/>
      <c r="C955" s="28" t="n"/>
      <c r="D955" s="28" t="n"/>
      <c r="E955" s="28" t="n"/>
      <c r="F955" s="28" t="n"/>
      <c r="G955" s="28" t="n"/>
      <c r="H955" s="28" t="n"/>
      <c r="I955" s="28" t="n"/>
      <c r="J955" s="28" t="n"/>
      <c r="K955" s="28" t="n"/>
    </row>
    <row r="956">
      <c r="A956" s="28" t="n"/>
      <c r="B956" s="28" t="n"/>
      <c r="C956" s="28" t="n"/>
      <c r="D956" s="28" t="n"/>
      <c r="E956" s="28" t="n"/>
      <c r="F956" s="28" t="n"/>
      <c r="G956" s="28" t="n"/>
      <c r="H956" s="28" t="n"/>
      <c r="I956" s="28" t="n"/>
      <c r="J956" s="28" t="n"/>
      <c r="K956" s="28" t="n"/>
    </row>
    <row r="957">
      <c r="A957" s="28" t="n"/>
      <c r="B957" s="28" t="n"/>
      <c r="C957" s="28" t="n"/>
      <c r="D957" s="28" t="n"/>
      <c r="E957" s="28" t="n"/>
      <c r="F957" s="28" t="n"/>
      <c r="G957" s="28" t="n"/>
      <c r="H957" s="28" t="n"/>
      <c r="I957" s="28" t="n"/>
      <c r="J957" s="28" t="n"/>
      <c r="K957" s="28" t="n"/>
    </row>
    <row r="958">
      <c r="A958" s="28" t="n"/>
      <c r="B958" s="28" t="n"/>
      <c r="C958" s="28" t="n"/>
      <c r="D958" s="28" t="n"/>
      <c r="E958" s="28" t="n"/>
      <c r="F958" s="28" t="n"/>
      <c r="G958" s="28" t="n"/>
      <c r="H958" s="28" t="n"/>
      <c r="I958" s="28" t="n"/>
      <c r="J958" s="28" t="n"/>
      <c r="K958" s="28" t="n"/>
    </row>
    <row r="959">
      <c r="A959" s="28" t="n"/>
      <c r="B959" s="28" t="n"/>
      <c r="C959" s="28" t="n"/>
      <c r="D959" s="28" t="n"/>
      <c r="E959" s="28" t="n"/>
      <c r="F959" s="28" t="n"/>
      <c r="G959" s="28" t="n"/>
      <c r="H959" s="28" t="n"/>
      <c r="I959" s="28" t="n"/>
      <c r="J959" s="28" t="n"/>
      <c r="K959" s="28" t="n"/>
    </row>
    <row r="960">
      <c r="A960" s="28" t="n"/>
      <c r="B960" s="28" t="n"/>
      <c r="C960" s="28" t="n"/>
      <c r="D960" s="28" t="n"/>
      <c r="E960" s="28" t="n"/>
      <c r="F960" s="28" t="n"/>
      <c r="G960" s="28" t="n"/>
      <c r="H960" s="28" t="n"/>
      <c r="I960" s="28" t="n"/>
      <c r="J960" s="28" t="n"/>
      <c r="K960" s="28" t="n"/>
    </row>
    <row r="961">
      <c r="A961" s="28" t="n"/>
      <c r="B961" s="28" t="n"/>
      <c r="C961" s="28" t="n"/>
      <c r="D961" s="28" t="n"/>
      <c r="E961" s="28" t="n"/>
      <c r="F961" s="28" t="n"/>
      <c r="G961" s="28" t="n"/>
      <c r="H961" s="28" t="n"/>
      <c r="I961" s="28" t="n"/>
      <c r="J961" s="28" t="n"/>
      <c r="K961" s="28" t="n"/>
    </row>
    <row r="962">
      <c r="A962" s="28" t="n"/>
      <c r="B962" s="28" t="n"/>
      <c r="C962" s="28" t="n"/>
      <c r="D962" s="28" t="n"/>
      <c r="E962" s="28" t="n"/>
      <c r="F962" s="28" t="n"/>
      <c r="G962" s="28" t="n"/>
      <c r="H962" s="28" t="n"/>
      <c r="I962" s="28" t="n"/>
      <c r="J962" s="28" t="n"/>
      <c r="K962" s="28" t="n"/>
    </row>
    <row r="963">
      <c r="A963" s="28" t="n"/>
      <c r="B963" s="28" t="n"/>
      <c r="C963" s="28" t="n"/>
      <c r="D963" s="28" t="n"/>
      <c r="E963" s="28" t="n"/>
      <c r="F963" s="28" t="n"/>
      <c r="G963" s="28" t="n"/>
      <c r="H963" s="28" t="n"/>
      <c r="I963" s="28" t="n"/>
      <c r="J963" s="28" t="n"/>
      <c r="K963" s="28" t="n"/>
    </row>
    <row r="964">
      <c r="A964" s="28" t="n"/>
      <c r="B964" s="28" t="n"/>
      <c r="C964" s="28" t="n"/>
      <c r="D964" s="28" t="n"/>
      <c r="E964" s="28" t="n"/>
      <c r="F964" s="28" t="n"/>
      <c r="G964" s="28" t="n"/>
      <c r="H964" s="28" t="n"/>
      <c r="I964" s="28" t="n"/>
      <c r="J964" s="28" t="n"/>
      <c r="K964" s="28" t="n"/>
    </row>
    <row r="965">
      <c r="A965" s="28" t="n"/>
      <c r="B965" s="28" t="n"/>
      <c r="C965" s="28" t="n"/>
      <c r="D965" s="28" t="n"/>
      <c r="E965" s="28" t="n"/>
      <c r="F965" s="28" t="n"/>
      <c r="G965" s="28" t="n"/>
      <c r="H965" s="28" t="n"/>
      <c r="I965" s="28" t="n"/>
      <c r="J965" s="28" t="n"/>
      <c r="K965" s="28" t="n"/>
    </row>
    <row r="966">
      <c r="A966" s="28" t="n"/>
      <c r="B966" s="28" t="n"/>
      <c r="C966" s="28" t="n"/>
      <c r="D966" s="28" t="n"/>
      <c r="E966" s="28" t="n"/>
      <c r="F966" s="28" t="n"/>
      <c r="G966" s="28" t="n"/>
      <c r="H966" s="28" t="n"/>
      <c r="I966" s="28" t="n"/>
      <c r="J966" s="28" t="n"/>
      <c r="K966" s="28" t="n"/>
    </row>
    <row r="967">
      <c r="A967" s="28" t="n"/>
      <c r="B967" s="28" t="n"/>
      <c r="C967" s="28" t="n"/>
      <c r="D967" s="28" t="n"/>
      <c r="E967" s="28" t="n"/>
      <c r="F967" s="28" t="n"/>
      <c r="G967" s="28" t="n"/>
      <c r="H967" s="28" t="n"/>
      <c r="I967" s="28" t="n"/>
      <c r="J967" s="28" t="n"/>
      <c r="K967" s="28" t="n"/>
    </row>
    <row r="968">
      <c r="A968" s="28" t="n"/>
      <c r="B968" s="28" t="n"/>
      <c r="C968" s="28" t="n"/>
      <c r="D968" s="28" t="n"/>
      <c r="E968" s="28" t="n"/>
      <c r="F968" s="28" t="n"/>
      <c r="G968" s="28" t="n"/>
      <c r="H968" s="28" t="n"/>
      <c r="I968" s="28" t="n"/>
      <c r="J968" s="28" t="n"/>
      <c r="K968" s="28" t="n"/>
    </row>
    <row r="969">
      <c r="A969" s="28" t="n"/>
      <c r="B969" s="28" t="n"/>
      <c r="C969" s="28" t="n"/>
      <c r="D969" s="28" t="n"/>
      <c r="E969" s="28" t="n"/>
      <c r="F969" s="28" t="n"/>
      <c r="G969" s="28" t="n"/>
      <c r="H969" s="28" t="n"/>
      <c r="I969" s="28" t="n"/>
      <c r="J969" s="28" t="n"/>
      <c r="K969" s="28" t="n"/>
    </row>
    <row r="970">
      <c r="A970" s="28" t="n"/>
      <c r="B970" s="28" t="n"/>
      <c r="C970" s="28" t="n"/>
      <c r="D970" s="28" t="n"/>
      <c r="E970" s="28" t="n"/>
      <c r="F970" s="28" t="n"/>
      <c r="G970" s="28" t="n"/>
      <c r="H970" s="28" t="n"/>
      <c r="I970" s="28" t="n"/>
      <c r="J970" s="28" t="n"/>
      <c r="K970" s="28" t="n"/>
    </row>
    <row r="971">
      <c r="A971" s="28" t="n"/>
      <c r="B971" s="28" t="n"/>
      <c r="C971" s="28" t="n"/>
      <c r="D971" s="28" t="n"/>
      <c r="E971" s="28" t="n"/>
      <c r="F971" s="28" t="n"/>
      <c r="G971" s="28" t="n"/>
      <c r="H971" s="28" t="n"/>
      <c r="I971" s="28" t="n"/>
      <c r="J971" s="28" t="n"/>
      <c r="K971" s="28" t="n"/>
    </row>
    <row r="972">
      <c r="A972" s="28" t="n"/>
      <c r="B972" s="28" t="n"/>
      <c r="C972" s="28" t="n"/>
      <c r="D972" s="28" t="n"/>
      <c r="E972" s="28" t="n"/>
      <c r="F972" s="28" t="n"/>
      <c r="G972" s="28" t="n"/>
      <c r="H972" s="28" t="n"/>
      <c r="I972" s="28" t="n"/>
      <c r="J972" s="28" t="n"/>
      <c r="K972" s="28" t="n"/>
    </row>
    <row r="973">
      <c r="A973" s="28" t="n"/>
      <c r="B973" s="28" t="n"/>
      <c r="C973" s="28" t="n"/>
      <c r="D973" s="28" t="n"/>
      <c r="E973" s="28" t="n"/>
      <c r="F973" s="28" t="n"/>
      <c r="G973" s="28" t="n"/>
      <c r="H973" s="28" t="n"/>
      <c r="I973" s="28" t="n"/>
      <c r="J973" s="28" t="n"/>
      <c r="K973" s="28" t="n"/>
    </row>
    <row r="974">
      <c r="A974" s="28" t="n"/>
      <c r="B974" s="28" t="n"/>
      <c r="C974" s="28" t="n"/>
      <c r="D974" s="28" t="n"/>
      <c r="E974" s="28" t="n"/>
      <c r="F974" s="28" t="n"/>
      <c r="G974" s="28" t="n"/>
      <c r="H974" s="28" t="n"/>
      <c r="I974" s="28" t="n"/>
      <c r="J974" s="28" t="n"/>
      <c r="K974" s="28" t="n"/>
    </row>
    <row r="975">
      <c r="A975" s="28" t="n"/>
      <c r="B975" s="28" t="n"/>
      <c r="C975" s="28" t="n"/>
      <c r="D975" s="28" t="n"/>
      <c r="E975" s="28" t="n"/>
      <c r="F975" s="28" t="n"/>
      <c r="G975" s="28" t="n"/>
      <c r="H975" s="28" t="n"/>
      <c r="I975" s="28" t="n"/>
      <c r="J975" s="28" t="n"/>
      <c r="K975" s="28" t="n"/>
    </row>
    <row r="976">
      <c r="A976" s="28" t="n"/>
      <c r="B976" s="28" t="n"/>
      <c r="C976" s="28" t="n"/>
      <c r="D976" s="28" t="n"/>
      <c r="E976" s="28" t="n"/>
      <c r="F976" s="28" t="n"/>
      <c r="G976" s="28" t="n"/>
      <c r="H976" s="28" t="n"/>
      <c r="I976" s="28" t="n"/>
      <c r="J976" s="28" t="n"/>
      <c r="K976" s="28" t="n"/>
    </row>
    <row r="977">
      <c r="A977" s="28" t="n"/>
      <c r="B977" s="28" t="n"/>
      <c r="C977" s="28" t="n"/>
      <c r="D977" s="28" t="n"/>
      <c r="E977" s="28" t="n"/>
      <c r="F977" s="28" t="n"/>
      <c r="G977" s="28" t="n"/>
      <c r="H977" s="28" t="n"/>
      <c r="I977" s="28" t="n"/>
      <c r="J977" s="28" t="n"/>
      <c r="K977" s="28" t="n"/>
    </row>
    <row r="978">
      <c r="A978" s="28" t="n"/>
      <c r="B978" s="28" t="n"/>
      <c r="C978" s="28" t="n"/>
      <c r="D978" s="28" t="n"/>
      <c r="E978" s="28" t="n"/>
      <c r="F978" s="28" t="n"/>
      <c r="G978" s="28" t="n"/>
      <c r="H978" s="28" t="n"/>
      <c r="I978" s="28" t="n"/>
      <c r="J978" s="28" t="n"/>
      <c r="K978" s="28" t="n"/>
    </row>
    <row r="979">
      <c r="A979" s="28" t="n"/>
      <c r="B979" s="28" t="n"/>
      <c r="C979" s="28" t="n"/>
      <c r="D979" s="28" t="n"/>
      <c r="E979" s="28" t="n"/>
      <c r="F979" s="28" t="n"/>
      <c r="G979" s="28" t="n"/>
      <c r="H979" s="28" t="n"/>
      <c r="I979" s="28" t="n"/>
      <c r="J979" s="28" t="n"/>
      <c r="K979" s="28" t="n"/>
    </row>
    <row r="980">
      <c r="A980" s="28" t="n"/>
      <c r="B980" s="28" t="n"/>
      <c r="C980" s="28" t="n"/>
      <c r="D980" s="28" t="n"/>
      <c r="E980" s="28" t="n"/>
      <c r="F980" s="28" t="n"/>
      <c r="G980" s="28" t="n"/>
      <c r="H980" s="28" t="n"/>
      <c r="I980" s="28" t="n"/>
      <c r="J980" s="28" t="n"/>
      <c r="K980" s="28" t="n"/>
    </row>
    <row r="981">
      <c r="A981" s="28" t="n"/>
      <c r="B981" s="28" t="n"/>
      <c r="C981" s="28" t="n"/>
      <c r="D981" s="28" t="n"/>
      <c r="E981" s="28" t="n"/>
      <c r="F981" s="28" t="n"/>
      <c r="G981" s="28" t="n"/>
      <c r="H981" s="28" t="n"/>
      <c r="I981" s="28" t="n"/>
      <c r="J981" s="28" t="n"/>
      <c r="K981" s="28" t="n"/>
    </row>
    <row r="982">
      <c r="A982" s="28" t="n"/>
      <c r="B982" s="28" t="n"/>
      <c r="C982" s="28" t="n"/>
      <c r="D982" s="28" t="n"/>
      <c r="E982" s="28" t="n"/>
      <c r="F982" s="28" t="n"/>
      <c r="G982" s="28" t="n"/>
      <c r="H982" s="28" t="n"/>
      <c r="I982" s="28" t="n"/>
      <c r="J982" s="28" t="n"/>
      <c r="K982" s="28" t="n"/>
    </row>
    <row r="983">
      <c r="A983" s="28" t="n"/>
      <c r="B983" s="28" t="n"/>
      <c r="C983" s="28" t="n"/>
      <c r="D983" s="28" t="n"/>
      <c r="E983" s="28" t="n"/>
      <c r="F983" s="28" t="n"/>
      <c r="G983" s="28" t="n"/>
      <c r="H983" s="28" t="n"/>
      <c r="I983" s="28" t="n"/>
      <c r="J983" s="28" t="n"/>
      <c r="K983" s="28" t="n"/>
    </row>
    <row r="984">
      <c r="A984" s="28" t="n"/>
      <c r="B984" s="28" t="n"/>
      <c r="C984" s="28" t="n"/>
      <c r="D984" s="28" t="n"/>
      <c r="E984" s="28" t="n"/>
      <c r="F984" s="28" t="n"/>
      <c r="G984" s="28" t="n"/>
      <c r="H984" s="28" t="n"/>
      <c r="I984" s="28" t="n"/>
      <c r="J984" s="28" t="n"/>
      <c r="K984" s="28" t="n"/>
    </row>
    <row r="985">
      <c r="A985" s="28" t="n"/>
      <c r="B985" s="28" t="n"/>
      <c r="C985" s="28" t="n"/>
      <c r="D985" s="28" t="n"/>
      <c r="E985" s="28" t="n"/>
      <c r="F985" s="28" t="n"/>
      <c r="G985" s="28" t="n"/>
      <c r="H985" s="28" t="n"/>
      <c r="I985" s="28" t="n"/>
      <c r="J985" s="28" t="n"/>
      <c r="K985" s="28" t="n"/>
    </row>
    <row r="986">
      <c r="A986" s="28" t="n"/>
      <c r="B986" s="28" t="n"/>
      <c r="C986" s="28" t="n"/>
      <c r="D986" s="28" t="n"/>
      <c r="E986" s="28" t="n"/>
      <c r="F986" s="28" t="n"/>
      <c r="G986" s="28" t="n"/>
      <c r="H986" s="28" t="n"/>
      <c r="I986" s="28" t="n"/>
      <c r="J986" s="28" t="n"/>
      <c r="K986" s="28" t="n"/>
    </row>
    <row r="987">
      <c r="A987" s="28" t="n"/>
      <c r="B987" s="28" t="n"/>
      <c r="C987" s="28" t="n"/>
      <c r="D987" s="28" t="n"/>
      <c r="E987" s="28" t="n"/>
      <c r="F987" s="28" t="n"/>
      <c r="G987" s="28" t="n"/>
      <c r="H987" s="28" t="n"/>
      <c r="I987" s="28" t="n"/>
      <c r="J987" s="28" t="n"/>
      <c r="K987" s="28" t="n"/>
    </row>
    <row r="988">
      <c r="A988" s="28" t="n"/>
      <c r="B988" s="28" t="n"/>
      <c r="C988" s="28" t="n"/>
      <c r="D988" s="28" t="n"/>
      <c r="E988" s="28" t="n"/>
      <c r="F988" s="28" t="n"/>
      <c r="G988" s="28" t="n"/>
      <c r="H988" s="28" t="n"/>
      <c r="I988" s="28" t="n"/>
      <c r="J988" s="28" t="n"/>
      <c r="K988" s="28" t="n"/>
    </row>
    <row r="989">
      <c r="A989" s="28" t="n"/>
      <c r="B989" s="28" t="n"/>
      <c r="C989" s="28" t="n"/>
      <c r="D989" s="28" t="n"/>
      <c r="E989" s="28" t="n"/>
      <c r="F989" s="28" t="n"/>
      <c r="G989" s="28" t="n"/>
      <c r="H989" s="28" t="n"/>
      <c r="I989" s="28" t="n"/>
      <c r="J989" s="28" t="n"/>
      <c r="K989" s="28" t="n"/>
    </row>
    <row r="990">
      <c r="A990" s="28" t="n"/>
      <c r="B990" s="28" t="n"/>
      <c r="C990" s="28" t="n"/>
      <c r="D990" s="28" t="n"/>
      <c r="E990" s="28" t="n"/>
      <c r="F990" s="28" t="n"/>
      <c r="G990" s="28" t="n"/>
      <c r="H990" s="28" t="n"/>
      <c r="I990" s="28" t="n"/>
      <c r="J990" s="28" t="n"/>
      <c r="K990" s="28" t="n"/>
    </row>
    <row r="991">
      <c r="A991" s="28" t="n"/>
      <c r="B991" s="28" t="n"/>
      <c r="C991" s="28" t="n"/>
      <c r="D991" s="28" t="n"/>
      <c r="E991" s="28" t="n"/>
      <c r="F991" s="28" t="n"/>
      <c r="G991" s="28" t="n"/>
      <c r="H991" s="28" t="n"/>
      <c r="I991" s="28" t="n"/>
      <c r="J991" s="28" t="n"/>
      <c r="K991" s="28" t="n"/>
    </row>
    <row r="992">
      <c r="A992" s="28" t="n"/>
      <c r="B992" s="28" t="n"/>
      <c r="C992" s="28" t="n"/>
      <c r="D992" s="28" t="n"/>
      <c r="E992" s="28" t="n"/>
      <c r="F992" s="28" t="n"/>
      <c r="G992" s="28" t="n"/>
      <c r="H992" s="28" t="n"/>
      <c r="I992" s="28" t="n"/>
      <c r="J992" s="28" t="n"/>
      <c r="K992" s="28" t="n"/>
    </row>
    <row r="993">
      <c r="A993" s="28" t="n"/>
      <c r="B993" s="28" t="n"/>
      <c r="C993" s="28" t="n"/>
      <c r="D993" s="28" t="n"/>
      <c r="E993" s="28" t="n"/>
      <c r="F993" s="28" t="n"/>
      <c r="G993" s="28" t="n"/>
      <c r="H993" s="28" t="n"/>
      <c r="I993" s="28" t="n"/>
      <c r="J993" s="28" t="n"/>
      <c r="K993" s="28" t="n"/>
    </row>
    <row r="994">
      <c r="A994" s="28" t="n"/>
      <c r="B994" s="28" t="n"/>
      <c r="C994" s="28" t="n"/>
      <c r="D994" s="28" t="n"/>
      <c r="E994" s="28" t="n"/>
      <c r="F994" s="28" t="n"/>
      <c r="G994" s="28" t="n"/>
      <c r="H994" s="28" t="n"/>
      <c r="I994" s="28" t="n"/>
      <c r="J994" s="28" t="n"/>
      <c r="K994" s="28" t="n"/>
    </row>
    <row r="995">
      <c r="A995" s="28" t="n"/>
      <c r="B995" s="28" t="n"/>
      <c r="C995" s="28" t="n"/>
      <c r="D995" s="28" t="n"/>
      <c r="E995" s="28" t="n"/>
      <c r="F995" s="28" t="n"/>
      <c r="G995" s="28" t="n"/>
      <c r="H995" s="28" t="n"/>
      <c r="I995" s="28" t="n"/>
      <c r="J995" s="28" t="n"/>
      <c r="K995" s="28" t="n"/>
    </row>
    <row r="996">
      <c r="A996" s="28" t="n"/>
      <c r="B996" s="28" t="n"/>
      <c r="C996" s="28" t="n"/>
      <c r="D996" s="28" t="n"/>
      <c r="E996" s="28" t="n"/>
      <c r="F996" s="28" t="n"/>
      <c r="G996" s="28" t="n"/>
      <c r="H996" s="28" t="n"/>
      <c r="I996" s="28" t="n"/>
      <c r="J996" s="28" t="n"/>
      <c r="K996" s="28" t="n"/>
    </row>
  </sheetData>
  <autoFilter ref="A1:K214"/>
  <printOptions horizontalCentered="1" gridLines="1"/>
  <pageMargins left="0.7" right="0.7" top="0.75" bottom="0.75" header="0" footer="0"/>
  <pageSetup orientation="landscape" paperSize="9" fitToHeight="0" pageOrder="overThenDown" cellComments="atEnd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000"/>
  <sheetViews>
    <sheetView topLeftCell="C1" workbookViewId="0">
      <pane ySplit="1" topLeftCell="A87" activePane="bottomLeft" state="frozen"/>
      <selection pane="bottomLeft" activeCell="A104" sqref="A104:XFD104"/>
    </sheetView>
  </sheetViews>
  <sheetFormatPr baseColWidth="8" defaultColWidth="12.5703125" defaultRowHeight="15.75" customHeight="1"/>
  <cols>
    <col width="10.42578125" customWidth="1" min="1" max="1"/>
    <col width="22.85546875" customWidth="1" min="2" max="2"/>
    <col width="18.140625" customWidth="1" min="3" max="3"/>
    <col width="13.28515625" customWidth="1" min="4" max="4"/>
    <col width="57.140625" customWidth="1" min="5" max="5"/>
    <col width="18.140625" customWidth="1" min="6" max="6"/>
    <col width="61" customWidth="1" min="7" max="7"/>
    <col width="15.28515625" customWidth="1" min="8" max="8"/>
    <col width="31.42578125" customWidth="1" min="9" max="10"/>
    <col width="18.140625" customWidth="1" min="11" max="11"/>
    <col width="18.42578125" customWidth="1" min="12" max="26"/>
  </cols>
  <sheetData>
    <row r="1" ht="28.5" customFormat="1" customHeight="1" s="33">
      <c r="A1" s="30" t="inlineStr">
        <is>
          <t>REGIÃO</t>
        </is>
      </c>
      <c r="B1" s="31" t="inlineStr">
        <is>
          <t>CIDADE</t>
        </is>
      </c>
      <c r="C1" s="31" t="inlineStr">
        <is>
          <t>NÚMERO DO TRECHO</t>
        </is>
      </c>
      <c r="D1" s="31" t="inlineStr">
        <is>
          <t>RODOVIA</t>
        </is>
      </c>
      <c r="E1" s="31" t="inlineStr">
        <is>
          <t>TRECHO</t>
        </is>
      </c>
      <c r="F1" s="31" t="inlineStr">
        <is>
          <t>SRE</t>
        </is>
      </c>
      <c r="G1" s="31" t="inlineStr">
        <is>
          <t>SEGMENTO</t>
        </is>
      </c>
      <c r="H1" s="31" t="inlineStr">
        <is>
          <t>SITUAÇÃO</t>
        </is>
      </c>
      <c r="I1" s="31" t="inlineStr">
        <is>
          <t>COORDENADA INICIAL</t>
        </is>
      </c>
      <c r="J1" s="31" t="inlineStr">
        <is>
          <t>COORDENADA FINAL</t>
        </is>
      </c>
      <c r="K1" s="32" t="inlineStr">
        <is>
          <t>EXTENSÃO REAL (km)</t>
        </is>
      </c>
    </row>
    <row r="2" ht="30" customHeight="1">
      <c r="A2" s="20" t="n">
        <v>2</v>
      </c>
      <c r="B2" s="21" t="inlineStr">
        <is>
          <t>ARAGUAÍNA I</t>
        </is>
      </c>
      <c r="C2" s="22" t="n">
        <v>42</v>
      </c>
      <c r="D2" s="18" t="inlineStr">
        <is>
          <t>TO-164</t>
        </is>
      </c>
      <c r="E2" s="21" t="inlineStr">
        <is>
          <t>RODOVIA TO-164 - TRECHO FÁBRICA DE CIMENTO - XAMBIOÁ - ENTR. BR-153</t>
        </is>
      </c>
      <c r="F2" s="18" t="inlineStr">
        <is>
          <t>164ETO0070</t>
        </is>
      </c>
      <c r="G2" s="21" t="inlineStr">
        <is>
          <t>FABRICA DE CIMENTO - POV. CHAPADA</t>
        </is>
      </c>
      <c r="H2" s="18" t="inlineStr">
        <is>
          <t>PPS</t>
        </is>
      </c>
      <c r="I2" s="18" t="inlineStr">
        <is>
          <t>-48.453859, -6.416308</t>
        </is>
      </c>
      <c r="J2" s="18" t="inlineStr">
        <is>
          <t>-48.429519, -6.428219</t>
        </is>
      </c>
      <c r="K2" s="19" t="n">
        <v>3.160553854</v>
      </c>
    </row>
    <row r="3" ht="30" customHeight="1">
      <c r="A3" s="20" t="n">
        <v>2</v>
      </c>
      <c r="B3" s="21" t="inlineStr">
        <is>
          <t>ARAGUAÍNA I</t>
        </is>
      </c>
      <c r="C3" s="22" t="n">
        <v>42</v>
      </c>
      <c r="D3" s="18" t="inlineStr">
        <is>
          <t>TO-164</t>
        </is>
      </c>
      <c r="E3" s="21" t="inlineStr">
        <is>
          <t>RODOVIA TO-164 - TRECHO FÁBRICA DE CIMENTO - XAMBIOÁ - ENTR. BR-153</t>
        </is>
      </c>
      <c r="F3" s="18" t="inlineStr">
        <is>
          <t>164ETO0082</t>
        </is>
      </c>
      <c r="G3" s="21" t="inlineStr">
        <is>
          <t>INÍCIO PU POV. MANCHÃO DO MEIO - FIM PU POV. MANCHÃO DO MEIO</t>
        </is>
      </c>
      <c r="H3" s="18" t="inlineStr">
        <is>
          <t>PSU</t>
        </is>
      </c>
      <c r="I3" s="18" t="inlineStr">
        <is>
          <t>-48.505065, -6.410774</t>
        </is>
      </c>
      <c r="J3" s="18" t="inlineStr">
        <is>
          <t>-48.502646, -6.411311</t>
        </is>
      </c>
      <c r="K3" s="19" t="n">
        <v>0.274268143</v>
      </c>
    </row>
    <row r="4" ht="30" customHeight="1">
      <c r="A4" s="20" t="n">
        <v>2</v>
      </c>
      <c r="B4" s="21" t="inlineStr">
        <is>
          <t>ARAGUAÍNA I</t>
        </is>
      </c>
      <c r="C4" s="22" t="n">
        <v>42</v>
      </c>
      <c r="D4" s="18" t="inlineStr">
        <is>
          <t>TO-164</t>
        </is>
      </c>
      <c r="E4" s="21" t="inlineStr">
        <is>
          <t>RODOVIA TO-164 - TRECHO FÁBRICA DE CIMENTO - XAMBIOÁ - ENTR. BR-153</t>
        </is>
      </c>
      <c r="F4" s="18" t="inlineStr">
        <is>
          <t>164ETO0080</t>
        </is>
      </c>
      <c r="G4" s="21" t="inlineStr">
        <is>
          <t>POV. CHAPADA - INÍCIO PU POV. MANCHÃO DO MEIO</t>
        </is>
      </c>
      <c r="H4" s="18" t="inlineStr">
        <is>
          <t>PPS</t>
        </is>
      </c>
      <c r="I4" s="18" t="inlineStr">
        <is>
          <t>-48.502646, -6.411311</t>
        </is>
      </c>
      <c r="J4" s="18" t="inlineStr">
        <is>
          <t>-48.453859, -6.416308</t>
        </is>
      </c>
      <c r="K4" s="19" t="n">
        <v>5.760858942</v>
      </c>
    </row>
    <row r="5" ht="30" customHeight="1">
      <c r="A5" s="20" t="n">
        <v>2</v>
      </c>
      <c r="B5" s="21" t="inlineStr">
        <is>
          <t>ARAGUAÍNA I</t>
        </is>
      </c>
      <c r="C5" s="22" t="n">
        <v>42</v>
      </c>
      <c r="D5" s="18" t="inlineStr">
        <is>
          <t>TO-164</t>
        </is>
      </c>
      <c r="E5" s="21" t="inlineStr">
        <is>
          <t>RODOVIA TO-164 - TRECHO FÁBRICA DE CIMENTO - XAMBIOÁ - ENTR. BR-153</t>
        </is>
      </c>
      <c r="F5" s="18" t="inlineStr">
        <is>
          <t>164ETO0090</t>
        </is>
      </c>
      <c r="G5" s="21" t="inlineStr">
        <is>
          <t>FIM PU POV. MANCHÃO DO MEIO - INÍCIO PU XAMBIOÁ</t>
        </is>
      </c>
      <c r="H5" s="18" t="inlineStr">
        <is>
          <t>PPS</t>
        </is>
      </c>
      <c r="I5" s="18" t="inlineStr">
        <is>
          <t>-48.5230480026, -6.41493766786</t>
        </is>
      </c>
      <c r="J5" s="18" t="inlineStr">
        <is>
          <t>-48.505065, -6.410774</t>
        </is>
      </c>
      <c r="K5" s="19" t="n">
        <v>2.159597438</v>
      </c>
    </row>
    <row r="6" ht="30" customHeight="1">
      <c r="A6" s="20" t="n">
        <v>2</v>
      </c>
      <c r="B6" s="21" t="inlineStr">
        <is>
          <t>ARAGUAÍNA I</t>
        </is>
      </c>
      <c r="C6" s="22" t="n">
        <v>42</v>
      </c>
      <c r="D6" s="18" t="inlineStr">
        <is>
          <t>TO-164</t>
        </is>
      </c>
      <c r="E6" s="21" t="inlineStr">
        <is>
          <t>RODOVIA TO-164 - TRECHO FÁBRICA DE CIMENTO - XAMBIOÁ - ENTR. BR-153</t>
        </is>
      </c>
      <c r="F6" s="18" t="inlineStr">
        <is>
          <t>164ETO0092</t>
        </is>
      </c>
      <c r="G6" s="21" t="inlineStr">
        <is>
          <t>INÍCIO PU XAMBIOÁ - ENTR. BR-153(PU XAMBIOÁ)</t>
        </is>
      </c>
      <c r="H6" s="18" t="inlineStr">
        <is>
          <t>PPS</t>
        </is>
      </c>
      <c r="I6" s="18" t="inlineStr">
        <is>
          <t>-48.5333998792, -6.42008811555</t>
        </is>
      </c>
      <c r="J6" s="18" t="inlineStr">
        <is>
          <t>-48.5230480026, -6.41493766786</t>
        </is>
      </c>
      <c r="K6" s="19" t="n">
        <v>1.40515723</v>
      </c>
    </row>
    <row r="7" ht="30" customHeight="1">
      <c r="A7" s="20" t="n">
        <v>2</v>
      </c>
      <c r="B7" s="21" t="inlineStr">
        <is>
          <t>ARAGUAÍNA I</t>
        </is>
      </c>
      <c r="C7" s="22" t="n">
        <v>41</v>
      </c>
      <c r="D7" s="18" t="inlineStr">
        <is>
          <t>TO-164</t>
        </is>
      </c>
      <c r="E7" s="21" t="inlineStr">
        <is>
          <t>RODOVIA TO-164 - TRECHO ENTR. BR-153 (XAMBIOÁ) - ARAGUANÃ</t>
        </is>
      </c>
      <c r="F7" s="18" t="inlineStr">
        <is>
          <t>164ETO0095</t>
        </is>
      </c>
      <c r="G7" s="21" t="inlineStr">
        <is>
          <t>FIM PU XAMBIOÁ - ENTR. TO-418(XAMBIOAZINHO)</t>
        </is>
      </c>
      <c r="H7" s="18" t="inlineStr">
        <is>
          <t>PPS</t>
        </is>
      </c>
      <c r="I7" s="18" t="inlineStr">
        <is>
          <t>-48.5409795923, -6.45237638918</t>
        </is>
      </c>
      <c r="J7" s="18" t="inlineStr">
        <is>
          <t>-48.5364563569, -6.42491272168</t>
        </is>
      </c>
      <c r="K7" s="19" t="n">
        <v>3.254701654</v>
      </c>
    </row>
    <row r="8" ht="30" customHeight="1">
      <c r="A8" s="20" t="n">
        <v>2</v>
      </c>
      <c r="B8" s="21" t="inlineStr">
        <is>
          <t>ARAGUAÍNA I</t>
        </is>
      </c>
      <c r="C8" s="22" t="n">
        <v>41</v>
      </c>
      <c r="D8" s="18" t="inlineStr">
        <is>
          <t>TO-164</t>
        </is>
      </c>
      <c r="E8" s="21" t="inlineStr">
        <is>
          <t>RODOVIA TO-164 - TRECHO ENTR. BR-153 (XAMBIOÁ) - ARAGUANÃ</t>
        </is>
      </c>
      <c r="F8" s="18" t="inlineStr">
        <is>
          <t>164ETO0100</t>
        </is>
      </c>
      <c r="G8" s="21" t="inlineStr">
        <is>
          <t>ENTR. TO-418(XAMBIOAZINHO) - INÍCIO PU ARAGUANÃ</t>
        </is>
      </c>
      <c r="H8" s="18" t="inlineStr">
        <is>
          <t>PPS</t>
        </is>
      </c>
      <c r="I8" s="18" t="inlineStr">
        <is>
          <t>-48.5409795923, -6.45237638918</t>
        </is>
      </c>
      <c r="J8" s="18" t="inlineStr">
        <is>
          <t>-48.639225, -6.570846</t>
        </is>
      </c>
      <c r="K8" s="19" t="n">
        <v>19.09733079</v>
      </c>
    </row>
    <row r="9" ht="30" customHeight="1">
      <c r="A9" s="20" t="n">
        <v>2</v>
      </c>
      <c r="B9" s="21" t="inlineStr">
        <is>
          <t>ARAGUAÍNA I</t>
        </is>
      </c>
      <c r="C9" s="22" t="n">
        <v>44</v>
      </c>
      <c r="D9" s="18" t="inlineStr">
        <is>
          <t>TO-164</t>
        </is>
      </c>
      <c r="E9" s="21" t="inlineStr">
        <is>
          <t>RODOVIA TO-164 - TRECHO ARAGUANÃ - CARMOLÂNDIA</t>
        </is>
      </c>
      <c r="F9" s="18" t="inlineStr">
        <is>
          <t>164ETO0110</t>
        </is>
      </c>
      <c r="G9" s="21" t="inlineStr">
        <is>
          <t>FIM PU ARAGUANÃ - INÍCIO PU JACIlÂNDIA</t>
        </is>
      </c>
      <c r="H9" s="18" t="inlineStr">
        <is>
          <t>PPS</t>
        </is>
      </c>
      <c r="I9" s="18" t="inlineStr">
        <is>
          <t>-48.641603, -6.592737</t>
        </is>
      </c>
      <c r="J9" s="18" t="inlineStr">
        <is>
          <t>-48.519944, -6.845185</t>
        </is>
      </c>
      <c r="K9" s="19" t="n">
        <v>33.64728675</v>
      </c>
    </row>
    <row r="10" ht="30" customHeight="1">
      <c r="A10" s="20" t="n">
        <v>2</v>
      </c>
      <c r="B10" s="21" t="inlineStr">
        <is>
          <t>ARAGUAÍNA I</t>
        </is>
      </c>
      <c r="C10" s="22" t="n">
        <v>59</v>
      </c>
      <c r="D10" s="18" t="inlineStr">
        <is>
          <t>TO-418</t>
        </is>
      </c>
      <c r="E10" s="21" t="inlineStr">
        <is>
          <t>RODOVIA TO-418 - TRECHO ENTR. BR-153 - ENTR. TO-164</t>
        </is>
      </c>
      <c r="F10" s="18" t="inlineStr">
        <is>
          <t>418ETO0010</t>
        </is>
      </c>
      <c r="G10" s="21" t="inlineStr">
        <is>
          <t>ENTR. TO-164 (XAMBIOAZINHO) - ENTR. BR-153</t>
        </is>
      </c>
      <c r="H10" s="18" t="inlineStr">
        <is>
          <t>LEN</t>
        </is>
      </c>
      <c r="I10" s="18" t="inlineStr">
        <is>
          <t>-48.3585111, -6.61580268</t>
        </is>
      </c>
      <c r="J10" s="18" t="inlineStr">
        <is>
          <t>-48.5409795923, -6.45237638918</t>
        </is>
      </c>
      <c r="K10" s="19" t="n">
        <v>43.25290616</v>
      </c>
    </row>
    <row r="11" ht="30" customHeight="1">
      <c r="A11" s="20" t="n">
        <v>2</v>
      </c>
      <c r="B11" s="21" t="inlineStr">
        <is>
          <t>ARAGUAÍNA I</t>
        </is>
      </c>
      <c r="C11" s="22" t="n">
        <v>44</v>
      </c>
      <c r="D11" s="18" t="inlineStr">
        <is>
          <t>TO-164</t>
        </is>
      </c>
      <c r="E11" s="21" t="inlineStr">
        <is>
          <t>RODOVIA TO-164 - TRECHO ARAGUANÃ - CARMOLÂNDIA</t>
        </is>
      </c>
      <c r="F11" s="18" t="inlineStr">
        <is>
          <t>164ETO0120</t>
        </is>
      </c>
      <c r="G11" s="21" t="inlineStr">
        <is>
          <t>FIM PU JACILÂNDIA - INÍCIO PU CARMOLÂNDIA</t>
        </is>
      </c>
      <c r="H11" s="18" t="inlineStr">
        <is>
          <t>PPS</t>
        </is>
      </c>
      <c r="I11" s="18" t="inlineStr">
        <is>
          <t>-48.518161, -6.850281</t>
        </is>
      </c>
      <c r="J11" s="18" t="inlineStr">
        <is>
          <t>-48.3972601543, -7.0291951805</t>
        </is>
      </c>
      <c r="K11" s="19" t="n">
        <v>25.42792615</v>
      </c>
    </row>
    <row r="12" ht="30" customHeight="1">
      <c r="A12" s="20" t="n">
        <v>2</v>
      </c>
      <c r="B12" s="21" t="inlineStr">
        <is>
          <t>ARAGUAÍNA I</t>
        </is>
      </c>
      <c r="C12" s="22" t="n">
        <v>45</v>
      </c>
      <c r="D12" s="18" t="inlineStr">
        <is>
          <t>TO-164</t>
        </is>
      </c>
      <c r="E12" s="21" t="inlineStr">
        <is>
          <t>RODOVIA TO-164 - TRECHO CARMOLÂNDIA - ENTR. TO-222 - ARAGOMINAS</t>
        </is>
      </c>
      <c r="F12" s="18" t="inlineStr">
        <is>
          <t>164ETO0130</t>
        </is>
      </c>
      <c r="G12" s="21" t="inlineStr">
        <is>
          <t>FIM PU CARMOLÂNDIA - ENTR. TO-222(A)(PU NOVO HORIZONTE)</t>
        </is>
      </c>
      <c r="H12" s="18" t="inlineStr">
        <is>
          <t>PPS</t>
        </is>
      </c>
      <c r="I12" s="18" t="inlineStr">
        <is>
          <t>-48.393215, -7.041732</t>
        </is>
      </c>
      <c r="J12" s="18" t="inlineStr">
        <is>
          <t>-48.343157, -7.185302</t>
        </is>
      </c>
      <c r="K12" s="19" t="n">
        <v>17.04836556</v>
      </c>
    </row>
    <row r="13" ht="30" customHeight="1">
      <c r="A13" s="20" t="n">
        <v>2</v>
      </c>
      <c r="B13" s="21" t="inlineStr">
        <is>
          <t>ARAGUAÍNA I</t>
        </is>
      </c>
      <c r="C13" s="22" t="n">
        <v>45</v>
      </c>
      <c r="D13" s="18" t="inlineStr">
        <is>
          <t>TO-164</t>
        </is>
      </c>
      <c r="E13" s="21" t="inlineStr">
        <is>
          <t>RODOVIA TO-164 - TRECHO CARMOLÂNDIA - ENTR. TO-222 - ARAGOMINAS</t>
        </is>
      </c>
      <c r="F13" s="18" t="inlineStr">
        <is>
          <t>164ETO0140</t>
        </is>
      </c>
      <c r="G13" s="21" t="inlineStr">
        <is>
          <t>TO-222 (NOVO HORIZONTE) - ENTR. TO-419 (BRITADOR)</t>
        </is>
      </c>
      <c r="H13" s="18" t="inlineStr">
        <is>
          <t>PPS</t>
        </is>
      </c>
      <c r="I13" s="18" t="inlineStr">
        <is>
          <t>-48.4455069008, -7.19587343028</t>
        </is>
      </c>
      <c r="J13" s="18" t="inlineStr">
        <is>
          <t>-48.343157, -7.185302</t>
        </is>
      </c>
      <c r="K13" s="19" t="n">
        <v>11.97487473</v>
      </c>
    </row>
    <row r="14" ht="30" customHeight="1">
      <c r="A14" s="20" t="n">
        <v>2</v>
      </c>
      <c r="B14" s="21" t="inlineStr">
        <is>
          <t>ARAGUAÍNA I</t>
        </is>
      </c>
      <c r="C14" s="22" t="n">
        <v>50</v>
      </c>
      <c r="D14" s="18" t="inlineStr">
        <is>
          <t>TO-222</t>
        </is>
      </c>
      <c r="E14" s="21" t="inlineStr">
        <is>
          <t>RODOVIA TO-222 - TRECHO ARAGUAÍNA - ENTR. TO-164 (NOVO HORIZONTE)</t>
        </is>
      </c>
      <c r="F14" s="18" t="inlineStr">
        <is>
          <t>222ETO0140</t>
        </is>
      </c>
      <c r="G14" s="21" t="inlineStr">
        <is>
          <t>ENTR. TO-419(BARRA DA GROTA) - INÍCIO PU NOVO HORIZONTE</t>
        </is>
      </c>
      <c r="H14" s="18" t="inlineStr">
        <is>
          <t>PPS</t>
        </is>
      </c>
      <c r="I14" s="18" t="inlineStr">
        <is>
          <t>-48.3365495864, -7.18817764334</t>
        </is>
      </c>
      <c r="J14" s="18" t="inlineStr">
        <is>
          <t>-48.3020694152, -7.20879089368</t>
        </is>
      </c>
      <c r="K14" s="19" t="n">
        <v>4.540452641</v>
      </c>
    </row>
    <row r="15" ht="30" customHeight="1">
      <c r="A15" s="20" t="n">
        <v>2</v>
      </c>
      <c r="B15" s="21" t="inlineStr">
        <is>
          <t>ARAGUAÍNA I</t>
        </is>
      </c>
      <c r="C15" s="22" t="n">
        <v>50</v>
      </c>
      <c r="D15" s="18" t="inlineStr">
        <is>
          <t>TO-222</t>
        </is>
      </c>
      <c r="E15" s="21" t="inlineStr">
        <is>
          <t>RODOVIA TO-222 - TRECHO ARAGUAÍNA - ENTR. TO-164 (NOVO HORIZONTE)</t>
        </is>
      </c>
      <c r="F15" s="18" t="inlineStr">
        <is>
          <t>222ETO0130</t>
        </is>
      </c>
      <c r="G15" s="21" t="inlineStr">
        <is>
          <t>ENTR. BR-153(PU ARAGUAÍNA) - ENTR. TO-419(BARRA DA GROTA)</t>
        </is>
      </c>
      <c r="H15" s="18" t="inlineStr">
        <is>
          <t>PPS</t>
        </is>
      </c>
      <c r="I15" s="18" t="inlineStr">
        <is>
          <t>-48.3020694152, -7.20879089368</t>
        </is>
      </c>
      <c r="J15" s="18" t="inlineStr">
        <is>
          <t>-48.23565, -7.192905</t>
        </is>
      </c>
      <c r="K15" s="19" t="n">
        <v>7.874897678</v>
      </c>
    </row>
    <row r="16" ht="30" customHeight="1">
      <c r="A16" s="20" t="n">
        <v>2</v>
      </c>
      <c r="B16" s="21" t="inlineStr">
        <is>
          <t>ARAGUAÍNA I</t>
        </is>
      </c>
      <c r="C16" s="22" t="n">
        <v>45</v>
      </c>
      <c r="D16" s="18" t="inlineStr">
        <is>
          <t>TO-164</t>
        </is>
      </c>
      <c r="E16" s="21" t="inlineStr">
        <is>
          <t>RODOVIA TO-164 - TRECHO CARMOLÂNDIA - ENTR. TO-222 - ARAGOMINAS</t>
        </is>
      </c>
      <c r="F16" s="18" t="inlineStr">
        <is>
          <t>164ETO0150</t>
        </is>
      </c>
      <c r="G16" s="21" t="inlineStr">
        <is>
          <t>ENTR. TO-419(BRITADOR) - INÍCIO PU ARAGOMINAS</t>
        </is>
      </c>
      <c r="H16" s="18" t="inlineStr">
        <is>
          <t>PPS</t>
        </is>
      </c>
      <c r="I16" s="18" t="inlineStr">
        <is>
          <t>-48.4455069008, -7.19587343028</t>
        </is>
      </c>
      <c r="J16" s="18" t="inlineStr">
        <is>
          <t>-48.525686, -7.173159</t>
        </is>
      </c>
      <c r="K16" s="19" t="n">
        <v>12.95931441</v>
      </c>
    </row>
    <row r="17" ht="30" customHeight="1">
      <c r="A17" s="20" t="n">
        <v>2</v>
      </c>
      <c r="B17" s="21" t="inlineStr">
        <is>
          <t>ARAGUAÍNA I</t>
        </is>
      </c>
      <c r="C17" s="22" t="n">
        <v>47</v>
      </c>
      <c r="D17" s="18" t="inlineStr">
        <is>
          <t>TO-164</t>
        </is>
      </c>
      <c r="E17" s="21" t="inlineStr">
        <is>
          <t>RODOVIA TO-164 - TRECHO MURICILÂNDIA - ENTR. TO-226</t>
        </is>
      </c>
      <c r="F17" s="18" t="inlineStr">
        <is>
          <t>164ETO0170</t>
        </is>
      </c>
      <c r="G17" s="21" t="inlineStr">
        <is>
          <t>COCALANDIA - ENTR. TO-226(A)</t>
        </is>
      </c>
      <c r="H17" s="18" t="inlineStr">
        <is>
          <t>LEN</t>
        </is>
      </c>
      <c r="I17" s="18" t="inlineStr">
        <is>
          <t>-48.6223379299, -7.22384474916</t>
        </is>
      </c>
      <c r="J17" s="18" t="inlineStr">
        <is>
          <t>-48.692556, -7.463115</t>
        </is>
      </c>
      <c r="K17" s="19" t="n">
        <v>32.88091683</v>
      </c>
    </row>
    <row r="18" ht="30" customHeight="1">
      <c r="A18" s="20" t="n">
        <v>2</v>
      </c>
      <c r="B18" s="21" t="inlineStr">
        <is>
          <t>ARAGUAÍNA I</t>
        </is>
      </c>
      <c r="C18" s="22" t="n">
        <v>46</v>
      </c>
      <c r="D18" s="18" t="inlineStr">
        <is>
          <t>TO-164</t>
        </is>
      </c>
      <c r="E18" s="21" t="inlineStr">
        <is>
          <t>RODOVIA TO-164 - TRECHO ENTR. TO-226 - POVOADO DEZENOVE - BERNARDO SAYÃO</t>
        </is>
      </c>
      <c r="F18" s="18" t="inlineStr">
        <is>
          <t>164ETO0190</t>
        </is>
      </c>
      <c r="G18" s="21" t="inlineStr">
        <is>
          <t>ENTR. TO-226(B) - ENTR. TO-230(A)</t>
        </is>
      </c>
      <c r="H18" s="18" t="inlineStr">
        <is>
          <t>LEN</t>
        </is>
      </c>
      <c r="I18" s="18" t="inlineStr">
        <is>
          <t>-48.7920350475, -7.64059442114</t>
        </is>
      </c>
      <c r="J18" s="18" t="inlineStr">
        <is>
          <t>-48.734684, -7.433373</t>
        </is>
      </c>
      <c r="K18" s="19" t="n">
        <v>27.94693663</v>
      </c>
    </row>
    <row r="19" ht="30" customHeight="1">
      <c r="A19" s="20" t="n">
        <v>2</v>
      </c>
      <c r="B19" s="21" t="inlineStr">
        <is>
          <t>ARAGUAÍNA I</t>
        </is>
      </c>
      <c r="C19" s="22" t="n">
        <v>52</v>
      </c>
      <c r="D19" s="18" t="inlineStr">
        <is>
          <t>TO-222</t>
        </is>
      </c>
      <c r="E19" s="21" t="inlineStr">
        <is>
          <t>RODOVIA TO-222 - TRECHO SANTA FÉ DO ARAGUAIA - DIVISA TO-PA (POVOADO PORTO LEMOS)</t>
        </is>
      </c>
      <c r="F19" s="18" t="inlineStr">
        <is>
          <t>222ETO0210</t>
        </is>
      </c>
      <c r="G19" s="21" t="inlineStr">
        <is>
          <t>ENTR. TO-166 - DIV TO-PA (PORTO LEMOS)</t>
        </is>
      </c>
      <c r="H19" s="18" t="inlineStr">
        <is>
          <t>PPS</t>
        </is>
      </c>
      <c r="I19" s="18" t="inlineStr">
        <is>
          <t>-48.963547, -7.008066</t>
        </is>
      </c>
      <c r="J19" s="18" t="inlineStr">
        <is>
          <t>-49.0989805491, -6.87086328572</t>
        </is>
      </c>
      <c r="K19" s="19" t="n">
        <v>22.51686095</v>
      </c>
    </row>
    <row r="20" ht="30" customHeight="1">
      <c r="A20" s="20" t="n">
        <v>2</v>
      </c>
      <c r="B20" s="21" t="inlineStr">
        <is>
          <t>ARAGUAÍNA I</t>
        </is>
      </c>
      <c r="C20" s="22" t="n">
        <v>52</v>
      </c>
      <c r="D20" s="18" t="inlineStr">
        <is>
          <t>TO-222</t>
        </is>
      </c>
      <c r="E20" s="21" t="inlineStr">
        <is>
          <t>RODOVIA TO-222 - TRECHO SANTA FÉ DO ARAGUAIA - DIVISA TO-PA (POVOADO PORTO LEMOS)</t>
        </is>
      </c>
      <c r="F20" s="18" t="inlineStr">
        <is>
          <t>222ETO0190</t>
        </is>
      </c>
      <c r="G20" s="21" t="inlineStr">
        <is>
          <t>FIM PU SANTA FÉ DO ARAGUAIA - ENTR. TO-416</t>
        </is>
      </c>
      <c r="H20" s="18" t="inlineStr">
        <is>
          <t>PPS</t>
        </is>
      </c>
      <c r="I20" s="18" t="inlineStr">
        <is>
          <t>-48.716648, -7.131391</t>
        </is>
      </c>
      <c r="J20" s="18" t="inlineStr">
        <is>
          <t>-48.697251, -7.152448</t>
        </is>
      </c>
      <c r="K20" s="19" t="n">
        <v>3.1815437</v>
      </c>
    </row>
    <row r="21" ht="30" customHeight="1">
      <c r="A21" s="20" t="n">
        <v>2</v>
      </c>
      <c r="B21" s="21" t="inlineStr">
        <is>
          <t>ARAGUAÍNA I</t>
        </is>
      </c>
      <c r="C21" s="22" t="n">
        <v>51</v>
      </c>
      <c r="D21" s="18" t="inlineStr">
        <is>
          <t>TO-222</t>
        </is>
      </c>
      <c r="E21" s="21" t="inlineStr">
        <is>
          <t>RODOVIA TO-222 - TRECHO MURICILÂNDIA - SANTA FÉ DO ARAGUAIA</t>
        </is>
      </c>
      <c r="F21" s="18" t="inlineStr">
        <is>
          <t>222ETO0180</t>
        </is>
      </c>
      <c r="G21" s="21" t="inlineStr">
        <is>
          <t>ENTR. TO-164(B)(PU MURICILÂNDIA) - INÍCIO PU SANTA FÉ DO ARAGUAIA</t>
        </is>
      </c>
      <c r="H21" s="18" t="inlineStr">
        <is>
          <t>PPS</t>
        </is>
      </c>
      <c r="I21" s="18" t="inlineStr">
        <is>
          <t>-48.681664, -7.147943</t>
        </is>
      </c>
      <c r="J21" s="18" t="inlineStr">
        <is>
          <t>-48.602583, -7.136504</t>
        </is>
      </c>
      <c r="K21" s="19" t="n">
        <v>9.677169415</v>
      </c>
    </row>
    <row r="22" ht="30" customHeight="1">
      <c r="A22" s="20" t="n">
        <v>2</v>
      </c>
      <c r="B22" s="21" t="inlineStr">
        <is>
          <t>ARAGUAÍNA I</t>
        </is>
      </c>
      <c r="C22" s="22" t="n">
        <v>39</v>
      </c>
      <c r="D22" s="18" t="inlineStr">
        <is>
          <t>TO-010</t>
        </is>
      </c>
      <c r="E22" s="21" t="inlineStr">
        <is>
          <t>RODOVIA TO-010 - TRECHO RIACHINHO - ANANÁS</t>
        </is>
      </c>
      <c r="F22" s="18" t="inlineStr">
        <is>
          <t>010ETO0510</t>
        </is>
      </c>
      <c r="G22" s="21" t="inlineStr">
        <is>
          <t>FIM PU SÃO RAIMUNDO - INÍCIO DUPLICAÇÃO(PU ANANÁS)</t>
        </is>
      </c>
      <c r="H22" s="18" t="inlineStr">
        <is>
          <t>PPS</t>
        </is>
      </c>
      <c r="I22" s="18" t="inlineStr">
        <is>
          <t>-48.075018892, -6.377363872</t>
        </is>
      </c>
      <c r="J22" s="18" t="inlineStr">
        <is>
          <t>-48.094278, -6.402218</t>
        </is>
      </c>
      <c r="K22" s="19" t="n">
        <v>3.480928211</v>
      </c>
    </row>
    <row r="23" ht="15" customHeight="1">
      <c r="A23" s="20" t="n">
        <v>2</v>
      </c>
      <c r="B23" s="21" t="inlineStr">
        <is>
          <t>ARAGUAÍNA I</t>
        </is>
      </c>
      <c r="C23" s="22" t="n">
        <v>39</v>
      </c>
      <c r="D23" s="18" t="inlineStr">
        <is>
          <t>TO-010</t>
        </is>
      </c>
      <c r="E23" s="21" t="inlineStr">
        <is>
          <t>RODOVIA TO-010 - TRECHO RIACHINHO - ANANÁS</t>
        </is>
      </c>
      <c r="F23" s="18" t="inlineStr">
        <is>
          <t>010ETO0500</t>
        </is>
      </c>
      <c r="G23" s="21" t="inlineStr">
        <is>
          <t>ENTR. TO-416 - INÍCIO PU SÃO RAIMUNDO</t>
        </is>
      </c>
      <c r="H23" s="18" t="inlineStr">
        <is>
          <t>PPS</t>
        </is>
      </c>
      <c r="I23" s="18" t="inlineStr">
        <is>
          <t>-48.097888, -6.406868</t>
        </is>
      </c>
      <c r="J23" s="18" t="inlineStr">
        <is>
          <t>-48.12044, -6.433737</t>
        </is>
      </c>
      <c r="K23" s="19" t="n">
        <v>3.888403266</v>
      </c>
    </row>
    <row r="24" ht="30" customHeight="1">
      <c r="A24" s="20" t="n">
        <v>2</v>
      </c>
      <c r="B24" s="21" t="inlineStr">
        <is>
          <t>ARAGUAÍNA I</t>
        </is>
      </c>
      <c r="C24" s="22" t="n">
        <v>40</v>
      </c>
      <c r="D24" s="18" t="inlineStr">
        <is>
          <t>TO-010</t>
        </is>
      </c>
      <c r="E24" s="21" t="inlineStr">
        <is>
          <t>RODOVIA TO-010 - TRECHO WANDERLÂNDIA - RIACHINHO</t>
        </is>
      </c>
      <c r="F24" s="18" t="inlineStr">
        <is>
          <t>010ETO0480</t>
        </is>
      </c>
      <c r="G24" s="21" t="inlineStr">
        <is>
          <t>FIM PU CENTRO DOS BORGES - INÍCIO PU SOROROCA</t>
        </is>
      </c>
      <c r="H24" s="18" t="inlineStr">
        <is>
          <t>PPS</t>
        </is>
      </c>
      <c r="I24" s="18" t="inlineStr">
        <is>
          <t>-48.088933, -6.485743</t>
        </is>
      </c>
      <c r="J24" s="18" t="inlineStr">
        <is>
          <t>-48.060737, -6.500913</t>
        </is>
      </c>
      <c r="K24" s="19" t="n">
        <v>3.652236912</v>
      </c>
    </row>
    <row r="25" ht="30" customHeight="1">
      <c r="A25" s="20" t="n">
        <v>2</v>
      </c>
      <c r="B25" s="21" t="inlineStr">
        <is>
          <t>ARAGUAÍNA I</t>
        </is>
      </c>
      <c r="C25" s="22" t="n">
        <v>40</v>
      </c>
      <c r="D25" s="18" t="inlineStr">
        <is>
          <t>TO-010</t>
        </is>
      </c>
      <c r="E25" s="21" t="inlineStr">
        <is>
          <t>RODOVIA TO-010 - TRECHO WANDERLÂNDIA - RIACHINHO</t>
        </is>
      </c>
      <c r="F25" s="18" t="inlineStr">
        <is>
          <t>010ETO0470</t>
        </is>
      </c>
      <c r="G25" s="21" t="inlineStr">
        <is>
          <t>ENTR. BR-153(B) - INÍCIO PU CENTRO DOS BORGES</t>
        </is>
      </c>
      <c r="H25" s="18" t="inlineStr">
        <is>
          <t>PPS</t>
        </is>
      </c>
      <c r="I25" s="18" t="inlineStr">
        <is>
          <t>-48.050967, -6.510044</t>
        </is>
      </c>
      <c r="J25" s="18" t="inlineStr">
        <is>
          <t>-47.976211, -6.828264</t>
        </is>
      </c>
      <c r="K25" s="19" t="n">
        <v>42.53406117</v>
      </c>
    </row>
    <row r="26" ht="45" customHeight="1">
      <c r="A26" s="20" t="n">
        <v>2</v>
      </c>
      <c r="B26" s="21" t="inlineStr">
        <is>
          <t>ARAGUAÍNA I</t>
        </is>
      </c>
      <c r="C26" s="22" t="n">
        <v>53</v>
      </c>
      <c r="D26" s="18" t="inlineStr">
        <is>
          <t>TO-226</t>
        </is>
      </c>
      <c r="E26" s="21" t="inlineStr">
        <is>
          <t>RODOVIA TO-226 - TRECHO ENTR. BR-153 (POVOADO RIO PRETO) - DIVISA TO-PA (POVOADO GARIMPINHO)</t>
        </is>
      </c>
      <c r="F26" s="18" t="inlineStr">
        <is>
          <t>226ETO0290</t>
        </is>
      </c>
      <c r="G26" s="21" t="inlineStr">
        <is>
          <t>ENTR. TO-427 - DIV TO/PA( PU GARIMPINHO)</t>
        </is>
      </c>
      <c r="H26" s="18" t="inlineStr">
        <is>
          <t>PPS</t>
        </is>
      </c>
      <c r="I26" s="18" t="inlineStr">
        <is>
          <t>-49.225229, -7.329467</t>
        </is>
      </c>
      <c r="J26" s="18" t="inlineStr">
        <is>
          <t>-49.172884, -7.370215</t>
        </is>
      </c>
      <c r="K26" s="19" t="n">
        <v>7.335938775</v>
      </c>
    </row>
    <row r="27" ht="45" customHeight="1">
      <c r="A27" s="20" t="n">
        <v>2</v>
      </c>
      <c r="B27" s="21" t="inlineStr">
        <is>
          <t>ARAGUAÍNA I</t>
        </is>
      </c>
      <c r="C27" s="22" t="n">
        <v>53</v>
      </c>
      <c r="D27" s="18" t="inlineStr">
        <is>
          <t>TO-226</t>
        </is>
      </c>
      <c r="E27" s="21" t="inlineStr">
        <is>
          <t>RODOVIA TO-226 - TRECHO ENTR. BR-153 (POVOADO RIO PRETO) - DIVISA TO-PA (POVOADO GARIMPINHO)</t>
        </is>
      </c>
      <c r="F27" s="18" t="inlineStr">
        <is>
          <t>226ETO0280</t>
        </is>
      </c>
      <c r="G27" s="21" t="inlineStr">
        <is>
          <t>ENTR. TO-166 (B) - ENTR. TO-427</t>
        </is>
      </c>
      <c r="H27" s="18" t="inlineStr">
        <is>
          <t>PPS</t>
        </is>
      </c>
      <c r="I27" s="18" t="inlineStr">
        <is>
          <t>-49.172884, -7.370215</t>
        </is>
      </c>
      <c r="J27" s="18" t="inlineStr">
        <is>
          <t>-49.070044, -7.379367</t>
        </is>
      </c>
      <c r="K27" s="19" t="n">
        <v>12.50490492</v>
      </c>
    </row>
    <row r="28" ht="45" customHeight="1">
      <c r="A28" s="20" t="n">
        <v>2</v>
      </c>
      <c r="B28" s="21" t="inlineStr">
        <is>
          <t>ARAGUAÍNA I</t>
        </is>
      </c>
      <c r="C28" s="22" t="n">
        <v>53</v>
      </c>
      <c r="D28" s="18" t="inlineStr">
        <is>
          <t>TO-166</t>
        </is>
      </c>
      <c r="E28" s="21" t="inlineStr">
        <is>
          <t>RODOVIA TO-226 - TRECHO ENTR. BR-153 (POVOADO RIO PRETO) - DIVISA TO-PA (POVOADO GARIMPINHO)</t>
        </is>
      </c>
      <c r="F28" s="18" t="inlineStr">
        <is>
          <t>166ETO0110</t>
        </is>
      </c>
      <c r="G28" s="21" t="inlineStr">
        <is>
          <t>ENTR. TO-226(A) - ENTR. TO-226(B)</t>
        </is>
      </c>
      <c r="H28" s="18" t="inlineStr">
        <is>
          <t>PPS</t>
        </is>
      </c>
      <c r="I28" s="18" t="inlineStr">
        <is>
          <t>-49.070044, -7.379367</t>
        </is>
      </c>
      <c r="J28" s="18" t="inlineStr">
        <is>
          <t>-49.055589, -7.378601</t>
        </is>
      </c>
      <c r="K28" s="19" t="n">
        <v>1.599020847</v>
      </c>
    </row>
    <row r="29" ht="45" customHeight="1">
      <c r="A29" s="20" t="n">
        <v>2</v>
      </c>
      <c r="B29" s="21" t="inlineStr">
        <is>
          <t>ARAGUAÍNA I</t>
        </is>
      </c>
      <c r="C29" s="22" t="n">
        <v>53</v>
      </c>
      <c r="D29" s="18" t="inlineStr">
        <is>
          <t>TO-226</t>
        </is>
      </c>
      <c r="E29" s="21" t="inlineStr">
        <is>
          <t>RODOVIA TO-226 - TRECHO ENTR. BR-153 (POVOADO RIO PRETO) - DIVISA TO-PA (POVOADO GARIMPINHO)</t>
        </is>
      </c>
      <c r="F29" s="18" t="inlineStr">
        <is>
          <t>226ETO0270</t>
        </is>
      </c>
      <c r="G29" s="21" t="inlineStr">
        <is>
          <t>ENTR. TO-165(B) - ENTR. TO-166(A)</t>
        </is>
      </c>
      <c r="H29" s="18" t="inlineStr">
        <is>
          <t>PPS</t>
        </is>
      </c>
      <c r="I29" s="18" t="inlineStr">
        <is>
          <t>-49.055589, -7.378601</t>
        </is>
      </c>
      <c r="J29" s="18" t="inlineStr">
        <is>
          <t>-48.9490508719, -7.37336088893</t>
        </is>
      </c>
      <c r="K29" s="19" t="n">
        <v>12.4083921</v>
      </c>
    </row>
    <row r="30" ht="30" customHeight="1">
      <c r="A30" s="20" t="n">
        <v>2</v>
      </c>
      <c r="B30" s="21" t="inlineStr">
        <is>
          <t>ARAGUAÍNA I</t>
        </is>
      </c>
      <c r="C30" s="22" t="n">
        <v>54</v>
      </c>
      <c r="D30" s="18" t="inlineStr">
        <is>
          <t>TO-230</t>
        </is>
      </c>
      <c r="E30" s="21" t="inlineStr">
        <is>
          <t>RODOVIA TO-230 - TRECHO ARAPOEMA - PAU D'ARCO (DIVISA TO-PA)</t>
        </is>
      </c>
      <c r="F30" s="18" t="inlineStr">
        <is>
          <t>230ETO0210</t>
        </is>
      </c>
      <c r="G30" s="21" t="inlineStr">
        <is>
          <t>ENTR. TO-429 - INÍCIO DUPLICAÇÃO(PU PAU DARCO)</t>
        </is>
      </c>
      <c r="H30" s="18" t="inlineStr">
        <is>
          <t>PPS</t>
        </is>
      </c>
      <c r="I30" s="18" t="inlineStr">
        <is>
          <t>-49.125305, -7.659272</t>
        </is>
      </c>
      <c r="J30" s="18" t="inlineStr">
        <is>
          <t>-49.362759, -7.541827</t>
        </is>
      </c>
      <c r="K30" s="19" t="n">
        <v>31.22438331</v>
      </c>
    </row>
    <row r="31" ht="30" customHeight="1">
      <c r="A31" s="20" t="n">
        <v>2</v>
      </c>
      <c r="B31" s="21" t="inlineStr">
        <is>
          <t>ARAGUAÍNA I</t>
        </is>
      </c>
      <c r="C31" s="22" t="n">
        <v>65</v>
      </c>
      <c r="D31" s="18" t="inlineStr">
        <is>
          <t>TO-430</t>
        </is>
      </c>
      <c r="E31" s="21" t="inlineStr">
        <is>
          <t>RODOVIA TO-430 - TRECHO POVOADO CORIOLANDO (ENTR. TO-230 - ARAPOEMA) - ENTR. TO-164</t>
        </is>
      </c>
      <c r="F31" s="18" t="inlineStr">
        <is>
          <t>430ETO0010</t>
        </is>
      </c>
      <c r="G31" s="21" t="inlineStr">
        <is>
          <t>ENTR. TO-230 - ENTR. TO-164</t>
        </is>
      </c>
      <c r="H31" s="18" t="inlineStr">
        <is>
          <t>LEN</t>
        </is>
      </c>
      <c r="I31" s="18" t="inlineStr">
        <is>
          <t>-48.9458930343, -7.76242210588</t>
        </is>
      </c>
      <c r="J31" s="18" t="inlineStr">
        <is>
          <t>-49.026887, -7.659078</t>
        </is>
      </c>
      <c r="K31" s="19" t="n">
        <v>16.59850043</v>
      </c>
    </row>
    <row r="32" ht="30" customHeight="1">
      <c r="A32" s="20" t="n">
        <v>2</v>
      </c>
      <c r="B32" s="21" t="inlineStr">
        <is>
          <t>ARAGUAÍNA I</t>
        </is>
      </c>
      <c r="C32" s="22" t="n">
        <v>46</v>
      </c>
      <c r="D32" s="18" t="inlineStr">
        <is>
          <t>TO-164</t>
        </is>
      </c>
      <c r="E32" s="21" t="inlineStr">
        <is>
          <t>RODOVIA TO-164 - TRECHO ENTR. TO-226 - POVOADO DEZENOVE - BERNARDO SAYÃO</t>
        </is>
      </c>
      <c r="F32" s="18" t="inlineStr">
        <is>
          <t>164ETO0240</t>
        </is>
      </c>
      <c r="G32" s="21" t="inlineStr">
        <is>
          <t>ZÉ PRETO - ENTR. TO-433</t>
        </is>
      </c>
      <c r="H32" s="18" t="inlineStr">
        <is>
          <t>PPS</t>
        </is>
      </c>
      <c r="I32" s="18" t="inlineStr">
        <is>
          <t>-48.930379, -7.802694</t>
        </is>
      </c>
      <c r="J32" s="18" t="inlineStr">
        <is>
          <t>-48.899827, -7.856497</t>
        </is>
      </c>
      <c r="K32" s="19" t="n">
        <v>9.006983713</v>
      </c>
    </row>
    <row r="33" ht="30" customHeight="1">
      <c r="A33" s="20" t="n">
        <v>2</v>
      </c>
      <c r="B33" s="21" t="inlineStr">
        <is>
          <t>ARAGUAÍNA I</t>
        </is>
      </c>
      <c r="C33" s="22" t="n">
        <v>46</v>
      </c>
      <c r="D33" s="18" t="inlineStr">
        <is>
          <t>TO-164</t>
        </is>
      </c>
      <c r="E33" s="21" t="inlineStr">
        <is>
          <t>RODOVIA TO-164 - TRECHO ENTR. TO-226 - POVOADO DEZENOVE - BERNARDO SAYÃO</t>
        </is>
      </c>
      <c r="F33" s="18" t="inlineStr">
        <is>
          <t>164ETO0250</t>
        </is>
      </c>
      <c r="G33" s="21" t="inlineStr">
        <is>
          <t>ENTR. TO-433 - ENTR. TO-430(B)(PU BERNARDO SAYÃO)</t>
        </is>
      </c>
      <c r="H33" s="18" t="inlineStr">
        <is>
          <t>PPS</t>
        </is>
      </c>
      <c r="I33" s="18" t="inlineStr">
        <is>
          <t>-48.899827, -7.856497</t>
        </is>
      </c>
      <c r="J33" s="18" t="inlineStr">
        <is>
          <t>-48.900592, -7.875616</t>
        </is>
      </c>
      <c r="K33" s="19" t="n">
        <v>2.397543705</v>
      </c>
    </row>
    <row r="34" ht="30" customHeight="1">
      <c r="A34" s="20" t="n">
        <v>2</v>
      </c>
      <c r="B34" s="21" t="inlineStr">
        <is>
          <t>ARAGUAÍNA I</t>
        </is>
      </c>
      <c r="C34" s="22" t="n">
        <v>55</v>
      </c>
      <c r="D34" s="18" t="inlineStr">
        <is>
          <t>TO-230</t>
        </is>
      </c>
      <c r="E34" s="21" t="inlineStr">
        <is>
          <t>RODOVIA TO-230 - TRECHO BANDEIRANTES DO TOCANTINS - ARAPOEMA</t>
        </is>
      </c>
      <c r="F34" s="18" t="inlineStr">
        <is>
          <t>230ETO0140</t>
        </is>
      </c>
      <c r="G34" s="21" t="inlineStr">
        <is>
          <t>FIM PU BRASILENE - ENTR. TO-433</t>
        </is>
      </c>
      <c r="H34" s="18" t="inlineStr">
        <is>
          <t>PPS</t>
        </is>
      </c>
      <c r="I34" s="18" t="inlineStr">
        <is>
          <t>-48.67856, -7.745393</t>
        </is>
      </c>
      <c r="J34" s="18" t="inlineStr">
        <is>
          <t>-48.680924, -7.743906</t>
        </is>
      </c>
      <c r="K34" s="19" t="n">
        <v>0.313599938</v>
      </c>
    </row>
    <row r="35" ht="30" customHeight="1">
      <c r="A35" s="20" t="n">
        <v>2</v>
      </c>
      <c r="B35" s="21" t="inlineStr">
        <is>
          <t>ARAGUAÍNA I</t>
        </is>
      </c>
      <c r="C35" s="22" t="n">
        <v>55</v>
      </c>
      <c r="D35" s="18" t="inlineStr">
        <is>
          <t>TO-230</t>
        </is>
      </c>
      <c r="E35" s="21" t="inlineStr">
        <is>
          <t>RODOVIA TO-230 - TRECHO BANDEIRANTES DO TOCANTINS - ARAPOEMA</t>
        </is>
      </c>
      <c r="F35" s="18" t="inlineStr">
        <is>
          <t>230ETO0130</t>
        </is>
      </c>
      <c r="G35" s="21" t="inlineStr">
        <is>
          <t>FIM PU BANDEIRANTES DO TOCANTINS - INÍCIO PU BRASILENE</t>
        </is>
      </c>
      <c r="H35" s="18" t="inlineStr">
        <is>
          <t>PPS</t>
        </is>
      </c>
      <c r="I35" s="18" t="inlineStr">
        <is>
          <t>-48.580571, -7.760307</t>
        </is>
      </c>
      <c r="J35" s="18" t="inlineStr">
        <is>
          <t>-48.673367, -7.745929</t>
        </is>
      </c>
      <c r="K35" s="19" t="n">
        <v>10.97064042</v>
      </c>
    </row>
    <row r="36" ht="30" customHeight="1">
      <c r="A36" s="20" t="n">
        <v>2</v>
      </c>
      <c r="B36" s="21" t="inlineStr">
        <is>
          <t>ARAGUAÍNA I</t>
        </is>
      </c>
      <c r="C36" s="22" t="n">
        <v>56</v>
      </c>
      <c r="D36" s="18" t="inlineStr">
        <is>
          <t>TO-230</t>
        </is>
      </c>
      <c r="E36" s="21" t="inlineStr">
        <is>
          <t>RODOVIA TO-230 - TRECHO ENTR. BR-153 - BANDEIRANTES DO TOCANTINS</t>
        </is>
      </c>
      <c r="F36" s="18" t="inlineStr">
        <is>
          <t>230ETO0100</t>
        </is>
      </c>
      <c r="G36" s="21" t="inlineStr">
        <is>
          <t>ENTR. BR-153 - INÍCIO DUPLICAÇÃO(PU BANDEIRANTES DO TOCANTINS</t>
        </is>
      </c>
      <c r="H36" s="18" t="inlineStr">
        <is>
          <t>PPS</t>
        </is>
      </c>
      <c r="I36" s="18" t="inlineStr">
        <is>
          <t>-48.457024, -7.800632</t>
        </is>
      </c>
      <c r="J36" s="18" t="inlineStr">
        <is>
          <t>-48.575176, -7.763367</t>
        </is>
      </c>
      <c r="K36" s="19" t="n">
        <v>15.69281455</v>
      </c>
    </row>
    <row r="37" ht="45" customHeight="1">
      <c r="A37" s="20" t="n">
        <v>2</v>
      </c>
      <c r="B37" s="21" t="inlineStr">
        <is>
          <t>ARAGUAÍNA I</t>
        </is>
      </c>
      <c r="C37" s="22" t="n">
        <v>53</v>
      </c>
      <c r="D37" s="18" t="inlineStr">
        <is>
          <t>TO-226</t>
        </is>
      </c>
      <c r="E37" s="21" t="inlineStr">
        <is>
          <t>RODOVIA TO-226 - TRECHO ENTR. BR-153 (POVOADO RIO PRETO) - DIVISA TO-PA (POVOADO GARIMPINHO)</t>
        </is>
      </c>
      <c r="F37" s="18" t="inlineStr">
        <is>
          <t>226ETO0260</t>
        </is>
      </c>
      <c r="G37" s="21" t="inlineStr">
        <is>
          <t>ENTR. TO-164(B) - ENTR. TO-165 (B)</t>
        </is>
      </c>
      <c r="H37" s="18" t="inlineStr">
        <is>
          <t>PPS</t>
        </is>
      </c>
      <c r="I37" s="18" t="inlineStr">
        <is>
          <t>-48.940008, -7.372855</t>
        </is>
      </c>
      <c r="J37" s="18" t="inlineStr">
        <is>
          <t>-48.734684, -7.433373</t>
        </is>
      </c>
      <c r="K37" s="19" t="n">
        <v>25.66961785</v>
      </c>
    </row>
    <row r="38" ht="30" customHeight="1">
      <c r="A38" s="20" t="n">
        <v>2</v>
      </c>
      <c r="B38" s="21" t="inlineStr">
        <is>
          <t>ARAGUAÍNA I</t>
        </is>
      </c>
      <c r="C38" s="22" t="n">
        <v>64</v>
      </c>
      <c r="D38" s="18" t="inlineStr">
        <is>
          <t>TO-429</t>
        </is>
      </c>
      <c r="E38" s="21" t="inlineStr">
        <is>
          <t>RODOVIA TO-429 - TRECHO ENTR. TO-230 (ARAPOEMA) - POVOADO ARACAJI</t>
        </is>
      </c>
      <c r="F38" s="18" t="inlineStr">
        <is>
          <t>429ETO0010</t>
        </is>
      </c>
      <c r="G38" s="21" t="inlineStr">
        <is>
          <t>ENTR. TO-230 - DIV TO/PA(ARACAJI)</t>
        </is>
      </c>
      <c r="H38" s="18" t="inlineStr">
        <is>
          <t>LEN</t>
        </is>
      </c>
      <c r="I38" s="18" t="inlineStr">
        <is>
          <t>-49.263028, -7.710589</t>
        </is>
      </c>
      <c r="J38" s="18" t="inlineStr">
        <is>
          <t>-49.125305, -7.659272</t>
        </is>
      </c>
      <c r="K38" s="19" t="n">
        <v>16.70669571</v>
      </c>
    </row>
    <row r="39" ht="30" customHeight="1">
      <c r="A39" s="20" t="n">
        <v>2</v>
      </c>
      <c r="B39" s="21" t="inlineStr">
        <is>
          <t>ARAGUAÍNA I</t>
        </is>
      </c>
      <c r="C39" s="22" t="n">
        <v>54</v>
      </c>
      <c r="D39" s="18" t="inlineStr">
        <is>
          <t>TO-230</t>
        </is>
      </c>
      <c r="E39" s="21" t="inlineStr">
        <is>
          <t>RODOVIA TO-230 - TRECHO ARAPOEMA - PAU D'ARCO (DIVISA TO-PA)</t>
        </is>
      </c>
      <c r="F39" s="18" t="inlineStr">
        <is>
          <t>230ETO0200</t>
        </is>
      </c>
      <c r="G39" s="21" t="inlineStr">
        <is>
          <t>FIM DUPLICAÇÃO - ENTR. TO-429</t>
        </is>
      </c>
      <c r="H39" s="18" t="inlineStr">
        <is>
          <t>PPS</t>
        </is>
      </c>
      <c r="I39" s="18" t="inlineStr">
        <is>
          <t>-49.079969, -7.659361</t>
        </is>
      </c>
      <c r="J39" s="18" t="inlineStr">
        <is>
          <t>-49.125305, -7.659272</t>
        </is>
      </c>
      <c r="K39" s="19" t="n">
        <v>5.27883762</v>
      </c>
    </row>
    <row r="40" ht="30" customHeight="1">
      <c r="A40" s="20" t="n">
        <v>2</v>
      </c>
      <c r="B40" s="21" t="inlineStr">
        <is>
          <t>ARAGUAÍNA I</t>
        </is>
      </c>
      <c r="C40" s="22" t="n">
        <v>55</v>
      </c>
      <c r="D40" s="18" t="inlineStr">
        <is>
          <t>TO-230</t>
        </is>
      </c>
      <c r="E40" s="21" t="inlineStr">
        <is>
          <t>RODOVIA TO-230 - TRECHO BANDEIRANTES DO TOCANTINS - ARAPOEMA</t>
        </is>
      </c>
      <c r="F40" s="18" t="inlineStr">
        <is>
          <t>230ETO0190</t>
        </is>
      </c>
      <c r="G40" s="21" t="inlineStr">
        <is>
          <t>CORIOLANDO - INÍCIO DUPLICAÇÃO(PU ARAPOEMA)</t>
        </is>
      </c>
      <c r="H40" s="18" t="inlineStr">
        <is>
          <t>PPS</t>
        </is>
      </c>
      <c r="I40" s="18" t="inlineStr">
        <is>
          <t>-49.03648, -7.659598</t>
        </is>
      </c>
      <c r="J40" s="18" t="inlineStr">
        <is>
          <t>-49.058619, -7.658211</t>
        </is>
      </c>
      <c r="K40" s="19" t="n">
        <v>2.447980531</v>
      </c>
    </row>
    <row r="41" ht="30" customHeight="1">
      <c r="A41" s="20" t="n">
        <v>2</v>
      </c>
      <c r="B41" s="21" t="inlineStr">
        <is>
          <t>ARAGUAÍNA I</t>
        </is>
      </c>
      <c r="C41" s="22" t="n">
        <v>57</v>
      </c>
      <c r="D41" s="18" t="inlineStr">
        <is>
          <t>TO-416</t>
        </is>
      </c>
      <c r="E41" s="21" t="inlineStr">
        <is>
          <t>RODOVIA TO-416 - TRECHO ENTR. BR-153 - RIACHINHO</t>
        </is>
      </c>
      <c r="F41" s="18" t="inlineStr">
        <is>
          <t>416ETO0050</t>
        </is>
      </c>
      <c r="G41" s="21" t="inlineStr">
        <is>
          <t>RIACHINHO - ENTR. BR-153</t>
        </is>
      </c>
      <c r="H41" s="18" t="inlineStr">
        <is>
          <t>PPS</t>
        </is>
      </c>
      <c r="I41" s="18" t="inlineStr">
        <is>
          <t>-48.137832, -6.446327</t>
        </is>
      </c>
      <c r="J41" s="18" t="inlineStr">
        <is>
          <t>-48.361147, -6.612876</t>
        </is>
      </c>
      <c r="K41" s="19" t="n">
        <v>32.24694551</v>
      </c>
    </row>
    <row r="42" ht="30" customHeight="1">
      <c r="A42" s="20" t="n">
        <v>2</v>
      </c>
      <c r="B42" s="21" t="inlineStr">
        <is>
          <t>ARAGUAÍNA I</t>
        </is>
      </c>
      <c r="C42" s="22" t="n">
        <v>62</v>
      </c>
      <c r="D42" s="18" t="inlineStr">
        <is>
          <t>TO-421</t>
        </is>
      </c>
      <c r="E42" s="21" t="inlineStr">
        <is>
          <t>RODOVIA TO-421 - TRECHO ARAGUAÍNA - POVOADO GROTÃO</t>
        </is>
      </c>
      <c r="F42" s="18" t="inlineStr">
        <is>
          <t>421ETO0020</t>
        </is>
      </c>
      <c r="G42" s="21" t="inlineStr">
        <is>
          <t>FIM PAVIMENTAÇÃO - GROTÃO</t>
        </is>
      </c>
      <c r="H42" s="18" t="inlineStr">
        <is>
          <t>LEN</t>
        </is>
      </c>
      <c r="I42" s="18" t="inlineStr">
        <is>
          <t>-48.271206, -7.123129</t>
        </is>
      </c>
      <c r="J42" s="18" t="inlineStr">
        <is>
          <t>-48.2033169629, -7.1350986463</t>
        </is>
      </c>
      <c r="K42" s="19" t="n">
        <v>12.34253814</v>
      </c>
    </row>
    <row r="43" ht="30" customHeight="1">
      <c r="A43" s="20" t="n">
        <v>2</v>
      </c>
      <c r="B43" s="21" t="inlineStr">
        <is>
          <t>ARAGUAÍNA I</t>
        </is>
      </c>
      <c r="C43" s="22" t="n">
        <v>55</v>
      </c>
      <c r="D43" s="18" t="inlineStr">
        <is>
          <t>TO-230</t>
        </is>
      </c>
      <c r="E43" s="21" t="inlineStr">
        <is>
          <t>RODOVIA TO-230 - TRECHO BANDEIRANTES DO TOCANTINS - ARAPOEMA</t>
        </is>
      </c>
      <c r="F43" s="18" t="inlineStr">
        <is>
          <t>230ETO0150</t>
        </is>
      </c>
      <c r="G43" s="21" t="inlineStr">
        <is>
          <t>ENTR. TO-433 - ENTR. TO-164(A)</t>
        </is>
      </c>
      <c r="H43" s="18" t="inlineStr">
        <is>
          <t>PPS</t>
        </is>
      </c>
      <c r="I43" s="18" t="inlineStr">
        <is>
          <t>-48.680924, -7.743906</t>
        </is>
      </c>
      <c r="J43" s="18" t="inlineStr">
        <is>
          <t>-48.7920350475, -7.64059442114</t>
        </is>
      </c>
      <c r="K43" s="19" t="n">
        <v>18.82410342</v>
      </c>
    </row>
    <row r="44" ht="30" customHeight="1">
      <c r="A44" s="20" t="n">
        <v>2</v>
      </c>
      <c r="B44" s="21" t="inlineStr">
        <is>
          <t>ARAGUAÍNA I</t>
        </is>
      </c>
      <c r="C44" s="22" t="n">
        <v>55</v>
      </c>
      <c r="D44" s="18" t="inlineStr">
        <is>
          <t>TO-230</t>
        </is>
      </c>
      <c r="E44" s="21" t="inlineStr">
        <is>
          <t>RODOVIA TO-230 - TRECHO BANDEIRANTES DO TOCANTINS - ARAPOEMA</t>
        </is>
      </c>
      <c r="F44" s="18" t="inlineStr">
        <is>
          <t>230ETO0170</t>
        </is>
      </c>
      <c r="G44" s="21" t="inlineStr">
        <is>
          <t>ENRT. TO-164(B)(PU DEZENOVE) - ENTR. TO-430</t>
        </is>
      </c>
      <c r="H44" s="18" t="inlineStr">
        <is>
          <t>PPS</t>
        </is>
      </c>
      <c r="I44" s="18" t="inlineStr">
        <is>
          <t>-49.026887, -7.659078</t>
        </is>
      </c>
      <c r="J44" s="18" t="inlineStr">
        <is>
          <t>-48.802415, -7.641302</t>
        </is>
      </c>
      <c r="K44" s="19" t="n">
        <v>26.2339631</v>
      </c>
    </row>
    <row r="45" ht="30" customHeight="1">
      <c r="A45" s="20" t="n">
        <v>2</v>
      </c>
      <c r="B45" s="21" t="inlineStr">
        <is>
          <t>ARAGUAÍNA I</t>
        </is>
      </c>
      <c r="C45" s="22" t="n">
        <v>54</v>
      </c>
      <c r="D45" s="18" t="inlineStr">
        <is>
          <t>TO-230</t>
        </is>
      </c>
      <c r="E45" s="21" t="inlineStr">
        <is>
          <t>RODOVIA TO-230 - TRECHO ARAPOEMA - PAU D'ARCO (DIVISA TO-PA)</t>
        </is>
      </c>
      <c r="F45" s="18" t="inlineStr">
        <is>
          <t>230ETO0197D</t>
        </is>
      </c>
      <c r="G45" s="21" t="inlineStr">
        <is>
          <t>FIM PU ARAPOEMA - FIM DUPLICAÇÃO</t>
        </is>
      </c>
      <c r="H45" s="18" t="inlineStr">
        <is>
          <t>DUP</t>
        </is>
      </c>
      <c r="I45" s="18" t="inlineStr">
        <is>
          <t>-49.0731249315, -7.65677006315</t>
        </is>
      </c>
      <c r="J45" s="18" t="inlineStr">
        <is>
          <t>-49.079969, -7.659361</t>
        </is>
      </c>
      <c r="K45" s="19" t="n">
        <v>0.823438282</v>
      </c>
    </row>
    <row r="46" ht="30" customHeight="1">
      <c r="A46" s="20" t="n">
        <v>2</v>
      </c>
      <c r="B46" s="21" t="inlineStr">
        <is>
          <t>ARAGUAÍNA I</t>
        </is>
      </c>
      <c r="C46" s="22" t="n">
        <v>54</v>
      </c>
      <c r="D46" s="18" t="inlineStr">
        <is>
          <t>TO-230</t>
        </is>
      </c>
      <c r="E46" s="21" t="inlineStr">
        <is>
          <t>RODOVIA TO-230 - TRECHO ARAPOEMA - PAU D'ARCO (DIVISA TO-PA)</t>
        </is>
      </c>
      <c r="F46" s="18" t="inlineStr">
        <is>
          <t>230ETO0197E</t>
        </is>
      </c>
      <c r="G46" s="21" t="inlineStr">
        <is>
          <t>FIM PU ARAPOEMA - FIM DUPLICAÇÃO</t>
        </is>
      </c>
      <c r="H46" s="18" t="inlineStr">
        <is>
          <t>DUP</t>
        </is>
      </c>
      <c r="I46" s="18" t="inlineStr">
        <is>
          <t>-49.079969, -7.659361</t>
        </is>
      </c>
      <c r="J46" s="18" t="inlineStr">
        <is>
          <t>-49.0730758434, -7.65687965099</t>
        </is>
      </c>
      <c r="K46" s="19" t="n">
        <v>0.817156586</v>
      </c>
    </row>
    <row r="47" ht="30" customHeight="1">
      <c r="A47" s="20" t="n">
        <v>2</v>
      </c>
      <c r="B47" s="21" t="inlineStr">
        <is>
          <t>ARAGUAÍNA I</t>
        </is>
      </c>
      <c r="C47" s="22" t="n">
        <v>49</v>
      </c>
      <c r="D47" s="18" t="inlineStr">
        <is>
          <t>TO-166</t>
        </is>
      </c>
      <c r="E47" s="21" t="inlineStr">
        <is>
          <t>RODOVIA TO-166 - TRECHO ENTR. TO-222 - ENTR. TO-226 - ARAPOEMA</t>
        </is>
      </c>
      <c r="F47" s="18" t="inlineStr">
        <is>
          <t>166ETO0122</t>
        </is>
      </c>
      <c r="G47" s="21" t="inlineStr">
        <is>
          <t>INÍCIO PAVIMENTAÇÃO(PU ARAPOEMA) - ENTR. TO-230(PU ARAPOEMA)</t>
        </is>
      </c>
      <c r="H47" s="18" t="inlineStr">
        <is>
          <t>PSU</t>
        </is>
      </c>
      <c r="I47" s="18" t="inlineStr">
        <is>
          <t>-49.0688549774, -7.65653477004</t>
        </is>
      </c>
      <c r="J47" s="18" t="inlineStr">
        <is>
          <t>-49.0695292545, -7.64941772163</t>
        </is>
      </c>
      <c r="K47" s="19" t="n">
        <v>0.8349548919999999</v>
      </c>
    </row>
    <row r="48" ht="30" customHeight="1">
      <c r="A48" s="20" t="n">
        <v>2</v>
      </c>
      <c r="B48" s="21" t="inlineStr">
        <is>
          <t>ARAGUAÍNA I</t>
        </is>
      </c>
      <c r="C48" s="22" t="n">
        <v>53</v>
      </c>
      <c r="D48" s="18" t="inlineStr">
        <is>
          <t>TO-165</t>
        </is>
      </c>
      <c r="E48" s="21" t="inlineStr">
        <is>
          <t>RODOVIA TO-165 - TRECHO SANTA FÉ DO ARAGUAIA - ENTR. TO-226 - ARAPOEMA</t>
        </is>
      </c>
      <c r="F48" s="18" t="inlineStr">
        <is>
          <t>165ETO0110</t>
        </is>
      </c>
      <c r="G48" s="21" t="inlineStr">
        <is>
          <t>ENTR. TO-226(A) - ENTR. TO-226(B)</t>
        </is>
      </c>
      <c r="H48" s="18" t="inlineStr">
        <is>
          <t>PPS</t>
        </is>
      </c>
      <c r="I48" s="18" t="inlineStr">
        <is>
          <t>-48.9490508719, -7.37336088893</t>
        </is>
      </c>
      <c r="J48" s="18" t="inlineStr">
        <is>
          <t>-48.940008, -7.372855</t>
        </is>
      </c>
      <c r="K48" s="19" t="n">
        <v>1.000427782</v>
      </c>
    </row>
    <row r="49" ht="30" customHeight="1">
      <c r="A49" s="20" t="n">
        <v>2</v>
      </c>
      <c r="B49" s="21" t="inlineStr">
        <is>
          <t>ARAGUAÍNA I</t>
        </is>
      </c>
      <c r="C49" s="22" t="n">
        <v>48</v>
      </c>
      <c r="D49" s="18" t="inlineStr">
        <is>
          <t>TO-165</t>
        </is>
      </c>
      <c r="E49" s="21" t="inlineStr">
        <is>
          <t>RODOVIA TO-165 - TRECHO SANTA FÉ DO ARAGUAIA - ENTR. TO-226 - ARAPOEMA</t>
        </is>
      </c>
      <c r="F49" s="18" t="inlineStr">
        <is>
          <t>165ETO0100</t>
        </is>
      </c>
      <c r="G49" s="21" t="inlineStr">
        <is>
          <t>FIM PU SANTA FÉ DO ARAGUAIA - ENTR. TO-226(A)</t>
        </is>
      </c>
      <c r="H49" s="18" t="inlineStr">
        <is>
          <t>LEN</t>
        </is>
      </c>
      <c r="I49" s="18" t="inlineStr">
        <is>
          <t>-48.9490508719, -7.37336088893</t>
        </is>
      </c>
      <c r="J49" s="18" t="inlineStr">
        <is>
          <t>-48.6971308547, -7.15444463677</t>
        </is>
      </c>
      <c r="K49" s="19" t="n">
        <v>51.31146474</v>
      </c>
    </row>
    <row r="50" ht="15" customHeight="1">
      <c r="A50" s="20" t="n">
        <v>2</v>
      </c>
      <c r="B50" s="21" t="inlineStr">
        <is>
          <t>ARAGUAÍNA I</t>
        </is>
      </c>
      <c r="C50" s="22" t="n">
        <v>39</v>
      </c>
      <c r="D50" s="18" t="inlineStr">
        <is>
          <t>TO-416</t>
        </is>
      </c>
      <c r="E50" s="21" t="inlineStr">
        <is>
          <t>RODOVIA TO-010 - TRECHO RIACHINHO - ANANÁS</t>
        </is>
      </c>
      <c r="F50" s="18" t="inlineStr">
        <is>
          <t>416ETO0040</t>
        </is>
      </c>
      <c r="G50" s="21" t="inlineStr">
        <is>
          <t>ENTR. TO-010 - RIACHINHO</t>
        </is>
      </c>
      <c r="H50" s="18" t="inlineStr">
        <is>
          <t>PPS</t>
        </is>
      </c>
      <c r="I50" s="18" t="inlineStr">
        <is>
          <t>-48.12044, -6.433737</t>
        </is>
      </c>
      <c r="J50" s="18" t="inlineStr">
        <is>
          <t>-48.137832, -6.446327</t>
        </is>
      </c>
      <c r="K50" s="19" t="n">
        <v>2.429556553</v>
      </c>
    </row>
    <row r="51" ht="30" customHeight="1">
      <c r="A51" s="20" t="n">
        <v>2</v>
      </c>
      <c r="B51" s="21" t="inlineStr">
        <is>
          <t>ARAGUAÍNA I</t>
        </is>
      </c>
      <c r="C51" s="22" t="n">
        <v>40</v>
      </c>
      <c r="D51" s="18" t="inlineStr">
        <is>
          <t>TO-010</t>
        </is>
      </c>
      <c r="E51" s="21" t="inlineStr">
        <is>
          <t>RODOVIA TO-010 - TRECHO WANDERLÂNDIA - RIACHINHO</t>
        </is>
      </c>
      <c r="F51" s="18" t="inlineStr">
        <is>
          <t>010ETO0490</t>
        </is>
      </c>
      <c r="G51" s="21" t="inlineStr">
        <is>
          <t>FIM PU SOROROCA - ENTR. TO-416</t>
        </is>
      </c>
      <c r="H51" s="18" t="inlineStr">
        <is>
          <t>PPS</t>
        </is>
      </c>
      <c r="I51" s="18" t="inlineStr">
        <is>
          <t>-48.12044, -6.433737</t>
        </is>
      </c>
      <c r="J51" s="18" t="inlineStr">
        <is>
          <t>-48.092095, -6.482327</t>
        </is>
      </c>
      <c r="K51" s="19" t="n">
        <v>6.479393369</v>
      </c>
    </row>
    <row r="52" ht="30" customHeight="1">
      <c r="A52" s="20" t="n">
        <v>2</v>
      </c>
      <c r="B52" s="21" t="inlineStr">
        <is>
          <t>ARAGUAÍNA I</t>
        </is>
      </c>
      <c r="C52" s="22" t="n">
        <v>40</v>
      </c>
      <c r="D52" s="18" t="inlineStr">
        <is>
          <t>TO-010</t>
        </is>
      </c>
      <c r="E52" s="21" t="inlineStr">
        <is>
          <t>RODOVIA TO-010 - TRECHO WANDERLÂNDIA - RIACHINHO</t>
        </is>
      </c>
      <c r="F52" s="18" t="inlineStr">
        <is>
          <t>010ETO0472</t>
        </is>
      </c>
      <c r="G52" s="21" t="inlineStr">
        <is>
          <t>INÍCIO PU CENTRO DOS BORGES - FIM PU CENTRO DOS BORGES</t>
        </is>
      </c>
      <c r="H52" s="18" t="inlineStr">
        <is>
          <t>PSU</t>
        </is>
      </c>
      <c r="I52" s="18" t="inlineStr">
        <is>
          <t>-48.060737, -6.500913</t>
        </is>
      </c>
      <c r="J52" s="18" t="inlineStr">
        <is>
          <t>-48.050967, -6.510044</t>
        </is>
      </c>
      <c r="K52" s="19" t="n">
        <v>1.664877017</v>
      </c>
    </row>
    <row r="53" ht="30" customHeight="1">
      <c r="A53" s="20" t="n">
        <v>2</v>
      </c>
      <c r="B53" s="21" t="inlineStr">
        <is>
          <t>ARAGUAÍNA I</t>
        </is>
      </c>
      <c r="C53" s="22" t="n">
        <v>40</v>
      </c>
      <c r="D53" s="18" t="inlineStr">
        <is>
          <t>TO-010</t>
        </is>
      </c>
      <c r="E53" s="21" t="inlineStr">
        <is>
          <t>RODOVIA TO-010 - TRECHO WANDERLÂNDIA - RIACHINHO</t>
        </is>
      </c>
      <c r="F53" s="18" t="inlineStr">
        <is>
          <t>010ETO0421</t>
        </is>
      </c>
      <c r="G53" s="21" t="inlineStr">
        <is>
          <t>ENTR. BR-226(PU WANDERLÂNDIA) - FIM PU WANDERLÂNDIA</t>
        </is>
      </c>
      <c r="H53" s="18" t="inlineStr">
        <is>
          <t>PPS</t>
        </is>
      </c>
      <c r="I53" s="18" t="inlineStr">
        <is>
          <t>-47.9726903031, -6.83507056982</t>
        </is>
      </c>
      <c r="J53" s="18" t="inlineStr">
        <is>
          <t>-47.96411795, -6.8491794</t>
        </is>
      </c>
      <c r="K53" s="19" t="n">
        <v>1.828510945</v>
      </c>
    </row>
    <row r="54" ht="30" customHeight="1">
      <c r="A54" s="20" t="n">
        <v>2</v>
      </c>
      <c r="B54" s="21" t="inlineStr">
        <is>
          <t>ARAGUAÍNA I</t>
        </is>
      </c>
      <c r="C54" s="22" t="n">
        <v>62</v>
      </c>
      <c r="D54" s="18" t="inlineStr">
        <is>
          <t>TO-421</t>
        </is>
      </c>
      <c r="E54" s="21" t="inlineStr">
        <is>
          <t>RODOVIA TO-421 - TRECHO ARAGUAÍNA - POVOADO GROTÃO</t>
        </is>
      </c>
      <c r="F54" s="18" t="inlineStr">
        <is>
          <t>421ETO0040</t>
        </is>
      </c>
      <c r="G54" s="21" t="inlineStr">
        <is>
          <t>GROTÃO - ÁGUA AMARELA</t>
        </is>
      </c>
      <c r="H54" s="18" t="inlineStr">
        <is>
          <t>LEN</t>
        </is>
      </c>
      <c r="I54" s="18" t="inlineStr">
        <is>
          <t>-48.271206, -7.123129</t>
        </is>
      </c>
      <c r="J54" s="18" t="inlineStr">
        <is>
          <t>-48.263308, -7.130758</t>
        </is>
      </c>
      <c r="K54" s="19" t="n">
        <v>1.265129175</v>
      </c>
    </row>
    <row r="55" ht="30" customHeight="1">
      <c r="A55" s="20" t="n">
        <v>2</v>
      </c>
      <c r="B55" s="21" t="inlineStr">
        <is>
          <t>ARAGUAÍNA I</t>
        </is>
      </c>
      <c r="C55" s="22" t="n">
        <v>55</v>
      </c>
      <c r="D55" s="18" t="inlineStr">
        <is>
          <t>TO-230</t>
        </is>
      </c>
      <c r="E55" s="21" t="inlineStr">
        <is>
          <t>RODOVIA TO-230 - TRECHO BANDEIRANTES DO TOCANTINS - ARAPOEMA</t>
        </is>
      </c>
      <c r="F55" s="18" t="inlineStr">
        <is>
          <t>230ETO0180</t>
        </is>
      </c>
      <c r="G55" s="21" t="inlineStr">
        <is>
          <t>ENTR. TO-430 - CORIOLANDO</t>
        </is>
      </c>
      <c r="H55" s="18" t="inlineStr">
        <is>
          <t>PPS</t>
        </is>
      </c>
      <c r="I55" s="18" t="inlineStr">
        <is>
          <t>-49.03648, -7.659598</t>
        </is>
      </c>
      <c r="J55" s="18" t="inlineStr">
        <is>
          <t>-49.026887, -7.659078</t>
        </is>
      </c>
      <c r="K55" s="19" t="n">
        <v>1.077011307</v>
      </c>
    </row>
    <row r="56" ht="30" customHeight="1">
      <c r="A56" s="20" t="n">
        <v>2</v>
      </c>
      <c r="B56" s="21" t="inlineStr">
        <is>
          <t>ARAGUAÍNA I</t>
        </is>
      </c>
      <c r="C56" s="22" t="n">
        <v>48</v>
      </c>
      <c r="D56" s="18" t="inlineStr">
        <is>
          <t>TO-165</t>
        </is>
      </c>
      <c r="E56" s="21" t="inlineStr">
        <is>
          <t>RODOVIA TO-165 - TRECHO SANTA FÉ DO ARAGUAIA - ENTR. TO-226 - ARAPOEMA</t>
        </is>
      </c>
      <c r="F56" s="18" t="inlineStr">
        <is>
          <t>165ETO0120</t>
        </is>
      </c>
      <c r="G56" s="21" t="inlineStr">
        <is>
          <t>ENTR. TO-226(B) - INÍCIO PAVIMENTAÇÃO(PU ARAPOEMA)</t>
        </is>
      </c>
      <c r="H56" s="18" t="inlineStr">
        <is>
          <t>LEN</t>
        </is>
      </c>
      <c r="I56" s="18" t="inlineStr">
        <is>
          <t>-49.060032, -7.649948</t>
        </is>
      </c>
      <c r="J56" s="18" t="inlineStr">
        <is>
          <t>-48.940008, -7.372855</t>
        </is>
      </c>
      <c r="K56" s="19" t="n">
        <v>40.43111296</v>
      </c>
    </row>
    <row r="57" ht="30" customHeight="1">
      <c r="A57" s="20" t="n">
        <v>2</v>
      </c>
      <c r="B57" s="21" t="inlineStr">
        <is>
          <t>ARAGUAÍNA I</t>
        </is>
      </c>
      <c r="C57" s="22" t="n">
        <v>55</v>
      </c>
      <c r="D57" s="18" t="inlineStr">
        <is>
          <t>TO-230</t>
        </is>
      </c>
      <c r="E57" s="21" t="inlineStr">
        <is>
          <t>RODOVIA TO-230 - TRECHO BANDEIRANTES DO TOCANTINS - ARAPOEMA</t>
        </is>
      </c>
      <c r="F57" s="18" t="inlineStr">
        <is>
          <t>230ETO0132</t>
        </is>
      </c>
      <c r="G57" s="21" t="inlineStr">
        <is>
          <t>INÍCIO PU BRASILENE - FIM PU BRASILENE</t>
        </is>
      </c>
      <c r="H57" s="18" t="inlineStr">
        <is>
          <t>PSU</t>
        </is>
      </c>
      <c r="I57" s="18" t="inlineStr">
        <is>
          <t>-48.67856, -7.745393</t>
        </is>
      </c>
      <c r="J57" s="18" t="inlineStr">
        <is>
          <t>-48.673367, -7.745929</t>
        </is>
      </c>
      <c r="K57" s="19" t="n">
        <v>0.5997687</v>
      </c>
    </row>
    <row r="58" ht="30" customHeight="1">
      <c r="A58" s="20" t="n">
        <v>2</v>
      </c>
      <c r="B58" s="21" t="inlineStr">
        <is>
          <t>ARAGUAÍNA I</t>
        </is>
      </c>
      <c r="C58" s="22" t="n">
        <v>66</v>
      </c>
      <c r="D58" s="18" t="inlineStr">
        <is>
          <t>TO-433</t>
        </is>
      </c>
      <c r="E58" s="21" t="inlineStr">
        <is>
          <t>RODOVIA TO-433 - TRECHO ENTR. TO-230 (POVOADO BRASILENE) - BERNARDO SAYÃO (ENTR. TO-164)</t>
        </is>
      </c>
      <c r="F58" s="18" t="inlineStr">
        <is>
          <t>433ETO0010</t>
        </is>
      </c>
      <c r="G58" s="21" t="inlineStr">
        <is>
          <t>ENTR. TO-230 - ENTR. TO-164</t>
        </is>
      </c>
      <c r="H58" s="18" t="inlineStr">
        <is>
          <t>LEN</t>
        </is>
      </c>
      <c r="I58" s="18" t="inlineStr">
        <is>
          <t>-48.8998670549, -7.85655133359</t>
        </is>
      </c>
      <c r="J58" s="18" t="inlineStr">
        <is>
          <t>-48.680924, -7.743906</t>
        </is>
      </c>
      <c r="K58" s="19" t="n">
        <v>32.23607071</v>
      </c>
    </row>
    <row r="59" ht="30" customHeight="1">
      <c r="A59" s="20" t="n">
        <v>2</v>
      </c>
      <c r="B59" s="21" t="inlineStr">
        <is>
          <t>ARAGUAÍNA I</t>
        </is>
      </c>
      <c r="C59" s="22" t="n">
        <v>52</v>
      </c>
      <c r="D59" s="18" t="inlineStr">
        <is>
          <t>TO-222</t>
        </is>
      </c>
      <c r="E59" s="21" t="inlineStr">
        <is>
          <t>RODOVIA TO-222 - TRECHO SANTA FÉ DO ARAGUAIA - DIVISA TO-PA (POVOADO PORTO LEMOS)</t>
        </is>
      </c>
      <c r="F59" s="18" t="inlineStr">
        <is>
          <t>222ETO0183</t>
        </is>
      </c>
      <c r="G59" s="21" t="inlineStr">
        <is>
          <t>ENTR. TO-165(PU SANTA FÉ DO ARAGUAIA) - FIM PU SANTA FÉ DO ARAGUAIA</t>
        </is>
      </c>
      <c r="H59" s="18" t="inlineStr">
        <is>
          <t>PSU</t>
        </is>
      </c>
      <c r="I59" s="18" t="inlineStr">
        <is>
          <t>-48.697251, -7.152448</t>
        </is>
      </c>
      <c r="J59" s="18" t="inlineStr">
        <is>
          <t>-48.6955122945, -7.15360732196</t>
        </is>
      </c>
      <c r="K59" s="19" t="n">
        <v>0.232756137</v>
      </c>
    </row>
    <row r="60" ht="30" customHeight="1">
      <c r="A60" s="20" t="n">
        <v>2</v>
      </c>
      <c r="B60" s="21" t="inlineStr">
        <is>
          <t>ARAGUAÍNA I</t>
        </is>
      </c>
      <c r="C60" s="22" t="n">
        <v>40</v>
      </c>
      <c r="D60" s="18" t="inlineStr">
        <is>
          <t>TO-010</t>
        </is>
      </c>
      <c r="E60" s="21" t="inlineStr">
        <is>
          <t>RODOVIA TO-010 - TRECHO WANDERLÂNDIA - RIACHINHO</t>
        </is>
      </c>
      <c r="F60" s="18" t="inlineStr">
        <is>
          <t>010ETO0482</t>
        </is>
      </c>
      <c r="G60" s="21" t="inlineStr">
        <is>
          <t>INÍCIO PU SOROROCA - FIM PU SOROROCA</t>
        </is>
      </c>
      <c r="H60" s="18" t="inlineStr">
        <is>
          <t>PSU</t>
        </is>
      </c>
      <c r="I60" s="18" t="inlineStr">
        <is>
          <t>-48.092095, -6.482327</t>
        </is>
      </c>
      <c r="J60" s="18" t="inlineStr">
        <is>
          <t>-48.088933, -6.485743</t>
        </is>
      </c>
      <c r="K60" s="19" t="n">
        <v>0.557534914</v>
      </c>
    </row>
    <row r="61" ht="30" customHeight="1">
      <c r="A61" s="20" t="n">
        <v>2</v>
      </c>
      <c r="B61" s="21" t="inlineStr">
        <is>
          <t>ARAGUAÍNA I</t>
        </is>
      </c>
      <c r="C61" s="22" t="n">
        <v>39</v>
      </c>
      <c r="D61" s="18" t="inlineStr">
        <is>
          <t>TO-010</t>
        </is>
      </c>
      <c r="E61" s="21" t="inlineStr">
        <is>
          <t>RODOVIA TO-010 - TRECHO RIACHINHO - ANANÁS</t>
        </is>
      </c>
      <c r="F61" s="18" t="inlineStr">
        <is>
          <t>010ETO0502</t>
        </is>
      </c>
      <c r="G61" s="21" t="inlineStr">
        <is>
          <t>INÍCIO PU SÃO RAIMUNDO - INÍCIO DUPLICAÇÃO(PU SÃO RAIMUNDO)</t>
        </is>
      </c>
      <c r="H61" s="18" t="inlineStr">
        <is>
          <t>PSU</t>
        </is>
      </c>
      <c r="I61" s="18" t="inlineStr">
        <is>
          <t>-48.096588, -6.405194</t>
        </is>
      </c>
      <c r="J61" s="18" t="inlineStr">
        <is>
          <t>-48.097888, -6.406868</t>
        </is>
      </c>
      <c r="K61" s="19" t="n">
        <v>0.234646329</v>
      </c>
    </row>
    <row r="62" ht="30" customHeight="1">
      <c r="A62" s="20" t="n">
        <v>2</v>
      </c>
      <c r="B62" s="21" t="inlineStr">
        <is>
          <t>ARAGUAÍNA I</t>
        </is>
      </c>
      <c r="C62" s="22" t="n">
        <v>39</v>
      </c>
      <c r="D62" s="18" t="inlineStr">
        <is>
          <t>TO-010</t>
        </is>
      </c>
      <c r="E62" s="21" t="inlineStr">
        <is>
          <t>RODOVIA TO-010 - TRECHO RIACHINHO - ANANÁS</t>
        </is>
      </c>
      <c r="F62" s="18" t="inlineStr">
        <is>
          <t>010ETO0505</t>
        </is>
      </c>
      <c r="G62" s="21" t="inlineStr">
        <is>
          <t>FIM DUPLICAÇÃO(PU SÃO RAIMUNDO) - FIM PU SÃO RAIMUNDO</t>
        </is>
      </c>
      <c r="H62" s="18" t="inlineStr">
        <is>
          <t>PPS</t>
        </is>
      </c>
      <c r="I62" s="18" t="inlineStr">
        <is>
          <t>-48.094278, -6.402218</t>
        </is>
      </c>
      <c r="J62" s="18" t="inlineStr">
        <is>
          <t>-48.095243, -6.403462</t>
        </is>
      </c>
      <c r="K62" s="19" t="n">
        <v>0.174324719</v>
      </c>
    </row>
    <row r="63" ht="30" customHeight="1">
      <c r="A63" s="20" t="n">
        <v>2</v>
      </c>
      <c r="B63" s="21" t="inlineStr">
        <is>
          <t>ARAGUAÍNA I</t>
        </is>
      </c>
      <c r="C63" s="22" t="n">
        <v>39</v>
      </c>
      <c r="D63" s="18" t="inlineStr">
        <is>
          <t>TO-010</t>
        </is>
      </c>
      <c r="E63" s="21" t="inlineStr">
        <is>
          <t>RODOVIA TO-010 - TRECHO RIACHINHO - ANANÁS</t>
        </is>
      </c>
      <c r="F63" s="18" t="inlineStr">
        <is>
          <t>010ETO0503E</t>
        </is>
      </c>
      <c r="G63" s="21" t="inlineStr">
        <is>
          <t>INÍCIO DUPLICAÇÃO(PU SÃO RAIMUNDO) - FIM DUPLICAÇÃO(PU SÃO RAIMUNDO)</t>
        </is>
      </c>
      <c r="H63" s="18" t="inlineStr">
        <is>
          <t>PDU</t>
        </is>
      </c>
      <c r="I63" s="18" t="inlineStr">
        <is>
          <t>-48.095243, -6.403462</t>
        </is>
      </c>
      <c r="J63" s="18" t="inlineStr">
        <is>
          <t>-48.096588, -6.405194</t>
        </is>
      </c>
      <c r="K63" s="19" t="n">
        <v>0.242801412</v>
      </c>
    </row>
    <row r="64" ht="30" customHeight="1">
      <c r="A64" s="20" t="n">
        <v>2</v>
      </c>
      <c r="B64" s="21" t="inlineStr">
        <is>
          <t>ARAGUAÍNA I</t>
        </is>
      </c>
      <c r="C64" s="22" t="n">
        <v>39</v>
      </c>
      <c r="D64" s="18" t="inlineStr">
        <is>
          <t>TO-010</t>
        </is>
      </c>
      <c r="E64" s="21" t="inlineStr">
        <is>
          <t>RODOVIA TO-010 - TRECHO RIACHINHO - ANANÁS</t>
        </is>
      </c>
      <c r="F64" s="18" t="inlineStr">
        <is>
          <t>010ETO0503D</t>
        </is>
      </c>
      <c r="G64" s="21" t="inlineStr">
        <is>
          <t>INÍCIO DUPLICAÇÃO(PU SÃO RAIMUNDO) - FIM DUPLICAÇÃO(PU SÃO RAIMUNDO)</t>
        </is>
      </c>
      <c r="H64" s="18" t="inlineStr">
        <is>
          <t>PDU</t>
        </is>
      </c>
      <c r="I64" s="18" t="inlineStr">
        <is>
          <t>-48.096588, -6.405194</t>
        </is>
      </c>
      <c r="J64" s="18" t="inlineStr">
        <is>
          <t>-48.095243, -6.403462</t>
        </is>
      </c>
      <c r="K64" s="19" t="n">
        <v>0.245178863</v>
      </c>
    </row>
    <row r="65" ht="30" customHeight="1">
      <c r="A65" s="20" t="n">
        <v>2</v>
      </c>
      <c r="B65" s="21" t="inlineStr">
        <is>
          <t>ARAGUAÍNA I</t>
        </is>
      </c>
      <c r="C65" s="22" t="n">
        <v>39</v>
      </c>
      <c r="D65" s="18" t="inlineStr">
        <is>
          <t>TO-010</t>
        </is>
      </c>
      <c r="E65" s="21" t="inlineStr">
        <is>
          <t>RODOVIA TO-010 - TRECHO RIACHINHO - ANANÁS</t>
        </is>
      </c>
      <c r="F65" s="18" t="inlineStr">
        <is>
          <t>010ETO0511D</t>
        </is>
      </c>
      <c r="G65" s="21" t="inlineStr">
        <is>
          <t>INÍCIO DUPLICAÇÃO(PU ANANÁS) - ENTR. TO-210(PU ANANÁS)</t>
        </is>
      </c>
      <c r="H65" s="18" t="inlineStr">
        <is>
          <t>PDU</t>
        </is>
      </c>
      <c r="I65" s="18" t="inlineStr">
        <is>
          <t>-48.069004745, -6.372480578</t>
        </is>
      </c>
      <c r="J65" s="18" t="inlineStr">
        <is>
          <t>-48.075018892, -6.377363872</t>
        </is>
      </c>
      <c r="K65" s="19" t="n">
        <v>0.869564623</v>
      </c>
    </row>
    <row r="66" ht="30" customHeight="1">
      <c r="A66" s="20" t="n">
        <v>2</v>
      </c>
      <c r="B66" s="21" t="inlineStr">
        <is>
          <t>ARAGUAÍNA I</t>
        </is>
      </c>
      <c r="C66" s="22" t="n">
        <v>39</v>
      </c>
      <c r="D66" s="18" t="inlineStr">
        <is>
          <t>TO-010</t>
        </is>
      </c>
      <c r="E66" s="21" t="inlineStr">
        <is>
          <t>RODOVIA TO-010 - TRECHO RIACHINHO - ANANÁS</t>
        </is>
      </c>
      <c r="F66" s="18" t="inlineStr">
        <is>
          <t>010ETO0511E</t>
        </is>
      </c>
      <c r="G66" s="21" t="inlineStr">
        <is>
          <t>INÍCIO DUPLICAÇÃO(PU ANANÁS) - ENTR. TO-210(PU ANANÁS)</t>
        </is>
      </c>
      <c r="H66" s="18" t="inlineStr">
        <is>
          <t>PDU</t>
        </is>
      </c>
      <c r="I66" s="18" t="inlineStr">
        <is>
          <t>-48.075018892, -6.377363872</t>
        </is>
      </c>
      <c r="J66" s="18" t="inlineStr">
        <is>
          <t>-48.06889555, -6.372561004</t>
        </is>
      </c>
      <c r="K66" s="19" t="n">
        <v>0.877762313</v>
      </c>
    </row>
    <row r="67" ht="30" customHeight="1">
      <c r="A67" s="20" t="n">
        <v>2</v>
      </c>
      <c r="B67" s="21" t="inlineStr">
        <is>
          <t>ARAGUAÍNA I</t>
        </is>
      </c>
      <c r="C67" s="22" t="n">
        <v>41</v>
      </c>
      <c r="D67" s="18" t="inlineStr">
        <is>
          <t>TO-164</t>
        </is>
      </c>
      <c r="E67" s="21" t="inlineStr">
        <is>
          <t>RODOVIA TO-164 - TRECHO ENTR. BR-153 (XAMBIOÁ) - ARAGUANÃ</t>
        </is>
      </c>
      <c r="F67" s="18" t="inlineStr">
        <is>
          <t>164ETO0093</t>
        </is>
      </c>
      <c r="G67" s="21" t="inlineStr">
        <is>
          <t>ENTR. BR-153(PU XAMBIOÁ) - FIM PU XAMBIOÁ</t>
        </is>
      </c>
      <c r="H67" s="18" t="inlineStr">
        <is>
          <t>PSU</t>
        </is>
      </c>
      <c r="I67" s="18" t="inlineStr">
        <is>
          <t>-48.5364563569, -6.42491272168</t>
        </is>
      </c>
      <c r="J67" s="18" t="inlineStr">
        <is>
          <t>-48.5333998792, -6.42008811555</t>
        </is>
      </c>
      <c r="K67" s="19" t="n">
        <v>0.63598559</v>
      </c>
    </row>
    <row r="68" ht="30" customHeight="1">
      <c r="A68" s="20" t="n">
        <v>2</v>
      </c>
      <c r="B68" s="21" t="inlineStr">
        <is>
          <t>ARAGUAÍNA I</t>
        </is>
      </c>
      <c r="C68" s="22" t="n">
        <v>41</v>
      </c>
      <c r="D68" s="18" t="inlineStr">
        <is>
          <t>TO-164</t>
        </is>
      </c>
      <c r="E68" s="21" t="inlineStr">
        <is>
          <t>RODOVIA TO-164 - TRECHO ENTR. BR-153 (XAMBIOÁ) - ARAGUANÃ</t>
        </is>
      </c>
      <c r="F68" s="18" t="inlineStr">
        <is>
          <t>164ETO0101</t>
        </is>
      </c>
      <c r="G68" s="21" t="inlineStr">
        <is>
          <t>INÍCIO PU ARAGUANÃ - FIM PU ARAGUANÃ</t>
        </is>
      </c>
      <c r="H68" s="18" t="inlineStr">
        <is>
          <t>PSU</t>
        </is>
      </c>
      <c r="I68" s="18" t="inlineStr">
        <is>
          <t>-48.639225, -6.570846</t>
        </is>
      </c>
      <c r="J68" s="18" t="inlineStr">
        <is>
          <t>-48.641603, -6.592737</t>
        </is>
      </c>
      <c r="K68" s="19" t="n">
        <v>2.760490662</v>
      </c>
    </row>
    <row r="69" ht="30" customHeight="1">
      <c r="A69" s="20" t="n">
        <v>2</v>
      </c>
      <c r="B69" s="21" t="inlineStr">
        <is>
          <t>ARAGUAÍNA I</t>
        </is>
      </c>
      <c r="C69" s="22" t="n">
        <v>44</v>
      </c>
      <c r="D69" s="18" t="inlineStr">
        <is>
          <t>TO-164</t>
        </is>
      </c>
      <c r="E69" s="21" t="inlineStr">
        <is>
          <t>RODOVIA TO-164 - TRECHO ARAGUANÃ - CARMOLÂNDIA</t>
        </is>
      </c>
      <c r="F69" s="18" t="inlineStr">
        <is>
          <t>164ETO0112</t>
        </is>
      </c>
      <c r="G69" s="21" t="inlineStr">
        <is>
          <t>INÍCIO PU JACILÂNDIA - FIM PU JACILÂNDIA</t>
        </is>
      </c>
      <c r="H69" s="18" t="inlineStr">
        <is>
          <t>PSU</t>
        </is>
      </c>
      <c r="I69" s="18" t="inlineStr">
        <is>
          <t>-48.519944, -6.845185</t>
        </is>
      </c>
      <c r="J69" s="18" t="inlineStr">
        <is>
          <t>-48.518161, -6.850281</t>
        </is>
      </c>
      <c r="K69" s="19" t="n">
        <v>0.597422833</v>
      </c>
    </row>
    <row r="70" ht="30" customHeight="1">
      <c r="A70" s="20" t="n">
        <v>2</v>
      </c>
      <c r="B70" s="21" t="inlineStr">
        <is>
          <t>ARAGUAÍNA I</t>
        </is>
      </c>
      <c r="C70" s="22" t="n">
        <v>44</v>
      </c>
      <c r="D70" s="18" t="inlineStr">
        <is>
          <t>TO-164</t>
        </is>
      </c>
      <c r="E70" s="21" t="inlineStr">
        <is>
          <t>RODOVIA TO-164 - TRECHO ARAGUANÃ - CARMOLÂNDIA</t>
        </is>
      </c>
      <c r="F70" s="18" t="inlineStr">
        <is>
          <t>164ETO0122</t>
        </is>
      </c>
      <c r="G70" s="21" t="inlineStr">
        <is>
          <t>INÍCIO PU CARMOLÂNDIA - FIM PU CARMOLÂNDIA</t>
        </is>
      </c>
      <c r="H70" s="18" t="inlineStr">
        <is>
          <t>PSU</t>
        </is>
      </c>
      <c r="I70" s="18" t="inlineStr">
        <is>
          <t>-48.3972601543, -7.0291951805</t>
        </is>
      </c>
      <c r="J70" s="18" t="inlineStr">
        <is>
          <t>-48.393215, -7.041732</t>
        </is>
      </c>
      <c r="K70" s="19" t="n">
        <v>1.457919297</v>
      </c>
    </row>
    <row r="71" ht="30" customHeight="1">
      <c r="A71" s="20" t="n">
        <v>2</v>
      </c>
      <c r="B71" s="21" t="inlineStr">
        <is>
          <t>ARAGUAÍNA I</t>
        </is>
      </c>
      <c r="C71" s="22" t="n">
        <v>43</v>
      </c>
      <c r="D71" s="18" t="inlineStr">
        <is>
          <t>TO-164</t>
        </is>
      </c>
      <c r="E71" s="21" t="inlineStr">
        <is>
          <t>RODOVIA TO-164 - TRECHO ARAGOMINAS - MURICILÂNDIA</t>
        </is>
      </c>
      <c r="F71" s="18" t="inlineStr">
        <is>
          <t>164ETO0151</t>
        </is>
      </c>
      <c r="G71" s="21" t="inlineStr">
        <is>
          <t>INÍCIO PU ARAGOMINAS - FIM PU ARAGOMINAS</t>
        </is>
      </c>
      <c r="H71" s="18" t="inlineStr">
        <is>
          <t>PSU</t>
        </is>
      </c>
      <c r="I71" s="18" t="inlineStr">
        <is>
          <t>-48.525686, -7.173159</t>
        </is>
      </c>
      <c r="J71" s="18" t="inlineStr">
        <is>
          <t>-48.5246204027, -7.16272959922</t>
        </is>
      </c>
      <c r="K71" s="19" t="n">
        <v>1.408217453</v>
      </c>
    </row>
    <row r="72" ht="30" customHeight="1">
      <c r="A72" s="20" t="n">
        <v>2</v>
      </c>
      <c r="B72" s="21" t="inlineStr">
        <is>
          <t>ARAGUAÍNA I</t>
        </is>
      </c>
      <c r="C72" s="22" t="n">
        <v>43</v>
      </c>
      <c r="D72" s="18" t="inlineStr">
        <is>
          <t>TO-164</t>
        </is>
      </c>
      <c r="E72" s="21" t="inlineStr">
        <is>
          <t>RODOVIA TO-164 - TRECHO ARAGOMINAS - MURICILÂNDIA</t>
        </is>
      </c>
      <c r="F72" s="18" t="inlineStr">
        <is>
          <t>164ETO0155</t>
        </is>
      </c>
      <c r="G72" s="21" t="inlineStr">
        <is>
          <t>FIM PU ARAGOMINAS - ENTR. TO-222(B)(INÍCIO DUPLICAÇÃO PU MURICILÂNDIA)</t>
        </is>
      </c>
      <c r="H72" s="18" t="inlineStr">
        <is>
          <t>PSU</t>
        </is>
      </c>
      <c r="I72" s="18" t="inlineStr">
        <is>
          <t>-48.52462, -7.16273</t>
        </is>
      </c>
      <c r="J72" s="18" t="inlineStr">
        <is>
          <t>-48.6032667045, -7.1374985298</t>
        </is>
      </c>
      <c r="K72" s="19" t="n">
        <v>18.73986079</v>
      </c>
    </row>
    <row r="73" ht="30" customHeight="1">
      <c r="A73" s="20" t="n">
        <v>2</v>
      </c>
      <c r="B73" s="21" t="inlineStr">
        <is>
          <t>ARAGUAÍNA I</t>
        </is>
      </c>
      <c r="C73" s="22" t="n">
        <v>47</v>
      </c>
      <c r="D73" s="18" t="inlineStr">
        <is>
          <t>TO-164</t>
        </is>
      </c>
      <c r="E73" s="21" t="inlineStr">
        <is>
          <t>RODOVIA TO-164 - TRECHO MURICILÂNDIA - ENTR. TO-226</t>
        </is>
      </c>
      <c r="F73" s="18" t="inlineStr">
        <is>
          <t>164ETO0160</t>
        </is>
      </c>
      <c r="G73" s="21" t="inlineStr">
        <is>
          <t>FIM PU MURICILÂNDIA - COCALÂNDIA</t>
        </is>
      </c>
      <c r="H73" s="18" t="inlineStr">
        <is>
          <t>LEN</t>
        </is>
      </c>
      <c r="I73" s="18" t="inlineStr">
        <is>
          <t>-48.609922, -7.154833</t>
        </is>
      </c>
      <c r="J73" s="18" t="inlineStr">
        <is>
          <t>-48.6223379299, -7.22384474916</t>
        </is>
      </c>
      <c r="K73" s="19" t="n">
        <v>9.291764552</v>
      </c>
    </row>
    <row r="74" ht="45" customHeight="1">
      <c r="A74" s="20" t="n">
        <v>2</v>
      </c>
      <c r="B74" s="21" t="inlineStr">
        <is>
          <t>ARAGUAÍNA I</t>
        </is>
      </c>
      <c r="C74" s="22" t="n">
        <v>53</v>
      </c>
      <c r="D74" s="18" t="inlineStr">
        <is>
          <t>TO-164</t>
        </is>
      </c>
      <c r="E74" s="21" t="inlineStr">
        <is>
          <t>RODOVIA TO-226 - TRECHO ENTR. BR-153 (POVOADO RIO PRETO) - DIVISA TO-PA (POVOADO GARIMPINHO)</t>
        </is>
      </c>
      <c r="F74" s="18" t="inlineStr">
        <is>
          <t>164ETO0175</t>
        </is>
      </c>
      <c r="G74" s="21" t="inlineStr">
        <is>
          <t>ENTR. TO-226(A) - ENTR. TO-226(B)</t>
        </is>
      </c>
      <c r="H74" s="18" t="inlineStr">
        <is>
          <t>PPS</t>
        </is>
      </c>
      <c r="I74" s="18" t="inlineStr">
        <is>
          <t>-48.692556, -7.463115</t>
        </is>
      </c>
      <c r="J74" s="18" t="inlineStr">
        <is>
          <t>-48.7346840089, -7.43337239719</t>
        </is>
      </c>
      <c r="K74" s="19" t="n">
        <v>5.779086042</v>
      </c>
    </row>
    <row r="75" ht="30" customHeight="1">
      <c r="A75" s="20" t="n">
        <v>2</v>
      </c>
      <c r="B75" s="21" t="inlineStr">
        <is>
          <t>ARAGUAÍNA I</t>
        </is>
      </c>
      <c r="C75" s="22" t="n">
        <v>49</v>
      </c>
      <c r="D75" s="18" t="inlineStr">
        <is>
          <t>TO-166</t>
        </is>
      </c>
      <c r="E75" s="21" t="inlineStr">
        <is>
          <t>RODOVIA TO-166 - TRECHO ENTR. TO-222 - ENTR. TO-226 - ARAPOEMA</t>
        </is>
      </c>
      <c r="F75" s="18" t="inlineStr">
        <is>
          <t>166ETO0100</t>
        </is>
      </c>
      <c r="G75" s="21" t="inlineStr">
        <is>
          <t>ENTR. TO-222 - ENTR. TO-226 (A)</t>
        </is>
      </c>
      <c r="H75" s="18" t="inlineStr">
        <is>
          <t>LEN</t>
        </is>
      </c>
      <c r="I75" s="18" t="inlineStr">
        <is>
          <t>-48.963547, -7.008066</t>
        </is>
      </c>
      <c r="J75" s="18" t="inlineStr">
        <is>
          <t>-49.055589, -7.378601</t>
        </is>
      </c>
      <c r="K75" s="19" t="n">
        <v>57.18708304</v>
      </c>
    </row>
    <row r="76" ht="30" customHeight="1">
      <c r="A76" s="20" t="n">
        <v>2</v>
      </c>
      <c r="B76" s="21" t="inlineStr">
        <is>
          <t>ARAGUAÍNA I</t>
        </is>
      </c>
      <c r="C76" s="22" t="n">
        <v>52</v>
      </c>
      <c r="D76" s="18" t="inlineStr">
        <is>
          <t>TO-222</t>
        </is>
      </c>
      <c r="E76" s="21" t="inlineStr">
        <is>
          <t>RODOVIA TO-222 - TRECHO SANTA FÉ DO ARAGUAIA - DIVISA TO-PA (POVOADO PORTO LEMOS)</t>
        </is>
      </c>
      <c r="F76" s="18" t="inlineStr">
        <is>
          <t>222ETO0200</t>
        </is>
      </c>
      <c r="G76" s="21" t="inlineStr">
        <is>
          <t>ENTR. TO-416 - ENTR. TO-166</t>
        </is>
      </c>
      <c r="H76" s="18" t="inlineStr">
        <is>
          <t>PPS</t>
        </is>
      </c>
      <c r="I76" s="18" t="inlineStr">
        <is>
          <t>-48.716648, -7.131391</t>
        </is>
      </c>
      <c r="J76" s="18" t="inlineStr">
        <is>
          <t>-48.963547, -7.008066</t>
        </is>
      </c>
      <c r="K76" s="19" t="n">
        <v>30.96352967</v>
      </c>
    </row>
    <row r="77" ht="30" customHeight="1">
      <c r="A77" s="20" t="n">
        <v>2</v>
      </c>
      <c r="B77" s="21" t="inlineStr">
        <is>
          <t>ARAGUAÍNA I</t>
        </is>
      </c>
      <c r="C77" s="22" t="n">
        <v>51</v>
      </c>
      <c r="D77" s="18" t="inlineStr">
        <is>
          <t>TO-222</t>
        </is>
      </c>
      <c r="E77" s="21" t="inlineStr">
        <is>
          <t>RODOVIA TO-222 - TRECHO MURICILÂNDIA - SANTA FÉ DO ARAGUAIA</t>
        </is>
      </c>
      <c r="F77" s="18" t="inlineStr">
        <is>
          <t>222ETO0182</t>
        </is>
      </c>
      <c r="G77" s="21" t="inlineStr">
        <is>
          <t>INÍCIO PU SANTA FÉ DO ARAGUAIA - ENTR. TO-165(PU SANTA FÉ DO ARAGUAIA)</t>
        </is>
      </c>
      <c r="H77" s="18" t="inlineStr">
        <is>
          <t>PSU</t>
        </is>
      </c>
      <c r="I77" s="18" t="inlineStr">
        <is>
          <t>-48.6955122945, -7.15360732196</t>
        </is>
      </c>
      <c r="J77" s="18" t="inlineStr">
        <is>
          <t>-48.681664, -7.147943</t>
        </is>
      </c>
      <c r="K77" s="19" t="n">
        <v>1.72846748</v>
      </c>
    </row>
    <row r="78" ht="30" customHeight="1">
      <c r="A78" s="20" t="n">
        <v>2</v>
      </c>
      <c r="B78" s="21" t="inlineStr">
        <is>
          <t>ARAGUAÍNA I</t>
        </is>
      </c>
      <c r="C78" s="22" t="n">
        <v>48</v>
      </c>
      <c r="D78" s="18" t="inlineStr">
        <is>
          <t>TO-165</t>
        </is>
      </c>
      <c r="E78" s="21" t="inlineStr">
        <is>
          <t>RODOVIA TO-165 - TRECHO SANTA FÉ DO ARAGUAIA - ENTR. TO-226 - ARAPOEMA</t>
        </is>
      </c>
      <c r="F78" s="18" t="inlineStr">
        <is>
          <t>165ETO0092</t>
        </is>
      </c>
      <c r="G78" s="21" t="inlineStr">
        <is>
          <t>ENTR. TO-222(PU SANTA FÉ DO ARAGUAIA) - FIM PU SANTA FÉ DO ARAGUAIA</t>
        </is>
      </c>
      <c r="H78" s="18" t="inlineStr">
        <is>
          <t>PSU</t>
        </is>
      </c>
      <c r="I78" s="18" t="inlineStr">
        <is>
          <t>-48.6955122945, -7.15360732196</t>
        </is>
      </c>
      <c r="J78" s="18" t="inlineStr">
        <is>
          <t>-48.6971308547, -7.15444463677</t>
        </is>
      </c>
      <c r="K78" s="19" t="n">
        <v>0.201772773</v>
      </c>
    </row>
    <row r="79" ht="30" customHeight="1">
      <c r="A79" s="20" t="n">
        <v>2</v>
      </c>
      <c r="B79" s="21" t="inlineStr">
        <is>
          <t>ARAGUAÍNA I</t>
        </is>
      </c>
      <c r="C79" s="22" t="n">
        <v>63</v>
      </c>
      <c r="D79" s="18" t="inlineStr">
        <is>
          <t>TO-427</t>
        </is>
      </c>
      <c r="E79" s="21" t="inlineStr">
        <is>
          <t>RODOVIA TO-427 - TRECHO PAU D'ARCO (DIVISA TO-PA) - ENTR. TO-226</t>
        </is>
      </c>
      <c r="F79" s="18" t="inlineStr">
        <is>
          <t>427ETO0010</t>
        </is>
      </c>
      <c r="G79" s="21" t="inlineStr">
        <is>
          <t>ENTR. TO-226 - INÍCIO PAVIMENTAÇÃO(PU PAU DARCO)</t>
        </is>
      </c>
      <c r="H79" s="18" t="inlineStr">
        <is>
          <t>PPS</t>
        </is>
      </c>
      <c r="I79" s="18" t="inlineStr">
        <is>
          <t>-49.363115, -7.535717</t>
        </is>
      </c>
      <c r="J79" s="18" t="inlineStr">
        <is>
          <t>-49.172884, -7.370215</t>
        </is>
      </c>
      <c r="K79" s="19" t="n">
        <v>28.88745391</v>
      </c>
    </row>
    <row r="80" ht="30" customHeight="1">
      <c r="A80" s="20" t="n">
        <v>2</v>
      </c>
      <c r="B80" s="21" t="inlineStr">
        <is>
          <t>ARAGUAÍNA I</t>
        </is>
      </c>
      <c r="C80" s="22" t="n">
        <v>63</v>
      </c>
      <c r="D80" s="18" t="inlineStr">
        <is>
          <t>TO-427</t>
        </is>
      </c>
      <c r="E80" s="21" t="inlineStr">
        <is>
          <t>RODOVIA TO-427 - TRECHO PAU D'ARCO (DIVISA TO-PA) - ENTR. TO-226</t>
        </is>
      </c>
      <c r="F80" s="18" t="inlineStr">
        <is>
          <t>427ETO0012</t>
        </is>
      </c>
      <c r="G80" s="21" t="inlineStr">
        <is>
          <t>INÍCIO PAVIMENTAÇÃO(PU PAU DARCO) - ENTR. TO-230(PU PAU DARCO)</t>
        </is>
      </c>
      <c r="H80" s="18" t="inlineStr">
        <is>
          <t>PSU</t>
        </is>
      </c>
      <c r="I80" s="18" t="inlineStr">
        <is>
          <t>-49.363115, -7.535717</t>
        </is>
      </c>
      <c r="J80" s="18" t="inlineStr">
        <is>
          <t>-49.3657673144, -7.53959305012</t>
        </is>
      </c>
      <c r="K80" s="19" t="n">
        <v>0.519076725</v>
      </c>
    </row>
    <row r="81" ht="30" customHeight="1">
      <c r="A81" s="20" t="n">
        <v>2</v>
      </c>
      <c r="B81" s="21" t="inlineStr">
        <is>
          <t>ARAGUAÍNA I</t>
        </is>
      </c>
      <c r="C81" s="22" t="n">
        <v>54</v>
      </c>
      <c r="D81" s="18" t="inlineStr">
        <is>
          <t>TO-230</t>
        </is>
      </c>
      <c r="E81" s="21" t="inlineStr">
        <is>
          <t>RODOVIA TO-230 - TRECHO ARAPOEMA - PAU D'ARCO (DIVISA TO-PA)</t>
        </is>
      </c>
      <c r="F81" s="18" t="inlineStr">
        <is>
          <t>230ETO0212D</t>
        </is>
      </c>
      <c r="G81" s="21" t="inlineStr">
        <is>
          <t>INÍCIO DUPLICAÇÃO(PU PAU DARCO) - ENTR. TO-427(PU PAU DARCO)</t>
        </is>
      </c>
      <c r="H81" s="18" t="inlineStr">
        <is>
          <t>PDU</t>
        </is>
      </c>
      <c r="I81" s="18" t="inlineStr">
        <is>
          <t>-49.3657673144, -7.53959305012</t>
        </is>
      </c>
      <c r="J81" s="18" t="inlineStr">
        <is>
          <t>-49.362759, -7.541827</t>
        </is>
      </c>
      <c r="K81" s="19" t="n">
        <v>0.415931428</v>
      </c>
    </row>
    <row r="82" ht="30" customHeight="1">
      <c r="A82" s="20" t="n">
        <v>2</v>
      </c>
      <c r="B82" s="21" t="inlineStr">
        <is>
          <t>ARAGUAÍNA I</t>
        </is>
      </c>
      <c r="C82" s="22" t="n">
        <v>54</v>
      </c>
      <c r="D82" s="18" t="inlineStr">
        <is>
          <t>TO-230</t>
        </is>
      </c>
      <c r="E82" s="21" t="inlineStr">
        <is>
          <t>RODOVIA TO-230 - TRECHO ARAPOEMA - PAU D'ARCO (DIVISA TO-PA)</t>
        </is>
      </c>
      <c r="F82" s="18" t="inlineStr">
        <is>
          <t>230ETO0212E</t>
        </is>
      </c>
      <c r="G82" s="21" t="inlineStr">
        <is>
          <t>INÍCIO DUPLICAÇÃO(PU PAU DARCO) - ENTR. TO-427(PU PAU DARCO)</t>
        </is>
      </c>
      <c r="H82" s="18" t="inlineStr">
        <is>
          <t>PDU</t>
        </is>
      </c>
      <c r="I82" s="18" t="inlineStr">
        <is>
          <t>-49.362759, -7.541827</t>
        </is>
      </c>
      <c r="J82" s="18" t="inlineStr">
        <is>
          <t>-49.3657673144, -7.53959305012</t>
        </is>
      </c>
      <c r="K82" s="19" t="n">
        <v>0.420371012</v>
      </c>
    </row>
    <row r="83" ht="30" customHeight="1">
      <c r="A83" s="20" t="n">
        <v>2</v>
      </c>
      <c r="B83" s="21" t="inlineStr">
        <is>
          <t>ARAGUAÍNA I</t>
        </is>
      </c>
      <c r="C83" s="22" t="n">
        <v>54</v>
      </c>
      <c r="D83" s="18" t="inlineStr">
        <is>
          <t>TO-230</t>
        </is>
      </c>
      <c r="E83" s="21" t="inlineStr">
        <is>
          <t>RODOVIA TO-230 - TRECHO ARAPOEMA - PAU D'ARCO (DIVISA TO-PA)</t>
        </is>
      </c>
      <c r="F83" s="18" t="inlineStr">
        <is>
          <t>230ETO0196D</t>
        </is>
      </c>
      <c r="G83" s="21" t="inlineStr">
        <is>
          <t>ENTR. TO-166(PU ARAPOEMA) - FIM PU ARAPOEMA</t>
        </is>
      </c>
      <c r="H83" s="18" t="inlineStr">
        <is>
          <t>DUP</t>
        </is>
      </c>
      <c r="I83" s="18" t="inlineStr">
        <is>
          <t>-49.0688549776, -7.65653477046</t>
        </is>
      </c>
      <c r="J83" s="18" t="inlineStr">
        <is>
          <t>-49.0731249315, -7.65677006315</t>
        </is>
      </c>
      <c r="K83" s="19" t="n">
        <v>0.48973466</v>
      </c>
    </row>
    <row r="84" ht="30" customHeight="1">
      <c r="A84" s="20" t="n">
        <v>2</v>
      </c>
      <c r="B84" s="21" t="inlineStr">
        <is>
          <t>ARAGUAÍNA I</t>
        </is>
      </c>
      <c r="C84" s="22" t="n">
        <v>54</v>
      </c>
      <c r="D84" s="18" t="inlineStr">
        <is>
          <t>TO-230</t>
        </is>
      </c>
      <c r="E84" s="21" t="inlineStr">
        <is>
          <t>RODOVIA TO-230 - TRECHO ARAPOEMA - PAU D'ARCO (DIVISA TO-PA)</t>
        </is>
      </c>
      <c r="F84" s="18" t="inlineStr">
        <is>
          <t>230ETO0196E</t>
        </is>
      </c>
      <c r="G84" s="21" t="inlineStr">
        <is>
          <t>ENTR. TO-166(PU ARAPOEMA) - FIM PU ARAPOEMA</t>
        </is>
      </c>
      <c r="H84" s="18" t="inlineStr">
        <is>
          <t>DUP</t>
        </is>
      </c>
      <c r="I84" s="18" t="inlineStr">
        <is>
          <t>-49.0730758434, -7.65687965099</t>
        </is>
      </c>
      <c r="J84" s="18" t="inlineStr">
        <is>
          <t>-49.0688646448, -7.656642703</t>
        </is>
      </c>
      <c r="K84" s="19" t="n">
        <v>0.482026554</v>
      </c>
    </row>
    <row r="85" ht="30" customHeight="1">
      <c r="A85" s="20" t="n">
        <v>2</v>
      </c>
      <c r="B85" s="21" t="inlineStr">
        <is>
          <t>ARAGUAÍNA I</t>
        </is>
      </c>
      <c r="C85" s="22" t="n">
        <v>55</v>
      </c>
      <c r="D85" s="18" t="inlineStr">
        <is>
          <t>TO-230</t>
        </is>
      </c>
      <c r="E85" s="21" t="inlineStr">
        <is>
          <t>RODOVIA TO-230 - TRECHO BANDEIRANTES DO TOCANTINS - ARAPOEMA</t>
        </is>
      </c>
      <c r="F85" s="18" t="inlineStr">
        <is>
          <t>230ETO0193D</t>
        </is>
      </c>
      <c r="G85" s="21" t="inlineStr">
        <is>
          <t>ENTR. TO-165(PU ARAPOEMA) - ENTR. TO-166(PU ARAPOEMA)</t>
        </is>
      </c>
      <c r="H85" s="18" t="inlineStr">
        <is>
          <t>PDU</t>
        </is>
      </c>
      <c r="I85" s="18" t="inlineStr">
        <is>
          <t>-49.0624899988, -7.65844927652</t>
        </is>
      </c>
      <c r="J85" s="18" t="inlineStr">
        <is>
          <t>-49.0688549776, -7.65653477046</t>
        </is>
      </c>
      <c r="K85" s="19" t="n">
        <v>0.733680379</v>
      </c>
    </row>
    <row r="86" ht="30" customHeight="1">
      <c r="A86" s="20" t="n">
        <v>2</v>
      </c>
      <c r="B86" s="21" t="inlineStr">
        <is>
          <t>ARAGUAÍNA I</t>
        </is>
      </c>
      <c r="C86" s="22" t="n">
        <v>55</v>
      </c>
      <c r="D86" s="18" t="inlineStr">
        <is>
          <t>TO-230</t>
        </is>
      </c>
      <c r="E86" s="21" t="inlineStr">
        <is>
          <t>RODOVIA TO-230 - TRECHO BANDEIRANTES DO TOCANTINS - ARAPOEMA</t>
        </is>
      </c>
      <c r="F86" s="18" t="inlineStr">
        <is>
          <t>230ETO0193E</t>
        </is>
      </c>
      <c r="G86" s="21" t="inlineStr">
        <is>
          <t>ENTR. TO-165(PU ARAPOEMA) - ENTR. TO-166(PU ARAPOEMA)</t>
        </is>
      </c>
      <c r="H86" s="18" t="inlineStr">
        <is>
          <t>PDU</t>
        </is>
      </c>
      <c r="I86" s="18" t="inlineStr">
        <is>
          <t>-49.0688646448, -7.656642703</t>
        </is>
      </c>
      <c r="J86" s="18" t="inlineStr">
        <is>
          <t>-49.0625023543, -7.65853968408</t>
        </is>
      </c>
      <c r="K86" s="19" t="n">
        <v>0.732774289</v>
      </c>
    </row>
    <row r="87" ht="30" customHeight="1">
      <c r="A87" s="20" t="n">
        <v>2</v>
      </c>
      <c r="B87" s="21" t="inlineStr">
        <is>
          <t>ARAGUAÍNA I</t>
        </is>
      </c>
      <c r="C87" s="22" t="n">
        <v>55</v>
      </c>
      <c r="D87" s="18" t="inlineStr">
        <is>
          <t>TO-230</t>
        </is>
      </c>
      <c r="E87" s="21" t="inlineStr">
        <is>
          <t>RODOVIA TO-230 - TRECHO BANDEIRANTES DO TOCANTINS - ARAPOEMA</t>
        </is>
      </c>
      <c r="F87" s="18" t="inlineStr">
        <is>
          <t>230ETO0192D</t>
        </is>
      </c>
      <c r="G87" s="21" t="inlineStr">
        <is>
          <t>INÍCIO DUPLICAÇÃO(PU ARAPOEMA) - ENTR. TO-165(PU ARAPOEMA)</t>
        </is>
      </c>
      <c r="H87" s="18" t="inlineStr">
        <is>
          <t>PDU</t>
        </is>
      </c>
      <c r="I87" s="18" t="inlineStr">
        <is>
          <t>-49.058619, -7.658211</t>
        </is>
      </c>
      <c r="J87" s="18" t="inlineStr">
        <is>
          <t>-49.0624899988, -7.65844927652</t>
        </is>
      </c>
      <c r="K87" s="19" t="n">
        <v>0.448222138</v>
      </c>
    </row>
    <row r="88" ht="30" customHeight="1">
      <c r="A88" s="20" t="n">
        <v>2</v>
      </c>
      <c r="B88" s="21" t="inlineStr">
        <is>
          <t>ARAGUAÍNA I</t>
        </is>
      </c>
      <c r="C88" s="22" t="n">
        <v>55</v>
      </c>
      <c r="D88" s="18" t="inlineStr">
        <is>
          <t>TO-230</t>
        </is>
      </c>
      <c r="E88" s="21" t="inlineStr">
        <is>
          <t>RODOVIA TO-230 - TRECHO BANDEIRANTES DO TOCANTINS - ARAPOEMA</t>
        </is>
      </c>
      <c r="F88" s="18" t="inlineStr">
        <is>
          <t>230ETO0192E</t>
        </is>
      </c>
      <c r="G88" s="21" t="inlineStr">
        <is>
          <t>INÍCIO DUPLICAÇÃO(PU ARAPOEMA) - ENTR. TO-165(PU ARAPOEMA)</t>
        </is>
      </c>
      <c r="H88" s="18" t="inlineStr">
        <is>
          <t>PDU</t>
        </is>
      </c>
      <c r="I88" s="18" t="inlineStr">
        <is>
          <t>-49.0625023543, -7.65853968408</t>
        </is>
      </c>
      <c r="J88" s="18" t="inlineStr">
        <is>
          <t>-49.058619, -7.658211</t>
        </is>
      </c>
      <c r="K88" s="19" t="n">
        <v>0.447419362</v>
      </c>
    </row>
    <row r="89" ht="30" customHeight="1">
      <c r="A89" s="20" t="n">
        <v>2</v>
      </c>
      <c r="B89" s="21" t="inlineStr">
        <is>
          <t>ARAGUAÍNA I</t>
        </is>
      </c>
      <c r="C89" s="22" t="n">
        <v>46</v>
      </c>
      <c r="D89" s="18" t="inlineStr">
        <is>
          <t>TO-164</t>
        </is>
      </c>
      <c r="E89" s="21" t="inlineStr">
        <is>
          <t>RODOVIA TO-164 - TRECHO ENTR. TO-226 - POVOADO DEZENOVE - BERNARDO SAYÃO</t>
        </is>
      </c>
      <c r="F89" s="18" t="inlineStr">
        <is>
          <t>164ETO0210</t>
        </is>
      </c>
      <c r="G89" s="21" t="inlineStr">
        <is>
          <t>FIM PU DEZENOVE - ENTR. TO-430(A)</t>
        </is>
      </c>
      <c r="H89" s="18" t="inlineStr">
        <is>
          <t>PPS</t>
        </is>
      </c>
      <c r="I89" s="18" t="inlineStr">
        <is>
          <t>-48.800932, -7.641218</t>
        </is>
      </c>
      <c r="J89" s="18" t="inlineStr">
        <is>
          <t>-48.945331, -7.762409</t>
        </is>
      </c>
      <c r="K89" s="19" t="n">
        <v>24.68678129</v>
      </c>
    </row>
    <row r="90" ht="30" customHeight="1">
      <c r="A90" s="20" t="n">
        <v>2</v>
      </c>
      <c r="B90" s="21" t="inlineStr">
        <is>
          <t>ARAGUAÍNA I</t>
        </is>
      </c>
      <c r="C90" s="22" t="n">
        <v>46</v>
      </c>
      <c r="D90" s="18" t="inlineStr">
        <is>
          <t>TO-164</t>
        </is>
      </c>
      <c r="E90" s="21" t="inlineStr">
        <is>
          <t>RODOVIA TO-164 - TRECHO ENTR. TO-226 - POVOADO DEZENOVE - BERNARDO SAYÃO</t>
        </is>
      </c>
      <c r="F90" s="18" t="inlineStr">
        <is>
          <t>164ETO0202</t>
        </is>
      </c>
      <c r="G90" s="21" t="inlineStr">
        <is>
          <t>INÍCIO PU DEZENOVE - ENTR. TO-230(B)(PU DEZENOVE)</t>
        </is>
      </c>
      <c r="H90" s="18" t="inlineStr">
        <is>
          <t>PSU</t>
        </is>
      </c>
      <c r="I90" s="18" t="inlineStr">
        <is>
          <t>-48.7962295118, -7.64085682353</t>
        </is>
      </c>
      <c r="J90" s="18" t="inlineStr">
        <is>
          <t>-48.800932, -7.641218</t>
        </is>
      </c>
      <c r="K90" s="19" t="n">
        <v>0.520568096</v>
      </c>
    </row>
    <row r="91" ht="30" customHeight="1">
      <c r="A91" s="20" t="n">
        <v>2</v>
      </c>
      <c r="B91" s="21" t="inlineStr">
        <is>
          <t>ARAGUAÍNA I</t>
        </is>
      </c>
      <c r="C91" s="22" t="n">
        <v>46</v>
      </c>
      <c r="D91" s="18" t="inlineStr">
        <is>
          <t>TO-164</t>
        </is>
      </c>
      <c r="E91" s="21" t="inlineStr">
        <is>
          <t>RODOVIA TO-164 - TRECHO ENTR. TO-226 - POVOADO DEZENOVE - BERNARDO SAYÃO</t>
        </is>
      </c>
      <c r="F91" s="18" t="inlineStr">
        <is>
          <t>164ETO0203</t>
        </is>
      </c>
      <c r="G91" s="21" t="inlineStr">
        <is>
          <t>ENTR. TO-230(B)(PU DEZENOVE) - FIM PU DEZENOVE</t>
        </is>
      </c>
      <c r="H91" s="18" t="inlineStr">
        <is>
          <t>PSU</t>
        </is>
      </c>
      <c r="I91" s="18" t="inlineStr">
        <is>
          <t>-48.802415, -7.641302</t>
        </is>
      </c>
      <c r="J91" s="18" t="inlineStr">
        <is>
          <t>-48.800932, -7.641218</t>
        </is>
      </c>
      <c r="K91" s="19" t="n">
        <v>0.163996744</v>
      </c>
    </row>
    <row r="92" ht="30" customHeight="1">
      <c r="A92" s="20" t="n">
        <v>2</v>
      </c>
      <c r="B92" s="21" t="inlineStr">
        <is>
          <t>ARAGUAÍNA I</t>
        </is>
      </c>
      <c r="C92" s="22" t="n">
        <v>49</v>
      </c>
      <c r="D92" s="18" t="inlineStr">
        <is>
          <t>TO-166</t>
        </is>
      </c>
      <c r="E92" s="21" t="inlineStr">
        <is>
          <t>RODOVIA TO-166 - TRECHO ENTR. TO-222 - ENTR. TO-226 - ARAPOEMA</t>
        </is>
      </c>
      <c r="F92" s="18" t="inlineStr">
        <is>
          <t>166ETO0120</t>
        </is>
      </c>
      <c r="G92" s="21" t="inlineStr">
        <is>
          <t>ENTR. TO-226(B) - INÍCIO PAVIMENTAÇÃO(PU ARAPOEMA)</t>
        </is>
      </c>
      <c r="H92" s="18" t="inlineStr">
        <is>
          <t>LEN</t>
        </is>
      </c>
      <c r="I92" s="18" t="inlineStr">
        <is>
          <t>-49.0695292545, -7.64941772163</t>
        </is>
      </c>
      <c r="J92" s="18" t="inlineStr">
        <is>
          <t>-49.070044, -7.379367</t>
        </is>
      </c>
      <c r="K92" s="19" t="n">
        <v>33.97259684</v>
      </c>
    </row>
    <row r="93" ht="30" customHeight="1">
      <c r="A93" s="20" t="n">
        <v>2</v>
      </c>
      <c r="B93" s="21" t="inlineStr">
        <is>
          <t>ARAGUAÍNA I</t>
        </is>
      </c>
      <c r="C93" s="22" t="n">
        <v>48</v>
      </c>
      <c r="D93" s="18" t="inlineStr">
        <is>
          <t>TO-165</t>
        </is>
      </c>
      <c r="E93" s="21" t="inlineStr">
        <is>
          <t>RODOVIA TO-165 - TRECHO SANTA FÉ DO ARAGUAIA - ENTR. TO-226 - ARAPOEMA</t>
        </is>
      </c>
      <c r="F93" s="18" t="inlineStr">
        <is>
          <t>165ETO0122</t>
        </is>
      </c>
      <c r="G93" s="21" t="inlineStr">
        <is>
          <t>INÍCIO PAVIMENTAÇÃO(PU ARAPOEMA) - ENTR. TO-230(PU ARAPOEMA)</t>
        </is>
      </c>
      <c r="H93" s="18" t="inlineStr">
        <is>
          <t>PSU</t>
        </is>
      </c>
      <c r="I93" s="18" t="inlineStr">
        <is>
          <t>-49.0624899988, -7.65844927637</t>
        </is>
      </c>
      <c r="J93" s="18" t="inlineStr">
        <is>
          <t>-49.060032, -7.649948</t>
        </is>
      </c>
      <c r="K93" s="19" t="n">
        <v>0.982357238</v>
      </c>
    </row>
    <row r="94" ht="30" customHeight="1">
      <c r="A94" s="20" t="n">
        <v>2</v>
      </c>
      <c r="B94" s="21" t="inlineStr">
        <is>
          <t>ARAGUAÍNA I</t>
        </is>
      </c>
      <c r="C94" s="22" t="n">
        <v>46</v>
      </c>
      <c r="D94" s="18" t="inlineStr">
        <is>
          <t>TO-164</t>
        </is>
      </c>
      <c r="E94" s="21" t="inlineStr">
        <is>
          <t>RODOVIA TO-164 - TRECHO ENTR. TO-226 - POVOADO DEZENOVE - BERNARDO SAYÃO</t>
        </is>
      </c>
      <c r="F94" s="18" t="inlineStr">
        <is>
          <t>164ETO0230</t>
        </is>
      </c>
      <c r="G94" s="21" t="inlineStr">
        <is>
          <t>ENTR. TO-430(A) - ZÉ PRETO</t>
        </is>
      </c>
      <c r="H94" s="18" t="inlineStr">
        <is>
          <t>PPS</t>
        </is>
      </c>
      <c r="I94" s="18" t="inlineStr">
        <is>
          <t>-48.945331, -7.762409</t>
        </is>
      </c>
      <c r="J94" s="18" t="inlineStr">
        <is>
          <t>-48.930379, -7.802694</t>
        </is>
      </c>
      <c r="K94" s="19" t="n">
        <v>5.058502121</v>
      </c>
    </row>
    <row r="95" ht="30" customHeight="1">
      <c r="A95" s="20" t="n">
        <v>2</v>
      </c>
      <c r="B95" s="21" t="inlineStr">
        <is>
          <t>ARAGUAÍNA I</t>
        </is>
      </c>
      <c r="C95" s="22" t="n">
        <v>56</v>
      </c>
      <c r="D95" s="18" t="inlineStr">
        <is>
          <t>TO-230</t>
        </is>
      </c>
      <c r="E95" s="21" t="inlineStr">
        <is>
          <t>RODOVIA TO-230 - TRECHO ENTR. BR-153 - BANDEIRANTES DO TOCANTINS</t>
        </is>
      </c>
      <c r="F95" s="18" t="inlineStr">
        <is>
          <t>230ETO0103</t>
        </is>
      </c>
      <c r="G95" s="21" t="inlineStr">
        <is>
          <t>FIM DUPLICAÇÃO(PU BANDEIRANTES DO TOCANTINS) - FIM PU BANDEIRANTES DO TOCANTINS</t>
        </is>
      </c>
      <c r="H95" s="18" t="inlineStr">
        <is>
          <t>PSU</t>
        </is>
      </c>
      <c r="I95" s="18" t="inlineStr">
        <is>
          <t>-48.580571, -7.760307</t>
        </is>
      </c>
      <c r="J95" s="18" t="inlineStr">
        <is>
          <t>-48.5788728721, -7.76134467535</t>
        </is>
      </c>
      <c r="K95" s="19" t="n">
        <v>0.219780474</v>
      </c>
    </row>
    <row r="96" ht="30" customHeight="1">
      <c r="A96" s="20" t="n">
        <v>2</v>
      </c>
      <c r="B96" s="21" t="inlineStr">
        <is>
          <t>ARAGUAÍNA I</t>
        </is>
      </c>
      <c r="C96" s="22" t="n">
        <v>56</v>
      </c>
      <c r="D96" s="18" t="inlineStr">
        <is>
          <t>TO-230</t>
        </is>
      </c>
      <c r="E96" s="21" t="inlineStr">
        <is>
          <t>RODOVIA TO-230 - TRECHO ENTR. BR-153 - BANDEIRANTES DO TOCANTINS</t>
        </is>
      </c>
      <c r="F96" s="18" t="inlineStr">
        <is>
          <t>230ETO0102D</t>
        </is>
      </c>
      <c r="G96" s="21" t="inlineStr">
        <is>
          <t>INÍCIO DUPLICAÇÃO(PU BANDEIRANTES DO TOCANTINS - FIM DUPLICAÇÃO(PU BANDEIRANTES DO TOCANTINS)</t>
        </is>
      </c>
      <c r="H96" s="18" t="inlineStr">
        <is>
          <t>PDU</t>
        </is>
      </c>
      <c r="I96" s="18" t="inlineStr">
        <is>
          <t>-48.5788728721, -7.76134467535</t>
        </is>
      </c>
      <c r="J96" s="18" t="inlineStr">
        <is>
          <t>-48.575176, -7.763367</t>
        </is>
      </c>
      <c r="K96" s="19" t="n">
        <v>0.466383657</v>
      </c>
    </row>
    <row r="97" ht="30" customHeight="1">
      <c r="A97" s="20" t="n">
        <v>2</v>
      </c>
      <c r="B97" s="21" t="inlineStr">
        <is>
          <t>ARAGUAÍNA I</t>
        </is>
      </c>
      <c r="C97" s="22" t="n">
        <v>56</v>
      </c>
      <c r="D97" s="18" t="inlineStr">
        <is>
          <t>TO-230</t>
        </is>
      </c>
      <c r="E97" s="21" t="inlineStr">
        <is>
          <t>RODOVIA TO-230 - TRECHO ENTR. BR-153 - BANDEIRANTES DO TOCANTINS</t>
        </is>
      </c>
      <c r="F97" s="18" t="inlineStr">
        <is>
          <t>230ETO0102E</t>
        </is>
      </c>
      <c r="G97" s="21" t="inlineStr">
        <is>
          <t>INÍCIO DUPLICAÇÃO(PU BANDEIRANTES DO TOCANTINS - FIM DUPLICAÇÃO(PU BANDEIRANTES DO TOCANTINS)</t>
        </is>
      </c>
      <c r="H97" s="18" t="inlineStr">
        <is>
          <t>PDU</t>
        </is>
      </c>
      <c r="I97" s="18" t="inlineStr">
        <is>
          <t>-48.575176, -7.763367</t>
        </is>
      </c>
      <c r="J97" s="18" t="inlineStr">
        <is>
          <t>-48.5788728721, -7.76134467535</t>
        </is>
      </c>
      <c r="K97" s="19" t="n">
        <v>0.469726145</v>
      </c>
    </row>
    <row r="98" ht="30" customHeight="1">
      <c r="A98" s="20" t="n">
        <v>2</v>
      </c>
      <c r="B98" s="21" t="inlineStr">
        <is>
          <t>ARAGUAÍNA I</t>
        </is>
      </c>
      <c r="C98" s="22" t="n">
        <v>60</v>
      </c>
      <c r="D98" s="18" t="inlineStr">
        <is>
          <t>TO-419</t>
        </is>
      </c>
      <c r="E98" s="21" t="inlineStr">
        <is>
          <t>RODOVIA TO-419 - TRECHO POVOADO BARRA DA GROTA - ENTR. TO-222</t>
        </is>
      </c>
      <c r="F98" s="18" t="inlineStr">
        <is>
          <t>419ETO0010</t>
        </is>
      </c>
      <c r="G98" s="21" t="inlineStr">
        <is>
          <t>ENTR. TO-222 (BARRA DA GROTA) - ENTR. TO-222 (BRITADOR)</t>
        </is>
      </c>
      <c r="H98" s="18" t="inlineStr">
        <is>
          <t>LEN</t>
        </is>
      </c>
      <c r="I98" s="18" t="inlineStr">
        <is>
          <t>-48.3021573484, -7.20877115408</t>
        </is>
      </c>
      <c r="J98" s="18" t="inlineStr">
        <is>
          <t>-48.445550946, -7.19590489069</t>
        </is>
      </c>
      <c r="K98" s="19" t="n">
        <v>29.0011836</v>
      </c>
    </row>
    <row r="99" ht="30" customHeight="1">
      <c r="A99" s="20" t="n">
        <v>2</v>
      </c>
      <c r="B99" s="21" t="inlineStr">
        <is>
          <t>ARAGUAÍNA I</t>
        </is>
      </c>
      <c r="C99" s="22" t="n">
        <v>50</v>
      </c>
      <c r="D99" s="18" t="inlineStr">
        <is>
          <t>TO-222</t>
        </is>
      </c>
      <c r="E99" s="21" t="inlineStr">
        <is>
          <t>RODOVIA TO-222 - TRECHO ARAGUAÍNA - ENTR. TO-164 (NOVO HORIZONTE)</t>
        </is>
      </c>
      <c r="F99" s="18" t="inlineStr">
        <is>
          <t>222ETO0142</t>
        </is>
      </c>
      <c r="G99" s="21" t="inlineStr">
        <is>
          <t>INÍCIO PU NOVO HORIZONTE - ENTR. TO-164(A)(FIM PU NOVO HORIZONTE)</t>
        </is>
      </c>
      <c r="H99" s="18" t="inlineStr">
        <is>
          <t>PPS</t>
        </is>
      </c>
      <c r="I99" s="18" t="inlineStr">
        <is>
          <t>-48.343157, -7.185302</t>
        </is>
      </c>
      <c r="J99" s="18" t="inlineStr">
        <is>
          <t>-48.3365495864, -7.18817764334</t>
        </is>
      </c>
      <c r="K99" s="19" t="n">
        <v>0.796611445</v>
      </c>
    </row>
    <row r="100" ht="30" customHeight="1">
      <c r="A100" s="20" t="n">
        <v>2</v>
      </c>
      <c r="B100" s="21" t="inlineStr">
        <is>
          <t>ARAGUAÍNA I</t>
        </is>
      </c>
      <c r="C100" s="22" t="n">
        <v>61</v>
      </c>
      <c r="D100" s="18" t="inlineStr">
        <is>
          <t>TO-420</t>
        </is>
      </c>
      <c r="E100" s="21" t="inlineStr">
        <is>
          <t>RODOVIA TO-420 - TRECHO ENTR. BR-153 (POVOADO XAMBERLÂNDIA) - PIRAQUÊ - ENTR. BR-153</t>
        </is>
      </c>
      <c r="F100" s="18" t="inlineStr">
        <is>
          <t>420ETO0010</t>
        </is>
      </c>
      <c r="G100" s="21" t="inlineStr">
        <is>
          <t>ENTR. BR-153(A) - INÍCIO DUPLICAÇÃO(PU PIRAQUÊ)</t>
        </is>
      </c>
      <c r="H100" s="18" t="inlineStr">
        <is>
          <t>PPS</t>
        </is>
      </c>
      <c r="I100" s="18" t="inlineStr">
        <is>
          <t>-48.27717107, -6.71096988</t>
        </is>
      </c>
      <c r="J100" s="18" t="inlineStr">
        <is>
          <t>-48.2945062626, -6.76433218492</t>
        </is>
      </c>
      <c r="K100" s="19" t="n">
        <v>6.526871144</v>
      </c>
    </row>
    <row r="101" ht="30" customHeight="1">
      <c r="A101" s="20" t="n">
        <v>2</v>
      </c>
      <c r="B101" s="21" t="inlineStr">
        <is>
          <t>ARAGUAÍNA I</t>
        </is>
      </c>
      <c r="C101" s="22" t="n">
        <v>61</v>
      </c>
      <c r="D101" s="18" t="inlineStr">
        <is>
          <t>TO-420</t>
        </is>
      </c>
      <c r="E101" s="21" t="inlineStr">
        <is>
          <t>RODOVIA TO-420 - TRECHO ENTR. BR-153 (POVOADO XAMBERLÂNDIA) - PIRAQUÊ - ENTR. BR-153</t>
        </is>
      </c>
      <c r="F101" s="18" t="inlineStr">
        <is>
          <t>420ETO0012D</t>
        </is>
      </c>
      <c r="G101" s="21" t="inlineStr">
        <is>
          <t>INÍCIO DUPLICAÇÃO(PU PIRAQUÊ) - FIM DUPLICAÇÃO(PU PIRAQUÊ)</t>
        </is>
      </c>
      <c r="H101" s="18" t="inlineStr">
        <is>
          <t>PDU</t>
        </is>
      </c>
      <c r="I101" s="18" t="inlineStr">
        <is>
          <t>-48.2945062626, -6.76433218492</t>
        </is>
      </c>
      <c r="J101" s="18" t="inlineStr">
        <is>
          <t>-48.292826, -6.772491</t>
        </is>
      </c>
      <c r="K101" s="19" t="n">
        <v>0.970932596</v>
      </c>
    </row>
    <row r="102" ht="30" customHeight="1">
      <c r="A102" s="20" t="n">
        <v>2</v>
      </c>
      <c r="B102" s="21" t="inlineStr">
        <is>
          <t>ARAGUAÍNA I</t>
        </is>
      </c>
      <c r="C102" s="22" t="n">
        <v>61</v>
      </c>
      <c r="D102" s="18" t="inlineStr">
        <is>
          <t>TO-420</t>
        </is>
      </c>
      <c r="E102" s="21" t="inlineStr">
        <is>
          <t>RODOVIA TO-420 - TRECHO ENTR. BR-153 (POVOADO XAMBERLÂNDIA) - PIRAQUÊ - ENTR. BR-153</t>
        </is>
      </c>
      <c r="F102" s="18" t="inlineStr">
        <is>
          <t>420ETO0012E</t>
        </is>
      </c>
      <c r="G102" s="21" t="inlineStr">
        <is>
          <t>INÍCIO DUPLICAÇÃO(PU PIRAQUÊ) - FIM DUPLICAÇÃO(PU PIRAQUÊ)</t>
        </is>
      </c>
      <c r="H102" s="18" t="inlineStr">
        <is>
          <t>PDU</t>
        </is>
      </c>
      <c r="I102" s="18" t="inlineStr">
        <is>
          <t>-48.292826, -6.772491</t>
        </is>
      </c>
      <c r="J102" s="18" t="inlineStr">
        <is>
          <t>-48.2945062626, -6.76433218492</t>
        </is>
      </c>
      <c r="K102" s="19" t="n">
        <v>0.962597085</v>
      </c>
    </row>
    <row r="103" ht="30" customHeight="1">
      <c r="A103" s="20" t="n">
        <v>2</v>
      </c>
      <c r="B103" s="21" t="inlineStr">
        <is>
          <t>ARAGUAÍNA I</t>
        </is>
      </c>
      <c r="C103" s="22" t="n">
        <v>61</v>
      </c>
      <c r="D103" s="18" t="inlineStr">
        <is>
          <t>TO-420</t>
        </is>
      </c>
      <c r="E103" s="21" t="inlineStr">
        <is>
          <t>RODOVIA TO-420 - TRECHO ENTR. BR-153 (POVOADO XAMBERLÂNDIA) - PIRAQUÊ - ENTR. BR-153</t>
        </is>
      </c>
      <c r="F103" s="18" t="inlineStr">
        <is>
          <t>420ETO0030</t>
        </is>
      </c>
      <c r="G103" s="21" t="inlineStr">
        <is>
          <t>FIM DUPLICAÇÃO(PU PIRAQUÊ) - INÍCIO PU XAMBERLÂNDIA</t>
        </is>
      </c>
      <c r="H103" s="18" t="inlineStr">
        <is>
          <t>PPS</t>
        </is>
      </c>
      <c r="I103" s="18" t="inlineStr">
        <is>
          <t>-48.292826, -6.772491</t>
        </is>
      </c>
      <c r="J103" s="18" t="inlineStr">
        <is>
          <t>-48.088964, -6.944229</t>
        </is>
      </c>
      <c r="K103" s="19" t="n">
        <v>31.2721441451</v>
      </c>
    </row>
    <row r="104" ht="30" customHeight="1">
      <c r="A104" s="20" t="n">
        <v>2</v>
      </c>
      <c r="B104" s="21" t="inlineStr">
        <is>
          <t>ARAGUAÍNA I</t>
        </is>
      </c>
      <c r="C104" s="22" t="n">
        <v>61</v>
      </c>
      <c r="D104" s="18" t="inlineStr">
        <is>
          <t>TO-420</t>
        </is>
      </c>
      <c r="E104" s="21" t="inlineStr">
        <is>
          <t>RODOVIA TO-420 - TRECHO ENTR. BR-153 (POVOADO XAMBERLÂNDIA) - PIRAQUÊ - ENTR. BR-153</t>
        </is>
      </c>
      <c r="F104" s="18" t="inlineStr">
        <is>
          <t>420ETO0032</t>
        </is>
      </c>
      <c r="G104" s="21" t="inlineStr">
        <is>
          <t>INÍCIO PU XAMBERLÂNDIA - ENTR. BR-153(B)(XAMBERLÂNDIA)</t>
        </is>
      </c>
      <c r="H104" s="18" t="inlineStr">
        <is>
          <t>PPS</t>
        </is>
      </c>
      <c r="I104" s="18" t="inlineStr">
        <is>
          <t>-48.088964, -6.944229</t>
        </is>
      </c>
      <c r="J104" s="18" t="inlineStr">
        <is>
          <t>-48.085961, -6.947651</t>
        </is>
      </c>
      <c r="K104" s="19" t="n">
        <v>0.5039244292</v>
      </c>
    </row>
    <row r="105" ht="30" customHeight="1">
      <c r="A105" s="20" t="n">
        <v>2</v>
      </c>
      <c r="B105" s="21" t="inlineStr">
        <is>
          <t>ARAGUAÍNA I</t>
        </is>
      </c>
      <c r="C105" s="22" t="n">
        <v>62</v>
      </c>
      <c r="D105" s="18" t="inlineStr">
        <is>
          <t>TO-421</t>
        </is>
      </c>
      <c r="E105" s="21" t="inlineStr">
        <is>
          <t>RODOVIA TO-421 - TRECHO ARAGUAÍNA - POVOADO GROTÃO</t>
        </is>
      </c>
      <c r="F105" s="18" t="inlineStr">
        <is>
          <t>421ETO0012</t>
        </is>
      </c>
      <c r="G105" s="21" t="inlineStr">
        <is>
          <t>ENTR. BR-153(PU ARAGUAÍNA) - FIM PAVIMENTAÇÃO</t>
        </is>
      </c>
      <c r="H105" s="18" t="inlineStr">
        <is>
          <t>PSU</t>
        </is>
      </c>
      <c r="I105" s="18" t="inlineStr">
        <is>
          <t>-48.2033169629, -7.1350986463</t>
        </is>
      </c>
      <c r="J105" s="18" t="inlineStr">
        <is>
          <t>-48.2006690045, -7.13559474612</t>
        </is>
      </c>
      <c r="K105" s="19" t="n">
        <v>0.297892453</v>
      </c>
    </row>
    <row r="106" ht="30" customHeight="1">
      <c r="A106" s="20" t="n">
        <v>2</v>
      </c>
      <c r="B106" s="21" t="inlineStr">
        <is>
          <t>ARAGUAÍNA I</t>
        </is>
      </c>
      <c r="C106" s="22" t="n">
        <v>58</v>
      </c>
      <c r="D106" s="18" t="inlineStr">
        <is>
          <t>TO-416</t>
        </is>
      </c>
      <c r="E106" s="21" t="inlineStr">
        <is>
          <t>RODOVIA TO-416 - TRECHO ENTR. TO-222 - POVOADO COCALINHO</t>
        </is>
      </c>
      <c r="F106" s="18" t="inlineStr">
        <is>
          <t>416ETO0097D</t>
        </is>
      </c>
      <c r="G106" s="21" t="inlineStr">
        <is>
          <t>INÍCIO PAVIMENTAÇÃO(PU POV. COCALINHO) - FIM DUPLICAÇÃO(PU COCALINHO)</t>
        </is>
      </c>
      <c r="H106" s="18" t="inlineStr">
        <is>
          <t>PDU</t>
        </is>
      </c>
      <c r="I106" s="18" t="inlineStr">
        <is>
          <t>-48.703516704, -7.10187925136</t>
        </is>
      </c>
      <c r="J106" s="18" t="inlineStr">
        <is>
          <t>-48.7048714856, -7.09711126522</t>
        </is>
      </c>
      <c r="K106" s="19" t="n">
        <v>0.551460547</v>
      </c>
    </row>
    <row r="107" ht="30" customHeight="1">
      <c r="A107" s="20" t="n">
        <v>2</v>
      </c>
      <c r="B107" s="21" t="inlineStr">
        <is>
          <t>ARAGUAÍNA I</t>
        </is>
      </c>
      <c r="C107" s="22" t="n">
        <v>58</v>
      </c>
      <c r="D107" s="18" t="inlineStr">
        <is>
          <t>TO-416</t>
        </is>
      </c>
      <c r="E107" s="21" t="inlineStr">
        <is>
          <t>RODOVIA TO-416 - TRECHO ENTR. TO-222 - POVOADO COCALINHO</t>
        </is>
      </c>
      <c r="F107" s="18" t="inlineStr">
        <is>
          <t>416ETO0097E</t>
        </is>
      </c>
      <c r="G107" s="21" t="inlineStr">
        <is>
          <t>INÍCIO PAVIMENTAÇÃO(PU POV. COCALINHO) - FIM DUPLICAÇÃO(PU COCALINHO)</t>
        </is>
      </c>
      <c r="H107" s="18" t="inlineStr">
        <is>
          <t>PDU</t>
        </is>
      </c>
      <c r="I107" s="18" t="inlineStr">
        <is>
          <t>-48.7048714856, -7.09711126522</t>
        </is>
      </c>
      <c r="J107" s="18" t="inlineStr">
        <is>
          <t>-48.703516704, -7.10187925136</t>
        </is>
      </c>
      <c r="K107" s="19" t="n">
        <v>0.554714736</v>
      </c>
    </row>
    <row r="108" ht="30" customHeight="1">
      <c r="A108" s="20" t="n">
        <v>2</v>
      </c>
      <c r="B108" s="21" t="inlineStr">
        <is>
          <t>ARAGUAÍNA I</t>
        </is>
      </c>
      <c r="C108" s="22" t="n">
        <v>58</v>
      </c>
      <c r="D108" s="18" t="inlineStr">
        <is>
          <t>TO-416</t>
        </is>
      </c>
      <c r="E108" s="21" t="inlineStr">
        <is>
          <t>RODOVIA TO-416 - TRECHO ENTR. TO-222 - POVOADO COCALINHO</t>
        </is>
      </c>
      <c r="F108" s="18" t="inlineStr">
        <is>
          <t>416ETO0100</t>
        </is>
      </c>
      <c r="G108" s="21" t="inlineStr">
        <is>
          <t>FIM DUPLICAÇÃO(PU COCALINHO) - ENTR. TO-222</t>
        </is>
      </c>
      <c r="H108" s="18" t="inlineStr">
        <is>
          <t>PPS</t>
        </is>
      </c>
      <c r="I108" s="18" t="inlineStr">
        <is>
          <t>-48.716572, -7.131462</t>
        </is>
      </c>
      <c r="J108" s="18" t="inlineStr">
        <is>
          <t>-48.703516704, -7.10187925136</t>
        </is>
      </c>
      <c r="K108" s="19" t="n">
        <v>3.834799814</v>
      </c>
    </row>
    <row r="109" ht="45" customHeight="1">
      <c r="A109" s="20" t="n">
        <v>2</v>
      </c>
      <c r="B109" s="21" t="inlineStr">
        <is>
          <t>ARAGUAÍNA I</t>
        </is>
      </c>
      <c r="C109" s="22" t="n">
        <v>53</v>
      </c>
      <c r="D109" s="18" t="inlineStr">
        <is>
          <t>TO-226</t>
        </is>
      </c>
      <c r="E109" s="21" t="inlineStr">
        <is>
          <t>RODOVIA TO-226 - TRECHO ENTR. BR-153 (POVOADO RIO PRETO) - DIVISA TO-PA (POVOADO GARIMPINHO)</t>
        </is>
      </c>
      <c r="F109" s="18" t="inlineStr">
        <is>
          <t>226ETO0240</t>
        </is>
      </c>
      <c r="G109" s="21" t="inlineStr">
        <is>
          <t>ENTR. BR-153(RIO PRETO) - ENTR. TO-164(A)</t>
        </is>
      </c>
      <c r="H109" s="18" t="inlineStr">
        <is>
          <t>PPS</t>
        </is>
      </c>
      <c r="I109" s="18" t="inlineStr">
        <is>
          <t>-48.393416, -7.513905</t>
        </is>
      </c>
      <c r="J109" s="18" t="inlineStr">
        <is>
          <t>-48.692371585, -7.46311380466</t>
        </is>
      </c>
      <c r="K109" s="19" t="n">
        <v>36.33493163</v>
      </c>
    </row>
    <row r="110" ht="30" customHeight="1">
      <c r="A110" s="20" t="n">
        <v>2</v>
      </c>
      <c r="B110" s="21" t="inlineStr">
        <is>
          <t>ARAGUAÍNA I</t>
        </is>
      </c>
      <c r="C110" s="22" t="n">
        <v>40</v>
      </c>
      <c r="D110" s="18" t="inlineStr">
        <is>
          <t>TO-010</t>
        </is>
      </c>
      <c r="E110" s="21" t="inlineStr">
        <is>
          <t>RODOVIA TO-010 - TRECHO WANDERLÂNDIA - RIACHINHO</t>
        </is>
      </c>
      <c r="F110" s="18" t="inlineStr">
        <is>
          <t>010ETO0430</t>
        </is>
      </c>
      <c r="G110" s="21" t="inlineStr">
        <is>
          <t>FIM PU WANDERLÂNDIA - ENTR. BR-153(A)</t>
        </is>
      </c>
      <c r="H110" s="18" t="inlineStr">
        <is>
          <t>PPS</t>
        </is>
      </c>
      <c r="I110" s="18" t="inlineStr">
        <is>
          <t>-47.975598, -6.829649</t>
        </is>
      </c>
      <c r="J110" s="18" t="inlineStr">
        <is>
          <t>-47.9726903031, -6.83507056982</t>
        </is>
      </c>
      <c r="K110" s="19" t="n">
        <v>0.681430491</v>
      </c>
    </row>
    <row r="111" ht="30" customHeight="1">
      <c r="A111" s="20" t="n">
        <v>2</v>
      </c>
      <c r="B111" s="21" t="inlineStr">
        <is>
          <t>ARAGUAÍNA I</t>
        </is>
      </c>
      <c r="C111" s="22" t="n">
        <v>52</v>
      </c>
      <c r="D111" s="18" t="inlineStr">
        <is>
          <t>TO-222</t>
        </is>
      </c>
      <c r="E111" s="21" t="inlineStr">
        <is>
          <t>RODOVIA TO-222 - TRECHO SANTA FÉ DO ARAGUAIA - DIVISA TO-PA (POVOADO PORTO LEMOS)</t>
        </is>
      </c>
      <c r="F111" s="18" t="inlineStr">
        <is>
          <t>222ETO0212</t>
        </is>
      </c>
      <c r="G111" s="21" t="inlineStr">
        <is>
          <t>INÍCIO PU PORTO LEMOS - DIV. TO/PA(PU PORTO LEMOS)</t>
        </is>
      </c>
      <c r="H111" s="18" t="inlineStr">
        <is>
          <t>PPS</t>
        </is>
      </c>
      <c r="I111" s="18" t="inlineStr">
        <is>
          <t>-49.0989805491, -6.87086328572</t>
        </is>
      </c>
      <c r="J111" s="18" t="inlineStr">
        <is>
          <t>-49.0997461208, -6.86669665614</t>
        </is>
      </c>
      <c r="K111" s="19" t="n">
        <v>0.499568879</v>
      </c>
    </row>
    <row r="112" ht="30" customHeight="1">
      <c r="A112" s="20" t="n">
        <v>2</v>
      </c>
      <c r="B112" s="21" t="inlineStr">
        <is>
          <t>ARAGUAÍNA I</t>
        </is>
      </c>
      <c r="C112" s="22" t="n">
        <v>47</v>
      </c>
      <c r="D112" s="18" t="inlineStr">
        <is>
          <t>TO-164</t>
        </is>
      </c>
      <c r="E112" s="21" t="inlineStr">
        <is>
          <t>RODOVIA TO-164 - TRECHO MURICILÂNDIA - ENTR. TO-226</t>
        </is>
      </c>
      <c r="F112" s="18" t="inlineStr">
        <is>
          <t>164ETO0166</t>
        </is>
      </c>
      <c r="G112" s="21" t="inlineStr">
        <is>
          <t>FIM DUPLICAÇÃO PU MURICILÂNDIA - FIM PU MURICILÂNDIA</t>
        </is>
      </c>
      <c r="H112" s="18" t="inlineStr">
        <is>
          <t>PSU</t>
        </is>
      </c>
      <c r="I112" s="18" t="inlineStr">
        <is>
          <t>-48.609922, -7.154832</t>
        </is>
      </c>
      <c r="J112" s="18" t="inlineStr">
        <is>
          <t>-48.6074065121, -7.14250242727</t>
        </is>
      </c>
      <c r="K112" s="19" t="n">
        <v>1.549620875</v>
      </c>
    </row>
    <row r="113" ht="30" customHeight="1">
      <c r="A113" s="20" t="n">
        <v>2</v>
      </c>
      <c r="B113" s="21" t="inlineStr">
        <is>
          <t>ARAGUAÍNA I</t>
        </is>
      </c>
      <c r="C113" s="22" t="n">
        <v>44</v>
      </c>
      <c r="D113" s="18" t="inlineStr">
        <is>
          <t>TO-164</t>
        </is>
      </c>
      <c r="E113" s="21" t="inlineStr">
        <is>
          <t>RODOVIA TO-164 - TRECHO MURICILÂNDIA - ENTR. TO-226</t>
        </is>
      </c>
      <c r="F113" s="18" t="inlineStr">
        <is>
          <t>164ETO0156D</t>
        </is>
      </c>
      <c r="G113" s="21" t="inlineStr">
        <is>
          <t>ENTR. TO-222(B)(INÍCIO DUPLICAÇÃO PU MURICILÂNDIA) - FIM DUPLICAÇÃO PU MURICILÂNDIA</t>
        </is>
      </c>
      <c r="H113" s="18" t="inlineStr">
        <is>
          <t>PDU</t>
        </is>
      </c>
      <c r="I113" s="18" t="inlineStr">
        <is>
          <t>-48.6032667045, -7.1374985298</t>
        </is>
      </c>
      <c r="J113" s="18" t="inlineStr">
        <is>
          <t>-48.6074065121, -7.14250242727</t>
        </is>
      </c>
      <c r="K113" s="19" t="n">
        <v>0.7242435780000001</v>
      </c>
    </row>
    <row r="114" ht="30" customHeight="1">
      <c r="A114" s="20" t="n">
        <v>2</v>
      </c>
      <c r="B114" s="21" t="inlineStr">
        <is>
          <t>ARAGUAÍNA I</t>
        </is>
      </c>
      <c r="C114" s="22" t="n">
        <v>47</v>
      </c>
      <c r="D114" s="18" t="inlineStr">
        <is>
          <t>TO-164</t>
        </is>
      </c>
      <c r="E114" s="21" t="inlineStr">
        <is>
          <t>RODOVIA TO-164 - TRECHO MURICILÂNDIA - ENTR. TO-226</t>
        </is>
      </c>
      <c r="F114" s="18" t="inlineStr">
        <is>
          <t>164ETO0156E</t>
        </is>
      </c>
      <c r="G114" s="21" t="inlineStr">
        <is>
          <t>ENTR. TO-222(B)(INÍCIO DUPLICAÇÃO PU MURICILÂNDIA) - FIM DUPLICAÇÃO PU MURICILÂNDIA</t>
        </is>
      </c>
      <c r="H114" s="18" t="inlineStr">
        <is>
          <t>PDU</t>
        </is>
      </c>
      <c r="I114" s="18" t="inlineStr">
        <is>
          <t>-48.6073530045, -7.14259400621</t>
        </is>
      </c>
      <c r="J114" s="18" t="inlineStr">
        <is>
          <t>-48.6032667045, -7.1374985298</t>
        </is>
      </c>
      <c r="K114" s="19" t="n">
        <v>0.727905342</v>
      </c>
    </row>
    <row r="115" ht="30.75" customHeight="1" thickBot="1">
      <c r="A115" s="23" t="n">
        <v>2</v>
      </c>
      <c r="B115" s="24" t="inlineStr">
        <is>
          <t>ARAGUAÍNA I</t>
        </is>
      </c>
      <c r="C115" s="25" t="n">
        <v>55</v>
      </c>
      <c r="D115" s="26" t="inlineStr">
        <is>
          <t>TO-164</t>
        </is>
      </c>
      <c r="E115" s="24" t="inlineStr">
        <is>
          <t>RODOVIA TO-230 - TRECHO BANDEIRANTES DO TOCANTINS - ARAPOEMA</t>
        </is>
      </c>
      <c r="F115" s="26" t="inlineStr">
        <is>
          <t>164ETO0200</t>
        </is>
      </c>
      <c r="G115" s="24" t="inlineStr">
        <is>
          <t>ENTR. TO-230(A) - INÍCIO PU DEZENOVE</t>
        </is>
      </c>
      <c r="H115" s="26" t="inlineStr">
        <is>
          <t>PSU</t>
        </is>
      </c>
      <c r="I115" s="26" t="inlineStr">
        <is>
          <t>-48.7920350475, -7.64059442114</t>
        </is>
      </c>
      <c r="J115" s="26" t="inlineStr">
        <is>
          <t>-48.7962295118, -7.64085682353</t>
        </is>
      </c>
      <c r="K115" s="27" t="n">
        <v>0.464011719</v>
      </c>
    </row>
    <row r="116" ht="12.75" customHeight="1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</row>
    <row r="117" ht="12.75" customHeight="1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</row>
    <row r="118" ht="12.75" customHeight="1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</row>
    <row r="119" ht="12.75" customHeight="1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</row>
    <row r="120" ht="12.75" customHeight="1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</row>
    <row r="121" ht="12.75" customHeight="1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</row>
    <row r="122" ht="12.75" customHeight="1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</row>
    <row r="123" ht="12.75" customHeight="1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</row>
    <row r="124" ht="12.75" customHeight="1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</row>
    <row r="125" ht="12.75" customHeight="1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</row>
    <row r="126" ht="12.75" customHeight="1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</row>
    <row r="127" ht="12.75" customHeight="1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</row>
    <row r="128" ht="12.75" customHeight="1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</row>
    <row r="129" ht="12.75" customHeight="1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</row>
    <row r="130" ht="12.75" customHeight="1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</row>
    <row r="131" ht="12.75" customHeight="1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</row>
    <row r="132" ht="12.75" customHeight="1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</row>
    <row r="133" ht="12.75" customHeight="1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</row>
    <row r="134" ht="12.75" customHeight="1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</row>
    <row r="135" ht="12.75" customHeight="1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</row>
    <row r="136" ht="12.75" customHeight="1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</row>
    <row r="137" ht="12.75" customHeight="1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</row>
    <row r="138" ht="12.75" customHeight="1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</row>
    <row r="139" ht="12.75" customHeight="1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</row>
    <row r="140" ht="12.75" customHeight="1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</row>
    <row r="141" ht="12.75" customHeight="1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</row>
    <row r="142" ht="12.75" customHeight="1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</row>
    <row r="143" ht="12.75" customHeight="1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</row>
    <row r="144" ht="12.75" customHeight="1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</row>
    <row r="145" ht="12.75" customHeight="1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</row>
    <row r="146" ht="12.75" customHeight="1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</row>
    <row r="147" ht="12.75" customHeight="1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</row>
    <row r="148" ht="12.75" customHeight="1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</row>
    <row r="149" ht="12.75" customHeight="1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</row>
    <row r="150" ht="12.75" customHeight="1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</row>
    <row r="151" ht="12.75" customHeight="1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</row>
    <row r="152" ht="12.75" customHeight="1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</row>
    <row r="153" ht="12.75" customHeight="1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</row>
    <row r="154" ht="12.75" customHeight="1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</row>
    <row r="155" ht="12.75" customHeight="1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</row>
    <row r="156" ht="12.75" customHeight="1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</row>
    <row r="157" ht="12.75" customHeight="1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</row>
    <row r="158" ht="12.75" customHeight="1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</row>
    <row r="159" ht="12.75" customHeight="1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</row>
    <row r="160" ht="12.75" customHeight="1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</row>
    <row r="161" ht="12.75" customHeight="1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</row>
    <row r="162" ht="12.75" customHeight="1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</row>
    <row r="163" ht="12.75" customHeight="1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</row>
    <row r="164" ht="12.75" customHeight="1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</row>
    <row r="165" ht="12.75" customHeight="1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</row>
    <row r="166" ht="12.75" customHeight="1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</row>
    <row r="167" ht="12.75" customHeight="1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</row>
    <row r="168" ht="12.75" customHeight="1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</row>
    <row r="169" ht="12.75" customHeight="1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</row>
    <row r="170" ht="12.75" customHeight="1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</row>
    <row r="171" ht="12.75" customHeight="1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</row>
    <row r="172" ht="12.75" customHeight="1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</row>
    <row r="173" ht="12.75" customHeight="1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</row>
    <row r="174" ht="12.75" customHeight="1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</row>
    <row r="175" ht="12.75" customHeight="1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</row>
    <row r="176" ht="12.75" customHeight="1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</row>
    <row r="177" ht="12.75" customHeight="1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</row>
    <row r="178" ht="12.75" customHeight="1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</row>
    <row r="179" ht="12.75" customHeight="1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</row>
    <row r="180" ht="12.75" customHeight="1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</row>
    <row r="181" ht="12.75" customHeight="1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</row>
    <row r="182" ht="12.75" customHeight="1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</row>
    <row r="183" ht="12.75" customHeight="1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</row>
    <row r="184" ht="12.75" customHeight="1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</row>
    <row r="185" ht="12.75" customHeight="1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</row>
    <row r="186" ht="12.75" customHeight="1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</row>
    <row r="187" ht="12.75" customHeight="1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</row>
    <row r="188" ht="12.75" customHeight="1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</row>
    <row r="189" ht="12.75" customHeight="1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</row>
    <row r="190" ht="12.75" customHeight="1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</row>
    <row r="191" ht="12.75" customHeight="1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</row>
    <row r="192" ht="12.75" customHeight="1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</row>
    <row r="193" ht="12.75" customHeight="1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</row>
    <row r="194" ht="12.75" customHeight="1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</row>
    <row r="195" ht="12.75" customHeight="1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</row>
    <row r="196" ht="12.75" customHeight="1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</row>
    <row r="197" ht="12.75" customHeight="1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</row>
    <row r="198" ht="12.75" customHeight="1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</row>
    <row r="199" ht="12.75" customHeight="1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</row>
    <row r="200" ht="12.75" customHeight="1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</row>
    <row r="201" ht="12.75" customHeight="1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</row>
    <row r="202" ht="12.75" customHeight="1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</row>
    <row r="203" ht="12.75" customHeight="1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</row>
    <row r="204" ht="12.75" customHeight="1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</row>
    <row r="205" ht="12.75" customHeight="1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</row>
    <row r="206" ht="12.75" customHeight="1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</row>
    <row r="207" ht="12.75" customHeight="1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</row>
    <row r="208" ht="12.75" customHeight="1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</row>
    <row r="209" ht="12.75" customHeight="1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</row>
    <row r="210" ht="12.75" customHeight="1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</row>
    <row r="211" ht="12.75" customHeight="1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</row>
    <row r="212" ht="12.75" customHeight="1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</row>
    <row r="213" ht="12.75" customHeight="1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</row>
    <row r="214" ht="12.75" customHeight="1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</row>
    <row r="215" ht="12.75" customHeight="1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</row>
    <row r="216" ht="12.75" customHeight="1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</row>
    <row r="217" ht="12.75" customHeight="1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</row>
    <row r="218" ht="12.75" customHeight="1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</row>
    <row r="219" ht="12.75" customHeight="1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</row>
    <row r="220" ht="12.75" customHeight="1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</row>
    <row r="221" ht="12.75" customHeight="1">
      <c r="A221" s="28" t="n"/>
      <c r="B221" s="28" t="n"/>
      <c r="C221" s="28" t="n"/>
      <c r="D221" s="28" t="n"/>
      <c r="E221" s="28" t="n"/>
      <c r="F221" s="28" t="n"/>
      <c r="G221" s="28" t="n"/>
      <c r="H221" s="28" t="n"/>
      <c r="I221" s="28" t="n"/>
      <c r="J221" s="28" t="n"/>
      <c r="K221" s="28" t="n"/>
    </row>
    <row r="222" ht="12.75" customHeight="1">
      <c r="A222" s="28" t="n"/>
      <c r="B222" s="28" t="n"/>
      <c r="C222" s="28" t="n"/>
      <c r="D222" s="28" t="n"/>
      <c r="E222" s="28" t="n"/>
      <c r="F222" s="28" t="n"/>
      <c r="G222" s="28" t="n"/>
      <c r="H222" s="28" t="n"/>
      <c r="I222" s="28" t="n"/>
      <c r="J222" s="28" t="n"/>
      <c r="K222" s="28" t="n"/>
    </row>
    <row r="223" ht="12.75" customHeight="1">
      <c r="A223" s="28" t="n"/>
      <c r="B223" s="28" t="n"/>
      <c r="C223" s="28" t="n"/>
      <c r="D223" s="28" t="n"/>
      <c r="E223" s="28" t="n"/>
      <c r="F223" s="28" t="n"/>
      <c r="G223" s="28" t="n"/>
      <c r="H223" s="28" t="n"/>
      <c r="I223" s="28" t="n"/>
      <c r="J223" s="28" t="n"/>
      <c r="K223" s="28" t="n"/>
    </row>
    <row r="224" ht="12.75" customHeight="1">
      <c r="A224" s="28" t="n"/>
      <c r="B224" s="28" t="n"/>
      <c r="C224" s="28" t="n"/>
      <c r="D224" s="28" t="n"/>
      <c r="E224" s="28" t="n"/>
      <c r="F224" s="28" t="n"/>
      <c r="G224" s="28" t="n"/>
      <c r="H224" s="28" t="n"/>
      <c r="I224" s="28" t="n"/>
      <c r="J224" s="28" t="n"/>
      <c r="K224" s="28" t="n"/>
    </row>
    <row r="225" ht="12.75" customHeight="1">
      <c r="A225" s="28" t="n"/>
      <c r="B225" s="28" t="n"/>
      <c r="C225" s="28" t="n"/>
      <c r="D225" s="28" t="n"/>
      <c r="E225" s="28" t="n"/>
      <c r="F225" s="28" t="n"/>
      <c r="G225" s="28" t="n"/>
      <c r="H225" s="28" t="n"/>
      <c r="I225" s="28" t="n"/>
      <c r="J225" s="28" t="n"/>
      <c r="K225" s="28" t="n"/>
    </row>
    <row r="226" ht="12.75" customHeight="1">
      <c r="A226" s="28" t="n"/>
      <c r="B226" s="28" t="n"/>
      <c r="C226" s="28" t="n"/>
      <c r="D226" s="28" t="n"/>
      <c r="E226" s="28" t="n"/>
      <c r="F226" s="28" t="n"/>
      <c r="G226" s="28" t="n"/>
      <c r="H226" s="28" t="n"/>
      <c r="I226" s="28" t="n"/>
      <c r="J226" s="28" t="n"/>
      <c r="K226" s="28" t="n"/>
    </row>
    <row r="227" ht="12.75" customHeight="1">
      <c r="A227" s="28" t="n"/>
      <c r="B227" s="28" t="n"/>
      <c r="C227" s="28" t="n"/>
      <c r="D227" s="28" t="n"/>
      <c r="E227" s="28" t="n"/>
      <c r="F227" s="28" t="n"/>
      <c r="G227" s="28" t="n"/>
      <c r="H227" s="28" t="n"/>
      <c r="I227" s="28" t="n"/>
      <c r="J227" s="28" t="n"/>
      <c r="K227" s="28" t="n"/>
    </row>
    <row r="228" ht="12.75" customHeight="1">
      <c r="A228" s="28" t="n"/>
      <c r="B228" s="28" t="n"/>
      <c r="C228" s="28" t="n"/>
      <c r="D228" s="28" t="n"/>
      <c r="E228" s="28" t="n"/>
      <c r="F228" s="28" t="n"/>
      <c r="G228" s="28" t="n"/>
      <c r="H228" s="28" t="n"/>
      <c r="I228" s="28" t="n"/>
      <c r="J228" s="28" t="n"/>
      <c r="K228" s="28" t="n"/>
    </row>
    <row r="229" ht="12.75" customHeight="1">
      <c r="A229" s="28" t="n"/>
      <c r="B229" s="28" t="n"/>
      <c r="C229" s="28" t="n"/>
      <c r="D229" s="28" t="n"/>
      <c r="E229" s="28" t="n"/>
      <c r="F229" s="28" t="n"/>
      <c r="G229" s="28" t="n"/>
      <c r="H229" s="28" t="n"/>
      <c r="I229" s="28" t="n"/>
      <c r="J229" s="28" t="n"/>
      <c r="K229" s="28" t="n"/>
    </row>
    <row r="230" ht="12.75" customHeight="1">
      <c r="A230" s="28" t="n"/>
      <c r="B230" s="28" t="n"/>
      <c r="C230" s="28" t="n"/>
      <c r="D230" s="28" t="n"/>
      <c r="E230" s="28" t="n"/>
      <c r="F230" s="28" t="n"/>
      <c r="G230" s="28" t="n"/>
      <c r="H230" s="28" t="n"/>
      <c r="I230" s="28" t="n"/>
      <c r="J230" s="28" t="n"/>
      <c r="K230" s="28" t="n"/>
    </row>
    <row r="231" ht="12.75" customHeight="1">
      <c r="A231" s="28" t="n"/>
      <c r="B231" s="28" t="n"/>
      <c r="C231" s="28" t="n"/>
      <c r="D231" s="28" t="n"/>
      <c r="E231" s="28" t="n"/>
      <c r="F231" s="28" t="n"/>
      <c r="G231" s="28" t="n"/>
      <c r="H231" s="28" t="n"/>
      <c r="I231" s="28" t="n"/>
      <c r="J231" s="28" t="n"/>
      <c r="K231" s="28" t="n"/>
    </row>
    <row r="232" ht="12.75" customHeight="1">
      <c r="A232" s="28" t="n"/>
      <c r="B232" s="28" t="n"/>
      <c r="C232" s="28" t="n"/>
      <c r="D232" s="28" t="n"/>
      <c r="E232" s="28" t="n"/>
      <c r="F232" s="28" t="n"/>
      <c r="G232" s="28" t="n"/>
      <c r="H232" s="28" t="n"/>
      <c r="I232" s="28" t="n"/>
      <c r="J232" s="28" t="n"/>
      <c r="K232" s="28" t="n"/>
    </row>
    <row r="233" ht="12.75" customHeight="1">
      <c r="A233" s="28" t="n"/>
      <c r="B233" s="28" t="n"/>
      <c r="C233" s="28" t="n"/>
      <c r="D233" s="28" t="n"/>
      <c r="E233" s="28" t="n"/>
      <c r="F233" s="28" t="n"/>
      <c r="G233" s="28" t="n"/>
      <c r="H233" s="28" t="n"/>
      <c r="I233" s="28" t="n"/>
      <c r="J233" s="28" t="n"/>
      <c r="K233" s="28" t="n"/>
    </row>
    <row r="234" ht="12.75" customHeight="1">
      <c r="A234" s="28" t="n"/>
      <c r="B234" s="28" t="n"/>
      <c r="C234" s="28" t="n"/>
      <c r="D234" s="28" t="n"/>
      <c r="E234" s="28" t="n"/>
      <c r="F234" s="28" t="n"/>
      <c r="G234" s="28" t="n"/>
      <c r="H234" s="28" t="n"/>
      <c r="I234" s="28" t="n"/>
      <c r="J234" s="28" t="n"/>
      <c r="K234" s="28" t="n"/>
    </row>
    <row r="235" ht="12.75" customHeight="1">
      <c r="A235" s="28" t="n"/>
      <c r="B235" s="28" t="n"/>
      <c r="C235" s="28" t="n"/>
      <c r="D235" s="28" t="n"/>
      <c r="E235" s="28" t="n"/>
      <c r="F235" s="28" t="n"/>
      <c r="G235" s="28" t="n"/>
      <c r="H235" s="28" t="n"/>
      <c r="I235" s="28" t="n"/>
      <c r="J235" s="28" t="n"/>
      <c r="K235" s="28" t="n"/>
    </row>
    <row r="236" ht="12.75" customHeight="1">
      <c r="A236" s="28" t="n"/>
      <c r="B236" s="28" t="n"/>
      <c r="C236" s="28" t="n"/>
      <c r="D236" s="28" t="n"/>
      <c r="E236" s="28" t="n"/>
      <c r="F236" s="28" t="n"/>
      <c r="G236" s="28" t="n"/>
      <c r="H236" s="28" t="n"/>
      <c r="I236" s="28" t="n"/>
      <c r="J236" s="28" t="n"/>
      <c r="K236" s="28" t="n"/>
    </row>
    <row r="237" ht="12.75" customHeight="1">
      <c r="A237" s="28" t="n"/>
      <c r="B237" s="28" t="n"/>
      <c r="C237" s="28" t="n"/>
      <c r="D237" s="28" t="n"/>
      <c r="E237" s="28" t="n"/>
      <c r="F237" s="28" t="n"/>
      <c r="G237" s="28" t="n"/>
      <c r="H237" s="28" t="n"/>
      <c r="I237" s="28" t="n"/>
      <c r="J237" s="28" t="n"/>
      <c r="K237" s="28" t="n"/>
    </row>
    <row r="238" ht="12.75" customHeight="1">
      <c r="A238" s="28" t="n"/>
      <c r="B238" s="28" t="n"/>
      <c r="C238" s="28" t="n"/>
      <c r="D238" s="28" t="n"/>
      <c r="E238" s="28" t="n"/>
      <c r="F238" s="28" t="n"/>
      <c r="G238" s="28" t="n"/>
      <c r="H238" s="28" t="n"/>
      <c r="I238" s="28" t="n"/>
      <c r="J238" s="28" t="n"/>
      <c r="K238" s="28" t="n"/>
    </row>
    <row r="239" ht="12.75" customHeight="1">
      <c r="A239" s="28" t="n"/>
      <c r="B239" s="28" t="n"/>
      <c r="C239" s="28" t="n"/>
      <c r="D239" s="28" t="n"/>
      <c r="E239" s="28" t="n"/>
      <c r="F239" s="28" t="n"/>
      <c r="G239" s="28" t="n"/>
      <c r="H239" s="28" t="n"/>
      <c r="I239" s="28" t="n"/>
      <c r="J239" s="28" t="n"/>
      <c r="K239" s="28" t="n"/>
    </row>
    <row r="240" ht="12.75" customHeight="1">
      <c r="A240" s="28" t="n"/>
      <c r="B240" s="28" t="n"/>
      <c r="C240" s="28" t="n"/>
      <c r="D240" s="28" t="n"/>
      <c r="E240" s="28" t="n"/>
      <c r="F240" s="28" t="n"/>
      <c r="G240" s="28" t="n"/>
      <c r="H240" s="28" t="n"/>
      <c r="I240" s="28" t="n"/>
      <c r="J240" s="28" t="n"/>
      <c r="K240" s="28" t="n"/>
    </row>
    <row r="241" ht="12.75" customHeight="1">
      <c r="A241" s="28" t="n"/>
      <c r="B241" s="28" t="n"/>
      <c r="C241" s="28" t="n"/>
      <c r="D241" s="28" t="n"/>
      <c r="E241" s="28" t="n"/>
      <c r="F241" s="28" t="n"/>
      <c r="G241" s="28" t="n"/>
      <c r="H241" s="28" t="n"/>
      <c r="I241" s="28" t="n"/>
      <c r="J241" s="28" t="n"/>
      <c r="K241" s="28" t="n"/>
    </row>
    <row r="242" ht="12.75" customHeight="1">
      <c r="A242" s="28" t="n"/>
      <c r="B242" s="28" t="n"/>
      <c r="C242" s="28" t="n"/>
      <c r="D242" s="28" t="n"/>
      <c r="E242" s="28" t="n"/>
      <c r="F242" s="28" t="n"/>
      <c r="G242" s="28" t="n"/>
      <c r="H242" s="28" t="n"/>
      <c r="I242" s="28" t="n"/>
      <c r="J242" s="28" t="n"/>
      <c r="K242" s="28" t="n"/>
    </row>
    <row r="243" ht="12.75" customHeight="1">
      <c r="A243" s="28" t="n"/>
      <c r="B243" s="28" t="n"/>
      <c r="C243" s="28" t="n"/>
      <c r="D243" s="28" t="n"/>
      <c r="E243" s="28" t="n"/>
      <c r="F243" s="28" t="n"/>
      <c r="G243" s="28" t="n"/>
      <c r="H243" s="28" t="n"/>
      <c r="I243" s="28" t="n"/>
      <c r="J243" s="28" t="n"/>
      <c r="K243" s="28" t="n"/>
    </row>
    <row r="244" ht="12.75" customHeight="1">
      <c r="A244" s="28" t="n"/>
      <c r="B244" s="28" t="n"/>
      <c r="C244" s="28" t="n"/>
      <c r="D244" s="28" t="n"/>
      <c r="E244" s="28" t="n"/>
      <c r="F244" s="28" t="n"/>
      <c r="G244" s="28" t="n"/>
      <c r="H244" s="28" t="n"/>
      <c r="I244" s="28" t="n"/>
      <c r="J244" s="28" t="n"/>
      <c r="K244" s="28" t="n"/>
    </row>
    <row r="245" ht="12.75" customHeight="1">
      <c r="A245" s="28" t="n"/>
      <c r="B245" s="28" t="n"/>
      <c r="C245" s="28" t="n"/>
      <c r="D245" s="28" t="n"/>
      <c r="E245" s="28" t="n"/>
      <c r="F245" s="28" t="n"/>
      <c r="G245" s="28" t="n"/>
      <c r="H245" s="28" t="n"/>
      <c r="I245" s="28" t="n"/>
      <c r="J245" s="28" t="n"/>
      <c r="K245" s="28" t="n"/>
    </row>
    <row r="246" ht="12.75" customHeight="1">
      <c r="A246" s="28" t="n"/>
      <c r="B246" s="28" t="n"/>
      <c r="C246" s="28" t="n"/>
      <c r="D246" s="28" t="n"/>
      <c r="E246" s="28" t="n"/>
      <c r="F246" s="28" t="n"/>
      <c r="G246" s="28" t="n"/>
      <c r="H246" s="28" t="n"/>
      <c r="I246" s="28" t="n"/>
      <c r="J246" s="28" t="n"/>
      <c r="K246" s="28" t="n"/>
    </row>
    <row r="247" ht="12.75" customHeight="1">
      <c r="A247" s="28" t="n"/>
      <c r="B247" s="28" t="n"/>
      <c r="C247" s="28" t="n"/>
      <c r="D247" s="28" t="n"/>
      <c r="E247" s="28" t="n"/>
      <c r="F247" s="28" t="n"/>
      <c r="G247" s="28" t="n"/>
      <c r="H247" s="28" t="n"/>
      <c r="I247" s="28" t="n"/>
      <c r="J247" s="28" t="n"/>
      <c r="K247" s="28" t="n"/>
    </row>
    <row r="248" ht="12.75" customHeight="1">
      <c r="A248" s="28" t="n"/>
      <c r="B248" s="28" t="n"/>
      <c r="C248" s="28" t="n"/>
      <c r="D248" s="28" t="n"/>
      <c r="E248" s="28" t="n"/>
      <c r="F248" s="28" t="n"/>
      <c r="G248" s="28" t="n"/>
      <c r="H248" s="28" t="n"/>
      <c r="I248" s="28" t="n"/>
      <c r="J248" s="28" t="n"/>
      <c r="K248" s="28" t="n"/>
    </row>
    <row r="249" ht="12.75" customHeight="1">
      <c r="A249" s="28" t="n"/>
      <c r="B249" s="28" t="n"/>
      <c r="C249" s="28" t="n"/>
      <c r="D249" s="28" t="n"/>
      <c r="E249" s="28" t="n"/>
      <c r="F249" s="28" t="n"/>
      <c r="G249" s="28" t="n"/>
      <c r="H249" s="28" t="n"/>
      <c r="I249" s="28" t="n"/>
      <c r="J249" s="28" t="n"/>
      <c r="K249" s="28" t="n"/>
    </row>
    <row r="250" ht="12.75" customHeight="1">
      <c r="A250" s="28" t="n"/>
      <c r="B250" s="28" t="n"/>
      <c r="C250" s="28" t="n"/>
      <c r="D250" s="28" t="n"/>
      <c r="E250" s="28" t="n"/>
      <c r="F250" s="28" t="n"/>
      <c r="G250" s="28" t="n"/>
      <c r="H250" s="28" t="n"/>
      <c r="I250" s="28" t="n"/>
      <c r="J250" s="28" t="n"/>
      <c r="K250" s="28" t="n"/>
    </row>
    <row r="251" ht="12.75" customHeight="1">
      <c r="A251" s="28" t="n"/>
      <c r="B251" s="28" t="n"/>
      <c r="C251" s="28" t="n"/>
      <c r="D251" s="28" t="n"/>
      <c r="E251" s="28" t="n"/>
      <c r="F251" s="28" t="n"/>
      <c r="G251" s="28" t="n"/>
      <c r="H251" s="28" t="n"/>
      <c r="I251" s="28" t="n"/>
      <c r="J251" s="28" t="n"/>
      <c r="K251" s="28" t="n"/>
    </row>
    <row r="252" ht="12.75" customHeight="1">
      <c r="A252" s="28" t="n"/>
      <c r="B252" s="28" t="n"/>
      <c r="C252" s="28" t="n"/>
      <c r="D252" s="28" t="n"/>
      <c r="E252" s="28" t="n"/>
      <c r="F252" s="28" t="n"/>
      <c r="G252" s="28" t="n"/>
      <c r="H252" s="28" t="n"/>
      <c r="I252" s="28" t="n"/>
      <c r="J252" s="28" t="n"/>
      <c r="K252" s="28" t="n"/>
    </row>
    <row r="253" ht="12.75" customHeight="1">
      <c r="A253" s="28" t="n"/>
      <c r="B253" s="28" t="n"/>
      <c r="C253" s="28" t="n"/>
      <c r="D253" s="28" t="n"/>
      <c r="E253" s="28" t="n"/>
      <c r="F253" s="28" t="n"/>
      <c r="G253" s="28" t="n"/>
      <c r="H253" s="28" t="n"/>
      <c r="I253" s="28" t="n"/>
      <c r="J253" s="28" t="n"/>
      <c r="K253" s="28" t="n"/>
    </row>
    <row r="254" ht="12.75" customHeight="1">
      <c r="A254" s="28" t="n"/>
      <c r="B254" s="28" t="n"/>
      <c r="C254" s="28" t="n"/>
      <c r="D254" s="28" t="n"/>
      <c r="E254" s="28" t="n"/>
      <c r="F254" s="28" t="n"/>
      <c r="G254" s="28" t="n"/>
      <c r="H254" s="28" t="n"/>
      <c r="I254" s="28" t="n"/>
      <c r="J254" s="28" t="n"/>
      <c r="K254" s="28" t="n"/>
    </row>
    <row r="255" ht="12.75" customHeight="1">
      <c r="A255" s="28" t="n"/>
      <c r="B255" s="28" t="n"/>
      <c r="C255" s="28" t="n"/>
      <c r="D255" s="28" t="n"/>
      <c r="E255" s="28" t="n"/>
      <c r="F255" s="28" t="n"/>
      <c r="G255" s="28" t="n"/>
      <c r="H255" s="28" t="n"/>
      <c r="I255" s="28" t="n"/>
      <c r="J255" s="28" t="n"/>
      <c r="K255" s="28" t="n"/>
    </row>
    <row r="256" ht="12.75" customHeight="1">
      <c r="A256" s="28" t="n"/>
      <c r="B256" s="28" t="n"/>
      <c r="C256" s="28" t="n"/>
      <c r="D256" s="28" t="n"/>
      <c r="E256" s="28" t="n"/>
      <c r="F256" s="28" t="n"/>
      <c r="G256" s="28" t="n"/>
      <c r="H256" s="28" t="n"/>
      <c r="I256" s="28" t="n"/>
      <c r="J256" s="28" t="n"/>
      <c r="K256" s="28" t="n"/>
    </row>
    <row r="257" ht="12.75" customHeight="1">
      <c r="A257" s="28" t="n"/>
      <c r="B257" s="28" t="n"/>
      <c r="C257" s="28" t="n"/>
      <c r="D257" s="28" t="n"/>
      <c r="E257" s="28" t="n"/>
      <c r="F257" s="28" t="n"/>
      <c r="G257" s="28" t="n"/>
      <c r="H257" s="28" t="n"/>
      <c r="I257" s="28" t="n"/>
      <c r="J257" s="28" t="n"/>
      <c r="K257" s="28" t="n"/>
    </row>
    <row r="258" ht="12.75" customHeight="1">
      <c r="A258" s="28" t="n"/>
      <c r="B258" s="28" t="n"/>
      <c r="C258" s="28" t="n"/>
      <c r="D258" s="28" t="n"/>
      <c r="E258" s="28" t="n"/>
      <c r="F258" s="28" t="n"/>
      <c r="G258" s="28" t="n"/>
      <c r="H258" s="28" t="n"/>
      <c r="I258" s="28" t="n"/>
      <c r="J258" s="28" t="n"/>
      <c r="K258" s="28" t="n"/>
    </row>
    <row r="259" ht="12.75" customHeight="1">
      <c r="A259" s="28" t="n"/>
      <c r="B259" s="28" t="n"/>
      <c r="C259" s="28" t="n"/>
      <c r="D259" s="28" t="n"/>
      <c r="E259" s="28" t="n"/>
      <c r="F259" s="28" t="n"/>
      <c r="G259" s="28" t="n"/>
      <c r="H259" s="28" t="n"/>
      <c r="I259" s="28" t="n"/>
      <c r="J259" s="28" t="n"/>
      <c r="K259" s="28" t="n"/>
    </row>
    <row r="260" ht="12.75" customHeight="1">
      <c r="A260" s="28" t="n"/>
      <c r="B260" s="28" t="n"/>
      <c r="C260" s="28" t="n"/>
      <c r="D260" s="28" t="n"/>
      <c r="E260" s="28" t="n"/>
      <c r="F260" s="28" t="n"/>
      <c r="G260" s="28" t="n"/>
      <c r="H260" s="28" t="n"/>
      <c r="I260" s="28" t="n"/>
      <c r="J260" s="28" t="n"/>
      <c r="K260" s="28" t="n"/>
    </row>
    <row r="261" ht="12.75" customHeight="1">
      <c r="A261" s="28" t="n"/>
      <c r="B261" s="28" t="n"/>
      <c r="C261" s="28" t="n"/>
      <c r="D261" s="28" t="n"/>
      <c r="E261" s="28" t="n"/>
      <c r="F261" s="28" t="n"/>
      <c r="G261" s="28" t="n"/>
      <c r="H261" s="28" t="n"/>
      <c r="I261" s="28" t="n"/>
      <c r="J261" s="28" t="n"/>
      <c r="K261" s="28" t="n"/>
    </row>
    <row r="262" ht="12.75" customHeight="1">
      <c r="A262" s="28" t="n"/>
      <c r="B262" s="28" t="n"/>
      <c r="C262" s="28" t="n"/>
      <c r="D262" s="28" t="n"/>
      <c r="E262" s="28" t="n"/>
      <c r="F262" s="28" t="n"/>
      <c r="G262" s="28" t="n"/>
      <c r="H262" s="28" t="n"/>
      <c r="I262" s="28" t="n"/>
      <c r="J262" s="28" t="n"/>
      <c r="K262" s="28" t="n"/>
    </row>
    <row r="263" ht="12.75" customHeight="1">
      <c r="A263" s="28" t="n"/>
      <c r="B263" s="28" t="n"/>
      <c r="C263" s="28" t="n"/>
      <c r="D263" s="28" t="n"/>
      <c r="E263" s="28" t="n"/>
      <c r="F263" s="28" t="n"/>
      <c r="G263" s="28" t="n"/>
      <c r="H263" s="28" t="n"/>
      <c r="I263" s="28" t="n"/>
      <c r="J263" s="28" t="n"/>
      <c r="K263" s="28" t="n"/>
    </row>
    <row r="264" ht="12.75" customHeight="1">
      <c r="A264" s="28" t="n"/>
      <c r="B264" s="28" t="n"/>
      <c r="C264" s="28" t="n"/>
      <c r="D264" s="28" t="n"/>
      <c r="E264" s="28" t="n"/>
      <c r="F264" s="28" t="n"/>
      <c r="G264" s="28" t="n"/>
      <c r="H264" s="28" t="n"/>
      <c r="I264" s="28" t="n"/>
      <c r="J264" s="28" t="n"/>
      <c r="K264" s="28" t="n"/>
    </row>
    <row r="265" ht="12.75" customHeight="1">
      <c r="A265" s="28" t="n"/>
      <c r="B265" s="28" t="n"/>
      <c r="C265" s="28" t="n"/>
      <c r="D265" s="28" t="n"/>
      <c r="E265" s="28" t="n"/>
      <c r="F265" s="28" t="n"/>
      <c r="G265" s="28" t="n"/>
      <c r="H265" s="28" t="n"/>
      <c r="I265" s="28" t="n"/>
      <c r="J265" s="28" t="n"/>
      <c r="K265" s="28" t="n"/>
    </row>
    <row r="266" ht="12.75" customHeight="1">
      <c r="A266" s="28" t="n"/>
      <c r="B266" s="28" t="n"/>
      <c r="C266" s="28" t="n"/>
      <c r="D266" s="28" t="n"/>
      <c r="E266" s="28" t="n"/>
      <c r="F266" s="28" t="n"/>
      <c r="G266" s="28" t="n"/>
      <c r="H266" s="28" t="n"/>
      <c r="I266" s="28" t="n"/>
      <c r="J266" s="28" t="n"/>
      <c r="K266" s="28" t="n"/>
    </row>
    <row r="267" ht="12.75" customHeight="1">
      <c r="A267" s="28" t="n"/>
      <c r="B267" s="28" t="n"/>
      <c r="C267" s="28" t="n"/>
      <c r="D267" s="28" t="n"/>
      <c r="E267" s="28" t="n"/>
      <c r="F267" s="28" t="n"/>
      <c r="G267" s="28" t="n"/>
      <c r="H267" s="28" t="n"/>
      <c r="I267" s="28" t="n"/>
      <c r="J267" s="28" t="n"/>
      <c r="K267" s="28" t="n"/>
    </row>
    <row r="268" ht="12.75" customHeight="1">
      <c r="A268" s="28" t="n"/>
      <c r="B268" s="28" t="n"/>
      <c r="C268" s="28" t="n"/>
      <c r="D268" s="28" t="n"/>
      <c r="E268" s="28" t="n"/>
      <c r="F268" s="28" t="n"/>
      <c r="G268" s="28" t="n"/>
      <c r="H268" s="28" t="n"/>
      <c r="I268" s="28" t="n"/>
      <c r="J268" s="28" t="n"/>
      <c r="K268" s="28" t="n"/>
    </row>
    <row r="269" ht="12.75" customHeight="1">
      <c r="A269" s="28" t="n"/>
      <c r="B269" s="28" t="n"/>
      <c r="C269" s="28" t="n"/>
      <c r="D269" s="28" t="n"/>
      <c r="E269" s="28" t="n"/>
      <c r="F269" s="28" t="n"/>
      <c r="G269" s="28" t="n"/>
      <c r="H269" s="28" t="n"/>
      <c r="I269" s="28" t="n"/>
      <c r="J269" s="28" t="n"/>
      <c r="K269" s="28" t="n"/>
    </row>
    <row r="270" ht="12.75" customHeight="1">
      <c r="A270" s="28" t="n"/>
      <c r="B270" s="28" t="n"/>
      <c r="C270" s="28" t="n"/>
      <c r="D270" s="28" t="n"/>
      <c r="E270" s="28" t="n"/>
      <c r="F270" s="28" t="n"/>
      <c r="G270" s="28" t="n"/>
      <c r="H270" s="28" t="n"/>
      <c r="I270" s="28" t="n"/>
      <c r="J270" s="28" t="n"/>
      <c r="K270" s="28" t="n"/>
    </row>
    <row r="271" ht="12.75" customHeight="1">
      <c r="A271" s="28" t="n"/>
      <c r="B271" s="28" t="n"/>
      <c r="C271" s="28" t="n"/>
      <c r="D271" s="28" t="n"/>
      <c r="E271" s="28" t="n"/>
      <c r="F271" s="28" t="n"/>
      <c r="G271" s="28" t="n"/>
      <c r="H271" s="28" t="n"/>
      <c r="I271" s="28" t="n"/>
      <c r="J271" s="28" t="n"/>
      <c r="K271" s="28" t="n"/>
    </row>
    <row r="272" ht="12.75" customHeight="1">
      <c r="A272" s="28" t="n"/>
      <c r="B272" s="28" t="n"/>
      <c r="C272" s="28" t="n"/>
      <c r="D272" s="28" t="n"/>
      <c r="E272" s="28" t="n"/>
      <c r="F272" s="28" t="n"/>
      <c r="G272" s="28" t="n"/>
      <c r="H272" s="28" t="n"/>
      <c r="I272" s="28" t="n"/>
      <c r="J272" s="28" t="n"/>
      <c r="K272" s="28" t="n"/>
    </row>
    <row r="273" ht="12.75" customHeight="1">
      <c r="A273" s="28" t="n"/>
      <c r="B273" s="28" t="n"/>
      <c r="C273" s="28" t="n"/>
      <c r="D273" s="28" t="n"/>
      <c r="E273" s="28" t="n"/>
      <c r="F273" s="28" t="n"/>
      <c r="G273" s="28" t="n"/>
      <c r="H273" s="28" t="n"/>
      <c r="I273" s="28" t="n"/>
      <c r="J273" s="28" t="n"/>
      <c r="K273" s="28" t="n"/>
    </row>
    <row r="274" ht="12.75" customHeight="1">
      <c r="A274" s="28" t="n"/>
      <c r="B274" s="28" t="n"/>
      <c r="C274" s="28" t="n"/>
      <c r="D274" s="28" t="n"/>
      <c r="E274" s="28" t="n"/>
      <c r="F274" s="28" t="n"/>
      <c r="G274" s="28" t="n"/>
      <c r="H274" s="28" t="n"/>
      <c r="I274" s="28" t="n"/>
      <c r="J274" s="28" t="n"/>
      <c r="K274" s="28" t="n"/>
    </row>
    <row r="275" ht="12.75" customHeight="1">
      <c r="A275" s="28" t="n"/>
      <c r="B275" s="28" t="n"/>
      <c r="C275" s="28" t="n"/>
      <c r="D275" s="28" t="n"/>
      <c r="E275" s="28" t="n"/>
      <c r="F275" s="28" t="n"/>
      <c r="G275" s="28" t="n"/>
      <c r="H275" s="28" t="n"/>
      <c r="I275" s="28" t="n"/>
      <c r="J275" s="28" t="n"/>
      <c r="K275" s="28" t="n"/>
    </row>
    <row r="276" ht="12.75" customHeight="1">
      <c r="A276" s="28" t="n"/>
      <c r="B276" s="28" t="n"/>
      <c r="C276" s="28" t="n"/>
      <c r="D276" s="28" t="n"/>
      <c r="E276" s="28" t="n"/>
      <c r="F276" s="28" t="n"/>
      <c r="G276" s="28" t="n"/>
      <c r="H276" s="28" t="n"/>
      <c r="I276" s="28" t="n"/>
      <c r="J276" s="28" t="n"/>
      <c r="K276" s="28" t="n"/>
    </row>
    <row r="277" ht="12.75" customHeight="1">
      <c r="A277" s="28" t="n"/>
      <c r="B277" s="28" t="n"/>
      <c r="C277" s="28" t="n"/>
      <c r="D277" s="28" t="n"/>
      <c r="E277" s="28" t="n"/>
      <c r="F277" s="28" t="n"/>
      <c r="G277" s="28" t="n"/>
      <c r="H277" s="28" t="n"/>
      <c r="I277" s="28" t="n"/>
      <c r="J277" s="28" t="n"/>
      <c r="K277" s="28" t="n"/>
    </row>
    <row r="278" ht="12.75" customHeight="1">
      <c r="A278" s="28" t="n"/>
      <c r="B278" s="28" t="n"/>
      <c r="C278" s="28" t="n"/>
      <c r="D278" s="28" t="n"/>
      <c r="E278" s="28" t="n"/>
      <c r="F278" s="28" t="n"/>
      <c r="G278" s="28" t="n"/>
      <c r="H278" s="28" t="n"/>
      <c r="I278" s="28" t="n"/>
      <c r="J278" s="28" t="n"/>
      <c r="K278" s="28" t="n"/>
    </row>
    <row r="279" ht="12.75" customHeight="1">
      <c r="A279" s="28" t="n"/>
      <c r="B279" s="28" t="n"/>
      <c r="C279" s="28" t="n"/>
      <c r="D279" s="28" t="n"/>
      <c r="E279" s="28" t="n"/>
      <c r="F279" s="28" t="n"/>
      <c r="G279" s="28" t="n"/>
      <c r="H279" s="28" t="n"/>
      <c r="I279" s="28" t="n"/>
      <c r="J279" s="28" t="n"/>
      <c r="K279" s="28" t="n"/>
    </row>
    <row r="280" ht="12.75" customHeight="1">
      <c r="A280" s="28" t="n"/>
      <c r="B280" s="28" t="n"/>
      <c r="C280" s="28" t="n"/>
      <c r="D280" s="28" t="n"/>
      <c r="E280" s="28" t="n"/>
      <c r="F280" s="28" t="n"/>
      <c r="G280" s="28" t="n"/>
      <c r="H280" s="28" t="n"/>
      <c r="I280" s="28" t="n"/>
      <c r="J280" s="28" t="n"/>
      <c r="K280" s="28" t="n"/>
    </row>
    <row r="281" ht="12.75" customHeight="1">
      <c r="A281" s="28" t="n"/>
      <c r="B281" s="28" t="n"/>
      <c r="C281" s="28" t="n"/>
      <c r="D281" s="28" t="n"/>
      <c r="E281" s="28" t="n"/>
      <c r="F281" s="28" t="n"/>
      <c r="G281" s="28" t="n"/>
      <c r="H281" s="28" t="n"/>
      <c r="I281" s="28" t="n"/>
      <c r="J281" s="28" t="n"/>
      <c r="K281" s="28" t="n"/>
    </row>
    <row r="282" ht="12.75" customHeight="1">
      <c r="A282" s="28" t="n"/>
      <c r="B282" s="28" t="n"/>
      <c r="C282" s="28" t="n"/>
      <c r="D282" s="28" t="n"/>
      <c r="E282" s="28" t="n"/>
      <c r="F282" s="28" t="n"/>
      <c r="G282" s="28" t="n"/>
      <c r="H282" s="28" t="n"/>
      <c r="I282" s="28" t="n"/>
      <c r="J282" s="28" t="n"/>
      <c r="K282" s="28" t="n"/>
    </row>
    <row r="283" ht="12.75" customHeight="1">
      <c r="A283" s="28" t="n"/>
      <c r="B283" s="28" t="n"/>
      <c r="C283" s="28" t="n"/>
      <c r="D283" s="28" t="n"/>
      <c r="E283" s="28" t="n"/>
      <c r="F283" s="28" t="n"/>
      <c r="G283" s="28" t="n"/>
      <c r="H283" s="28" t="n"/>
      <c r="I283" s="28" t="n"/>
      <c r="J283" s="28" t="n"/>
      <c r="K283" s="28" t="n"/>
    </row>
    <row r="284" ht="12.75" customHeight="1">
      <c r="A284" s="28" t="n"/>
      <c r="B284" s="28" t="n"/>
      <c r="C284" s="28" t="n"/>
      <c r="D284" s="28" t="n"/>
      <c r="E284" s="28" t="n"/>
      <c r="F284" s="28" t="n"/>
      <c r="G284" s="28" t="n"/>
      <c r="H284" s="28" t="n"/>
      <c r="I284" s="28" t="n"/>
      <c r="J284" s="28" t="n"/>
      <c r="K284" s="28" t="n"/>
    </row>
    <row r="285" ht="12.75" customHeight="1">
      <c r="A285" s="28" t="n"/>
      <c r="B285" s="28" t="n"/>
      <c r="C285" s="28" t="n"/>
      <c r="D285" s="28" t="n"/>
      <c r="E285" s="28" t="n"/>
      <c r="F285" s="28" t="n"/>
      <c r="G285" s="28" t="n"/>
      <c r="H285" s="28" t="n"/>
      <c r="I285" s="28" t="n"/>
      <c r="J285" s="28" t="n"/>
      <c r="K285" s="28" t="n"/>
    </row>
    <row r="286" ht="12.75" customHeight="1">
      <c r="A286" s="28" t="n"/>
      <c r="B286" s="28" t="n"/>
      <c r="C286" s="28" t="n"/>
      <c r="D286" s="28" t="n"/>
      <c r="E286" s="28" t="n"/>
      <c r="F286" s="28" t="n"/>
      <c r="G286" s="28" t="n"/>
      <c r="H286" s="28" t="n"/>
      <c r="I286" s="28" t="n"/>
      <c r="J286" s="28" t="n"/>
      <c r="K286" s="28" t="n"/>
    </row>
    <row r="287" ht="12.75" customHeight="1">
      <c r="A287" s="28" t="n"/>
      <c r="B287" s="28" t="n"/>
      <c r="C287" s="28" t="n"/>
      <c r="D287" s="28" t="n"/>
      <c r="E287" s="28" t="n"/>
      <c r="F287" s="28" t="n"/>
      <c r="G287" s="28" t="n"/>
      <c r="H287" s="28" t="n"/>
      <c r="I287" s="28" t="n"/>
      <c r="J287" s="28" t="n"/>
      <c r="K287" s="28" t="n"/>
    </row>
    <row r="288" ht="12.75" customHeight="1">
      <c r="A288" s="28" t="n"/>
      <c r="B288" s="28" t="n"/>
      <c r="C288" s="28" t="n"/>
      <c r="D288" s="28" t="n"/>
      <c r="E288" s="28" t="n"/>
      <c r="F288" s="28" t="n"/>
      <c r="G288" s="28" t="n"/>
      <c r="H288" s="28" t="n"/>
      <c r="I288" s="28" t="n"/>
      <c r="J288" s="28" t="n"/>
      <c r="K288" s="28" t="n"/>
    </row>
    <row r="289" ht="12.75" customHeight="1">
      <c r="A289" s="28" t="n"/>
      <c r="B289" s="28" t="n"/>
      <c r="C289" s="28" t="n"/>
      <c r="D289" s="28" t="n"/>
      <c r="E289" s="28" t="n"/>
      <c r="F289" s="28" t="n"/>
      <c r="G289" s="28" t="n"/>
      <c r="H289" s="28" t="n"/>
      <c r="I289" s="28" t="n"/>
      <c r="J289" s="28" t="n"/>
      <c r="K289" s="28" t="n"/>
    </row>
    <row r="290" ht="12.75" customHeight="1">
      <c r="A290" s="28" t="n"/>
      <c r="B290" s="28" t="n"/>
      <c r="C290" s="28" t="n"/>
      <c r="D290" s="28" t="n"/>
      <c r="E290" s="28" t="n"/>
      <c r="F290" s="28" t="n"/>
      <c r="G290" s="28" t="n"/>
      <c r="H290" s="28" t="n"/>
      <c r="I290" s="28" t="n"/>
      <c r="J290" s="28" t="n"/>
      <c r="K290" s="28" t="n"/>
    </row>
    <row r="291" ht="12.75" customHeight="1">
      <c r="A291" s="28" t="n"/>
      <c r="B291" s="28" t="n"/>
      <c r="C291" s="28" t="n"/>
      <c r="D291" s="28" t="n"/>
      <c r="E291" s="28" t="n"/>
      <c r="F291" s="28" t="n"/>
      <c r="G291" s="28" t="n"/>
      <c r="H291" s="28" t="n"/>
      <c r="I291" s="28" t="n"/>
      <c r="J291" s="28" t="n"/>
      <c r="K291" s="28" t="n"/>
    </row>
    <row r="292" ht="12.75" customHeight="1">
      <c r="A292" s="28" t="n"/>
      <c r="B292" s="28" t="n"/>
      <c r="C292" s="28" t="n"/>
      <c r="D292" s="28" t="n"/>
      <c r="E292" s="28" t="n"/>
      <c r="F292" s="28" t="n"/>
      <c r="G292" s="28" t="n"/>
      <c r="H292" s="28" t="n"/>
      <c r="I292" s="28" t="n"/>
      <c r="J292" s="28" t="n"/>
      <c r="K292" s="28" t="n"/>
    </row>
    <row r="293" ht="12.75" customHeight="1">
      <c r="A293" s="28" t="n"/>
      <c r="B293" s="28" t="n"/>
      <c r="C293" s="28" t="n"/>
      <c r="D293" s="28" t="n"/>
      <c r="E293" s="28" t="n"/>
      <c r="F293" s="28" t="n"/>
      <c r="G293" s="28" t="n"/>
      <c r="H293" s="28" t="n"/>
      <c r="I293" s="28" t="n"/>
      <c r="J293" s="28" t="n"/>
      <c r="K293" s="28" t="n"/>
    </row>
    <row r="294" ht="12.75" customHeight="1">
      <c r="A294" s="28" t="n"/>
      <c r="B294" s="28" t="n"/>
      <c r="C294" s="28" t="n"/>
      <c r="D294" s="28" t="n"/>
      <c r="E294" s="28" t="n"/>
      <c r="F294" s="28" t="n"/>
      <c r="G294" s="28" t="n"/>
      <c r="H294" s="28" t="n"/>
      <c r="I294" s="28" t="n"/>
      <c r="J294" s="28" t="n"/>
      <c r="K294" s="28" t="n"/>
    </row>
    <row r="295" ht="12.75" customHeight="1">
      <c r="A295" s="28" t="n"/>
      <c r="B295" s="28" t="n"/>
      <c r="C295" s="28" t="n"/>
      <c r="D295" s="28" t="n"/>
      <c r="E295" s="28" t="n"/>
      <c r="F295" s="28" t="n"/>
      <c r="G295" s="28" t="n"/>
      <c r="H295" s="28" t="n"/>
      <c r="I295" s="28" t="n"/>
      <c r="J295" s="28" t="n"/>
      <c r="K295" s="28" t="n"/>
    </row>
    <row r="296" ht="12.75" customHeight="1">
      <c r="A296" s="28" t="n"/>
      <c r="B296" s="28" t="n"/>
      <c r="C296" s="28" t="n"/>
      <c r="D296" s="28" t="n"/>
      <c r="E296" s="28" t="n"/>
      <c r="F296" s="28" t="n"/>
      <c r="G296" s="28" t="n"/>
      <c r="H296" s="28" t="n"/>
      <c r="I296" s="28" t="n"/>
      <c r="J296" s="28" t="n"/>
      <c r="K296" s="28" t="n"/>
    </row>
    <row r="297" ht="12.75" customHeight="1">
      <c r="A297" s="28" t="n"/>
      <c r="B297" s="28" t="n"/>
      <c r="C297" s="28" t="n"/>
      <c r="D297" s="28" t="n"/>
      <c r="E297" s="28" t="n"/>
      <c r="F297" s="28" t="n"/>
      <c r="G297" s="28" t="n"/>
      <c r="H297" s="28" t="n"/>
      <c r="I297" s="28" t="n"/>
      <c r="J297" s="28" t="n"/>
      <c r="K297" s="28" t="n"/>
    </row>
    <row r="298" ht="12.75" customHeight="1">
      <c r="A298" s="28" t="n"/>
      <c r="B298" s="28" t="n"/>
      <c r="C298" s="28" t="n"/>
      <c r="D298" s="28" t="n"/>
      <c r="E298" s="28" t="n"/>
      <c r="F298" s="28" t="n"/>
      <c r="G298" s="28" t="n"/>
      <c r="H298" s="28" t="n"/>
      <c r="I298" s="28" t="n"/>
      <c r="J298" s="28" t="n"/>
      <c r="K298" s="28" t="n"/>
    </row>
    <row r="299" ht="12.75" customHeight="1">
      <c r="A299" s="28" t="n"/>
      <c r="B299" s="28" t="n"/>
      <c r="C299" s="28" t="n"/>
      <c r="D299" s="28" t="n"/>
      <c r="E299" s="28" t="n"/>
      <c r="F299" s="28" t="n"/>
      <c r="G299" s="28" t="n"/>
      <c r="H299" s="28" t="n"/>
      <c r="I299" s="28" t="n"/>
      <c r="J299" s="28" t="n"/>
      <c r="K299" s="28" t="n"/>
    </row>
    <row r="300" ht="12.75" customHeight="1">
      <c r="A300" s="28" t="n"/>
      <c r="B300" s="28" t="n"/>
      <c r="C300" s="28" t="n"/>
      <c r="D300" s="28" t="n"/>
      <c r="E300" s="28" t="n"/>
      <c r="F300" s="28" t="n"/>
      <c r="G300" s="28" t="n"/>
      <c r="H300" s="28" t="n"/>
      <c r="I300" s="28" t="n"/>
      <c r="J300" s="28" t="n"/>
      <c r="K300" s="28" t="n"/>
    </row>
    <row r="301" ht="12.75" customHeight="1">
      <c r="A301" s="28" t="n"/>
      <c r="B301" s="28" t="n"/>
      <c r="C301" s="28" t="n"/>
      <c r="D301" s="28" t="n"/>
      <c r="E301" s="28" t="n"/>
      <c r="F301" s="28" t="n"/>
      <c r="G301" s="28" t="n"/>
      <c r="H301" s="28" t="n"/>
      <c r="I301" s="28" t="n"/>
      <c r="J301" s="28" t="n"/>
      <c r="K301" s="28" t="n"/>
    </row>
    <row r="302" ht="12.75" customHeight="1">
      <c r="A302" s="28" t="n"/>
      <c r="B302" s="28" t="n"/>
      <c r="C302" s="28" t="n"/>
      <c r="D302" s="28" t="n"/>
      <c r="E302" s="28" t="n"/>
      <c r="F302" s="28" t="n"/>
      <c r="G302" s="28" t="n"/>
      <c r="H302" s="28" t="n"/>
      <c r="I302" s="28" t="n"/>
      <c r="J302" s="28" t="n"/>
      <c r="K302" s="28" t="n"/>
    </row>
    <row r="303" ht="12.75" customHeight="1">
      <c r="A303" s="28" t="n"/>
      <c r="B303" s="28" t="n"/>
      <c r="C303" s="28" t="n"/>
      <c r="D303" s="28" t="n"/>
      <c r="E303" s="28" t="n"/>
      <c r="F303" s="28" t="n"/>
      <c r="G303" s="28" t="n"/>
      <c r="H303" s="28" t="n"/>
      <c r="I303" s="28" t="n"/>
      <c r="J303" s="28" t="n"/>
      <c r="K303" s="28" t="n"/>
    </row>
    <row r="304" ht="12.75" customHeight="1">
      <c r="A304" s="28" t="n"/>
      <c r="B304" s="28" t="n"/>
      <c r="C304" s="28" t="n"/>
      <c r="D304" s="28" t="n"/>
      <c r="E304" s="28" t="n"/>
      <c r="F304" s="28" t="n"/>
      <c r="G304" s="28" t="n"/>
      <c r="H304" s="28" t="n"/>
      <c r="I304" s="28" t="n"/>
      <c r="J304" s="28" t="n"/>
      <c r="K304" s="28" t="n"/>
    </row>
    <row r="305" ht="12.75" customHeight="1">
      <c r="A305" s="28" t="n"/>
      <c r="B305" s="28" t="n"/>
      <c r="C305" s="28" t="n"/>
      <c r="D305" s="28" t="n"/>
      <c r="E305" s="28" t="n"/>
      <c r="F305" s="28" t="n"/>
      <c r="G305" s="28" t="n"/>
      <c r="H305" s="28" t="n"/>
      <c r="I305" s="28" t="n"/>
      <c r="J305" s="28" t="n"/>
      <c r="K305" s="28" t="n"/>
    </row>
    <row r="306" ht="12.75" customHeight="1">
      <c r="A306" s="28" t="n"/>
      <c r="B306" s="28" t="n"/>
      <c r="C306" s="28" t="n"/>
      <c r="D306" s="28" t="n"/>
      <c r="E306" s="28" t="n"/>
      <c r="F306" s="28" t="n"/>
      <c r="G306" s="28" t="n"/>
      <c r="H306" s="28" t="n"/>
      <c r="I306" s="28" t="n"/>
      <c r="J306" s="28" t="n"/>
      <c r="K306" s="28" t="n"/>
    </row>
    <row r="307" ht="12.75" customHeight="1">
      <c r="A307" s="28" t="n"/>
      <c r="B307" s="28" t="n"/>
      <c r="C307" s="28" t="n"/>
      <c r="D307" s="28" t="n"/>
      <c r="E307" s="28" t="n"/>
      <c r="F307" s="28" t="n"/>
      <c r="G307" s="28" t="n"/>
      <c r="H307" s="28" t="n"/>
      <c r="I307" s="28" t="n"/>
      <c r="J307" s="28" t="n"/>
      <c r="K307" s="28" t="n"/>
    </row>
    <row r="308" ht="12.75" customHeight="1">
      <c r="A308" s="28" t="n"/>
      <c r="B308" s="28" t="n"/>
      <c r="C308" s="28" t="n"/>
      <c r="D308" s="28" t="n"/>
      <c r="E308" s="28" t="n"/>
      <c r="F308" s="28" t="n"/>
      <c r="G308" s="28" t="n"/>
      <c r="H308" s="28" t="n"/>
      <c r="I308" s="28" t="n"/>
      <c r="J308" s="28" t="n"/>
      <c r="K308" s="28" t="n"/>
    </row>
    <row r="309" ht="12.75" customHeight="1">
      <c r="A309" s="28" t="n"/>
      <c r="B309" s="28" t="n"/>
      <c r="C309" s="28" t="n"/>
      <c r="D309" s="28" t="n"/>
      <c r="E309" s="28" t="n"/>
      <c r="F309" s="28" t="n"/>
      <c r="G309" s="28" t="n"/>
      <c r="H309" s="28" t="n"/>
      <c r="I309" s="28" t="n"/>
      <c r="J309" s="28" t="n"/>
      <c r="K309" s="28" t="n"/>
    </row>
    <row r="310" ht="12.75" customHeight="1">
      <c r="A310" s="28" t="n"/>
      <c r="B310" s="28" t="n"/>
      <c r="C310" s="28" t="n"/>
      <c r="D310" s="28" t="n"/>
      <c r="E310" s="28" t="n"/>
      <c r="F310" s="28" t="n"/>
      <c r="G310" s="28" t="n"/>
      <c r="H310" s="28" t="n"/>
      <c r="I310" s="28" t="n"/>
      <c r="J310" s="28" t="n"/>
      <c r="K310" s="28" t="n"/>
    </row>
    <row r="311" ht="12.75" customHeight="1">
      <c r="A311" s="28" t="n"/>
      <c r="B311" s="28" t="n"/>
      <c r="C311" s="28" t="n"/>
      <c r="D311" s="28" t="n"/>
      <c r="E311" s="28" t="n"/>
      <c r="F311" s="28" t="n"/>
      <c r="G311" s="28" t="n"/>
      <c r="H311" s="28" t="n"/>
      <c r="I311" s="28" t="n"/>
      <c r="J311" s="28" t="n"/>
      <c r="K311" s="28" t="n"/>
    </row>
    <row r="312" ht="12.75" customHeight="1">
      <c r="A312" s="28" t="n"/>
      <c r="B312" s="28" t="n"/>
      <c r="C312" s="28" t="n"/>
      <c r="D312" s="28" t="n"/>
      <c r="E312" s="28" t="n"/>
      <c r="F312" s="28" t="n"/>
      <c r="G312" s="28" t="n"/>
      <c r="H312" s="28" t="n"/>
      <c r="I312" s="28" t="n"/>
      <c r="J312" s="28" t="n"/>
      <c r="K312" s="28" t="n"/>
    </row>
    <row r="313" ht="12.75" customHeight="1">
      <c r="A313" s="28" t="n"/>
      <c r="B313" s="28" t="n"/>
      <c r="C313" s="28" t="n"/>
      <c r="D313" s="28" t="n"/>
      <c r="E313" s="28" t="n"/>
      <c r="F313" s="28" t="n"/>
      <c r="G313" s="28" t="n"/>
      <c r="H313" s="28" t="n"/>
      <c r="I313" s="28" t="n"/>
      <c r="J313" s="28" t="n"/>
      <c r="K313" s="28" t="n"/>
    </row>
    <row r="314" ht="12.75" customHeight="1">
      <c r="A314" s="28" t="n"/>
      <c r="B314" s="28" t="n"/>
      <c r="C314" s="28" t="n"/>
      <c r="D314" s="28" t="n"/>
      <c r="E314" s="28" t="n"/>
      <c r="F314" s="28" t="n"/>
      <c r="G314" s="28" t="n"/>
      <c r="H314" s="28" t="n"/>
      <c r="I314" s="28" t="n"/>
      <c r="J314" s="28" t="n"/>
      <c r="K314" s="28" t="n"/>
    </row>
    <row r="315" ht="12.75" customHeight="1">
      <c r="A315" s="28" t="n"/>
      <c r="B315" s="28" t="n"/>
      <c r="C315" s="28" t="n"/>
      <c r="D315" s="28" t="n"/>
      <c r="E315" s="28" t="n"/>
      <c r="F315" s="28" t="n"/>
      <c r="G315" s="28" t="n"/>
      <c r="H315" s="28" t="n"/>
      <c r="I315" s="28" t="n"/>
      <c r="J315" s="28" t="n"/>
      <c r="K315" s="28" t="n"/>
    </row>
    <row r="316" ht="12.75" customHeight="1">
      <c r="A316" s="28" t="n"/>
      <c r="B316" s="28" t="n"/>
      <c r="C316" s="28" t="n"/>
      <c r="D316" s="28" t="n"/>
      <c r="E316" s="28" t="n"/>
      <c r="F316" s="28" t="n"/>
      <c r="G316" s="28" t="n"/>
      <c r="H316" s="28" t="n"/>
      <c r="I316" s="28" t="n"/>
      <c r="J316" s="28" t="n"/>
      <c r="K316" s="28" t="n"/>
    </row>
    <row r="317" ht="12.75" customHeight="1">
      <c r="A317" s="28" t="n"/>
      <c r="B317" s="28" t="n"/>
      <c r="C317" s="28" t="n"/>
      <c r="D317" s="28" t="n"/>
      <c r="E317" s="28" t="n"/>
      <c r="F317" s="28" t="n"/>
      <c r="G317" s="28" t="n"/>
      <c r="H317" s="28" t="n"/>
      <c r="I317" s="28" t="n"/>
      <c r="J317" s="28" t="n"/>
      <c r="K317" s="28" t="n"/>
    </row>
    <row r="318" ht="12.75" customHeight="1">
      <c r="A318" s="28" t="n"/>
      <c r="B318" s="28" t="n"/>
      <c r="C318" s="28" t="n"/>
      <c r="D318" s="28" t="n"/>
      <c r="E318" s="28" t="n"/>
      <c r="F318" s="28" t="n"/>
      <c r="G318" s="28" t="n"/>
      <c r="H318" s="28" t="n"/>
      <c r="I318" s="28" t="n"/>
      <c r="J318" s="28" t="n"/>
      <c r="K318" s="28" t="n"/>
    </row>
    <row r="319" ht="12.75" customHeight="1">
      <c r="A319" s="28" t="n"/>
      <c r="B319" s="28" t="n"/>
      <c r="C319" s="28" t="n"/>
      <c r="D319" s="28" t="n"/>
      <c r="E319" s="28" t="n"/>
      <c r="F319" s="28" t="n"/>
      <c r="G319" s="28" t="n"/>
      <c r="H319" s="28" t="n"/>
      <c r="I319" s="28" t="n"/>
      <c r="J319" s="28" t="n"/>
      <c r="K319" s="28" t="n"/>
    </row>
    <row r="320" ht="12.75" customHeight="1">
      <c r="A320" s="28" t="n"/>
      <c r="B320" s="28" t="n"/>
      <c r="C320" s="28" t="n"/>
      <c r="D320" s="28" t="n"/>
      <c r="E320" s="28" t="n"/>
      <c r="F320" s="28" t="n"/>
      <c r="G320" s="28" t="n"/>
      <c r="H320" s="28" t="n"/>
      <c r="I320" s="28" t="n"/>
      <c r="J320" s="28" t="n"/>
      <c r="K320" s="28" t="n"/>
    </row>
    <row r="321" ht="12.75" customHeight="1">
      <c r="A321" s="28" t="n"/>
      <c r="B321" s="28" t="n"/>
      <c r="C321" s="28" t="n"/>
      <c r="D321" s="28" t="n"/>
      <c r="E321" s="28" t="n"/>
      <c r="F321" s="28" t="n"/>
      <c r="G321" s="28" t="n"/>
      <c r="H321" s="28" t="n"/>
      <c r="I321" s="28" t="n"/>
      <c r="J321" s="28" t="n"/>
      <c r="K321" s="28" t="n"/>
    </row>
    <row r="322" ht="12.75" customHeight="1">
      <c r="A322" s="28" t="n"/>
      <c r="B322" s="28" t="n"/>
      <c r="C322" s="28" t="n"/>
      <c r="D322" s="28" t="n"/>
      <c r="E322" s="28" t="n"/>
      <c r="F322" s="28" t="n"/>
      <c r="G322" s="28" t="n"/>
      <c r="H322" s="28" t="n"/>
      <c r="I322" s="28" t="n"/>
      <c r="J322" s="28" t="n"/>
      <c r="K322" s="28" t="n"/>
    </row>
    <row r="323" ht="12.75" customHeight="1">
      <c r="A323" s="28" t="n"/>
      <c r="B323" s="28" t="n"/>
      <c r="C323" s="28" t="n"/>
      <c r="D323" s="28" t="n"/>
      <c r="E323" s="28" t="n"/>
      <c r="F323" s="28" t="n"/>
      <c r="G323" s="28" t="n"/>
      <c r="H323" s="28" t="n"/>
      <c r="I323" s="28" t="n"/>
      <c r="J323" s="28" t="n"/>
      <c r="K323" s="28" t="n"/>
    </row>
    <row r="324" ht="12.75" customHeight="1">
      <c r="A324" s="28" t="n"/>
      <c r="B324" s="28" t="n"/>
      <c r="C324" s="28" t="n"/>
      <c r="D324" s="28" t="n"/>
      <c r="E324" s="28" t="n"/>
      <c r="F324" s="28" t="n"/>
      <c r="G324" s="28" t="n"/>
      <c r="H324" s="28" t="n"/>
      <c r="I324" s="28" t="n"/>
      <c r="J324" s="28" t="n"/>
      <c r="K324" s="28" t="n"/>
    </row>
    <row r="325" ht="12.75" customHeight="1">
      <c r="A325" s="28" t="n"/>
      <c r="B325" s="28" t="n"/>
      <c r="C325" s="28" t="n"/>
      <c r="D325" s="28" t="n"/>
      <c r="E325" s="28" t="n"/>
      <c r="F325" s="28" t="n"/>
      <c r="G325" s="28" t="n"/>
      <c r="H325" s="28" t="n"/>
      <c r="I325" s="28" t="n"/>
      <c r="J325" s="28" t="n"/>
      <c r="K325" s="28" t="n"/>
    </row>
    <row r="326" ht="12.75" customHeight="1">
      <c r="A326" s="28" t="n"/>
      <c r="B326" s="28" t="n"/>
      <c r="C326" s="28" t="n"/>
      <c r="D326" s="28" t="n"/>
      <c r="E326" s="28" t="n"/>
      <c r="F326" s="28" t="n"/>
      <c r="G326" s="28" t="n"/>
      <c r="H326" s="28" t="n"/>
      <c r="I326" s="28" t="n"/>
      <c r="J326" s="28" t="n"/>
      <c r="K326" s="28" t="n"/>
    </row>
    <row r="327" ht="12.75" customHeight="1">
      <c r="A327" s="28" t="n"/>
      <c r="B327" s="28" t="n"/>
      <c r="C327" s="28" t="n"/>
      <c r="D327" s="28" t="n"/>
      <c r="E327" s="28" t="n"/>
      <c r="F327" s="28" t="n"/>
      <c r="G327" s="28" t="n"/>
      <c r="H327" s="28" t="n"/>
      <c r="I327" s="28" t="n"/>
      <c r="J327" s="28" t="n"/>
      <c r="K327" s="28" t="n"/>
    </row>
    <row r="328" ht="12.75" customHeight="1">
      <c r="A328" s="28" t="n"/>
      <c r="B328" s="28" t="n"/>
      <c r="C328" s="28" t="n"/>
      <c r="D328" s="28" t="n"/>
      <c r="E328" s="28" t="n"/>
      <c r="F328" s="28" t="n"/>
      <c r="G328" s="28" t="n"/>
      <c r="H328" s="28" t="n"/>
      <c r="I328" s="28" t="n"/>
      <c r="J328" s="28" t="n"/>
      <c r="K328" s="28" t="n"/>
    </row>
    <row r="329" ht="12.75" customHeight="1">
      <c r="A329" s="28" t="n"/>
      <c r="B329" s="28" t="n"/>
      <c r="C329" s="28" t="n"/>
      <c r="D329" s="28" t="n"/>
      <c r="E329" s="28" t="n"/>
      <c r="F329" s="28" t="n"/>
      <c r="G329" s="28" t="n"/>
      <c r="H329" s="28" t="n"/>
      <c r="I329" s="28" t="n"/>
      <c r="J329" s="28" t="n"/>
      <c r="K329" s="28" t="n"/>
    </row>
    <row r="330" ht="12.75" customHeight="1">
      <c r="A330" s="28" t="n"/>
      <c r="B330" s="28" t="n"/>
      <c r="C330" s="28" t="n"/>
      <c r="D330" s="28" t="n"/>
      <c r="E330" s="28" t="n"/>
      <c r="F330" s="28" t="n"/>
      <c r="G330" s="28" t="n"/>
      <c r="H330" s="28" t="n"/>
      <c r="I330" s="28" t="n"/>
      <c r="J330" s="28" t="n"/>
      <c r="K330" s="28" t="n"/>
    </row>
    <row r="331" ht="12.75" customHeight="1">
      <c r="A331" s="28" t="n"/>
      <c r="B331" s="28" t="n"/>
      <c r="C331" s="28" t="n"/>
      <c r="D331" s="28" t="n"/>
      <c r="E331" s="28" t="n"/>
      <c r="F331" s="28" t="n"/>
      <c r="G331" s="28" t="n"/>
      <c r="H331" s="28" t="n"/>
      <c r="I331" s="28" t="n"/>
      <c r="J331" s="28" t="n"/>
      <c r="K331" s="28" t="n"/>
    </row>
    <row r="332" ht="12.75" customHeight="1">
      <c r="A332" s="28" t="n"/>
      <c r="B332" s="28" t="n"/>
      <c r="C332" s="28" t="n"/>
      <c r="D332" s="28" t="n"/>
      <c r="E332" s="28" t="n"/>
      <c r="F332" s="28" t="n"/>
      <c r="G332" s="28" t="n"/>
      <c r="H332" s="28" t="n"/>
      <c r="I332" s="28" t="n"/>
      <c r="J332" s="28" t="n"/>
      <c r="K332" s="28" t="n"/>
    </row>
    <row r="333" ht="12.75" customHeight="1">
      <c r="A333" s="28" t="n"/>
      <c r="B333" s="28" t="n"/>
      <c r="C333" s="28" t="n"/>
      <c r="D333" s="28" t="n"/>
      <c r="E333" s="28" t="n"/>
      <c r="F333" s="28" t="n"/>
      <c r="G333" s="28" t="n"/>
      <c r="H333" s="28" t="n"/>
      <c r="I333" s="28" t="n"/>
      <c r="J333" s="28" t="n"/>
      <c r="K333" s="28" t="n"/>
    </row>
    <row r="334" ht="12.75" customHeight="1">
      <c r="A334" s="28" t="n"/>
      <c r="B334" s="28" t="n"/>
      <c r="C334" s="28" t="n"/>
      <c r="D334" s="28" t="n"/>
      <c r="E334" s="28" t="n"/>
      <c r="F334" s="28" t="n"/>
      <c r="G334" s="28" t="n"/>
      <c r="H334" s="28" t="n"/>
      <c r="I334" s="28" t="n"/>
      <c r="J334" s="28" t="n"/>
      <c r="K334" s="28" t="n"/>
    </row>
    <row r="335" ht="12.75" customHeight="1">
      <c r="A335" s="28" t="n"/>
      <c r="B335" s="28" t="n"/>
      <c r="C335" s="28" t="n"/>
      <c r="D335" s="28" t="n"/>
      <c r="E335" s="28" t="n"/>
      <c r="F335" s="28" t="n"/>
      <c r="G335" s="28" t="n"/>
      <c r="H335" s="28" t="n"/>
      <c r="I335" s="28" t="n"/>
      <c r="J335" s="28" t="n"/>
      <c r="K335" s="28" t="n"/>
    </row>
    <row r="336" ht="12.75" customHeight="1">
      <c r="A336" s="28" t="n"/>
      <c r="B336" s="28" t="n"/>
      <c r="C336" s="28" t="n"/>
      <c r="D336" s="28" t="n"/>
      <c r="E336" s="28" t="n"/>
      <c r="F336" s="28" t="n"/>
      <c r="G336" s="28" t="n"/>
      <c r="H336" s="28" t="n"/>
      <c r="I336" s="28" t="n"/>
      <c r="J336" s="28" t="n"/>
      <c r="K336" s="28" t="n"/>
    </row>
    <row r="337" ht="12.75" customHeight="1">
      <c r="A337" s="28" t="n"/>
      <c r="B337" s="28" t="n"/>
      <c r="C337" s="28" t="n"/>
      <c r="D337" s="28" t="n"/>
      <c r="E337" s="28" t="n"/>
      <c r="F337" s="28" t="n"/>
      <c r="G337" s="28" t="n"/>
      <c r="H337" s="28" t="n"/>
      <c r="I337" s="28" t="n"/>
      <c r="J337" s="28" t="n"/>
      <c r="K337" s="28" t="n"/>
    </row>
    <row r="338" ht="12.75" customHeight="1">
      <c r="A338" s="28" t="n"/>
      <c r="B338" s="28" t="n"/>
      <c r="C338" s="28" t="n"/>
      <c r="D338" s="28" t="n"/>
      <c r="E338" s="28" t="n"/>
      <c r="F338" s="28" t="n"/>
      <c r="G338" s="28" t="n"/>
      <c r="H338" s="28" t="n"/>
      <c r="I338" s="28" t="n"/>
      <c r="J338" s="28" t="n"/>
      <c r="K338" s="28" t="n"/>
    </row>
    <row r="339" ht="12.75" customHeight="1">
      <c r="A339" s="28" t="n"/>
      <c r="B339" s="28" t="n"/>
      <c r="C339" s="28" t="n"/>
      <c r="D339" s="28" t="n"/>
      <c r="E339" s="28" t="n"/>
      <c r="F339" s="28" t="n"/>
      <c r="G339" s="28" t="n"/>
      <c r="H339" s="28" t="n"/>
      <c r="I339" s="28" t="n"/>
      <c r="J339" s="28" t="n"/>
      <c r="K339" s="28" t="n"/>
    </row>
    <row r="340" ht="12.75" customHeight="1">
      <c r="A340" s="28" t="n"/>
      <c r="B340" s="28" t="n"/>
      <c r="C340" s="28" t="n"/>
      <c r="D340" s="28" t="n"/>
      <c r="E340" s="28" t="n"/>
      <c r="F340" s="28" t="n"/>
      <c r="G340" s="28" t="n"/>
      <c r="H340" s="28" t="n"/>
      <c r="I340" s="28" t="n"/>
      <c r="J340" s="28" t="n"/>
      <c r="K340" s="28" t="n"/>
    </row>
    <row r="341" ht="12.75" customHeight="1">
      <c r="A341" s="28" t="n"/>
      <c r="B341" s="28" t="n"/>
      <c r="C341" s="28" t="n"/>
      <c r="D341" s="28" t="n"/>
      <c r="E341" s="28" t="n"/>
      <c r="F341" s="28" t="n"/>
      <c r="G341" s="28" t="n"/>
      <c r="H341" s="28" t="n"/>
      <c r="I341" s="28" t="n"/>
      <c r="J341" s="28" t="n"/>
      <c r="K341" s="28" t="n"/>
    </row>
    <row r="342" ht="12.75" customHeight="1">
      <c r="A342" s="28" t="n"/>
      <c r="B342" s="28" t="n"/>
      <c r="C342" s="28" t="n"/>
      <c r="D342" s="28" t="n"/>
      <c r="E342" s="28" t="n"/>
      <c r="F342" s="28" t="n"/>
      <c r="G342" s="28" t="n"/>
      <c r="H342" s="28" t="n"/>
      <c r="I342" s="28" t="n"/>
      <c r="J342" s="28" t="n"/>
      <c r="K342" s="28" t="n"/>
    </row>
    <row r="343" ht="12.75" customHeight="1">
      <c r="A343" s="28" t="n"/>
      <c r="B343" s="28" t="n"/>
      <c r="C343" s="28" t="n"/>
      <c r="D343" s="28" t="n"/>
      <c r="E343" s="28" t="n"/>
      <c r="F343" s="28" t="n"/>
      <c r="G343" s="28" t="n"/>
      <c r="H343" s="28" t="n"/>
      <c r="I343" s="28" t="n"/>
      <c r="J343" s="28" t="n"/>
      <c r="K343" s="28" t="n"/>
    </row>
    <row r="344" ht="12.75" customHeight="1">
      <c r="A344" s="28" t="n"/>
      <c r="B344" s="28" t="n"/>
      <c r="C344" s="28" t="n"/>
      <c r="D344" s="28" t="n"/>
      <c r="E344" s="28" t="n"/>
      <c r="F344" s="28" t="n"/>
      <c r="G344" s="28" t="n"/>
      <c r="H344" s="28" t="n"/>
      <c r="I344" s="28" t="n"/>
      <c r="J344" s="28" t="n"/>
      <c r="K344" s="28" t="n"/>
    </row>
    <row r="345" ht="12.75" customHeight="1">
      <c r="A345" s="28" t="n"/>
      <c r="B345" s="28" t="n"/>
      <c r="C345" s="28" t="n"/>
      <c r="D345" s="28" t="n"/>
      <c r="E345" s="28" t="n"/>
      <c r="F345" s="28" t="n"/>
      <c r="G345" s="28" t="n"/>
      <c r="H345" s="28" t="n"/>
      <c r="I345" s="28" t="n"/>
      <c r="J345" s="28" t="n"/>
      <c r="K345" s="28" t="n"/>
    </row>
    <row r="346" ht="12.75" customHeight="1">
      <c r="A346" s="28" t="n"/>
      <c r="B346" s="28" t="n"/>
      <c r="C346" s="28" t="n"/>
      <c r="D346" s="28" t="n"/>
      <c r="E346" s="28" t="n"/>
      <c r="F346" s="28" t="n"/>
      <c r="G346" s="28" t="n"/>
      <c r="H346" s="28" t="n"/>
      <c r="I346" s="28" t="n"/>
      <c r="J346" s="28" t="n"/>
      <c r="K346" s="28" t="n"/>
    </row>
    <row r="347" ht="12.75" customHeight="1">
      <c r="A347" s="28" t="n"/>
      <c r="B347" s="28" t="n"/>
      <c r="C347" s="28" t="n"/>
      <c r="D347" s="28" t="n"/>
      <c r="E347" s="28" t="n"/>
      <c r="F347" s="28" t="n"/>
      <c r="G347" s="28" t="n"/>
      <c r="H347" s="28" t="n"/>
      <c r="I347" s="28" t="n"/>
      <c r="J347" s="28" t="n"/>
      <c r="K347" s="28" t="n"/>
    </row>
    <row r="348" ht="12.75" customHeight="1">
      <c r="A348" s="28" t="n"/>
      <c r="B348" s="28" t="n"/>
      <c r="C348" s="28" t="n"/>
      <c r="D348" s="28" t="n"/>
      <c r="E348" s="28" t="n"/>
      <c r="F348" s="28" t="n"/>
      <c r="G348" s="28" t="n"/>
      <c r="H348" s="28" t="n"/>
      <c r="I348" s="28" t="n"/>
      <c r="J348" s="28" t="n"/>
      <c r="K348" s="28" t="n"/>
    </row>
    <row r="349" ht="12.75" customHeight="1">
      <c r="A349" s="28" t="n"/>
      <c r="B349" s="28" t="n"/>
      <c r="C349" s="28" t="n"/>
      <c r="D349" s="28" t="n"/>
      <c r="E349" s="28" t="n"/>
      <c r="F349" s="28" t="n"/>
      <c r="G349" s="28" t="n"/>
      <c r="H349" s="28" t="n"/>
      <c r="I349" s="28" t="n"/>
      <c r="J349" s="28" t="n"/>
      <c r="K349" s="28" t="n"/>
    </row>
    <row r="350" ht="12.75" customHeight="1">
      <c r="A350" s="28" t="n"/>
      <c r="B350" s="28" t="n"/>
      <c r="C350" s="28" t="n"/>
      <c r="D350" s="28" t="n"/>
      <c r="E350" s="28" t="n"/>
      <c r="F350" s="28" t="n"/>
      <c r="G350" s="28" t="n"/>
      <c r="H350" s="28" t="n"/>
      <c r="I350" s="28" t="n"/>
      <c r="J350" s="28" t="n"/>
      <c r="K350" s="28" t="n"/>
    </row>
    <row r="351" ht="12.75" customHeight="1">
      <c r="A351" s="28" t="n"/>
      <c r="B351" s="28" t="n"/>
      <c r="C351" s="28" t="n"/>
      <c r="D351" s="28" t="n"/>
      <c r="E351" s="28" t="n"/>
      <c r="F351" s="28" t="n"/>
      <c r="G351" s="28" t="n"/>
      <c r="H351" s="28" t="n"/>
      <c r="I351" s="28" t="n"/>
      <c r="J351" s="28" t="n"/>
      <c r="K351" s="28" t="n"/>
    </row>
    <row r="352" ht="12.75" customHeight="1">
      <c r="A352" s="28" t="n"/>
      <c r="B352" s="28" t="n"/>
      <c r="C352" s="28" t="n"/>
      <c r="D352" s="28" t="n"/>
      <c r="E352" s="28" t="n"/>
      <c r="F352" s="28" t="n"/>
      <c r="G352" s="28" t="n"/>
      <c r="H352" s="28" t="n"/>
      <c r="I352" s="28" t="n"/>
      <c r="J352" s="28" t="n"/>
      <c r="K352" s="28" t="n"/>
    </row>
    <row r="353" ht="12.75" customHeight="1">
      <c r="A353" s="28" t="n"/>
      <c r="B353" s="28" t="n"/>
      <c r="C353" s="28" t="n"/>
      <c r="D353" s="28" t="n"/>
      <c r="E353" s="28" t="n"/>
      <c r="F353" s="28" t="n"/>
      <c r="G353" s="28" t="n"/>
      <c r="H353" s="28" t="n"/>
      <c r="I353" s="28" t="n"/>
      <c r="J353" s="28" t="n"/>
      <c r="K353" s="28" t="n"/>
    </row>
    <row r="354" ht="12.75" customHeight="1">
      <c r="A354" s="28" t="n"/>
      <c r="B354" s="28" t="n"/>
      <c r="C354" s="28" t="n"/>
      <c r="D354" s="28" t="n"/>
      <c r="E354" s="28" t="n"/>
      <c r="F354" s="28" t="n"/>
      <c r="G354" s="28" t="n"/>
      <c r="H354" s="28" t="n"/>
      <c r="I354" s="28" t="n"/>
      <c r="J354" s="28" t="n"/>
      <c r="K354" s="28" t="n"/>
    </row>
    <row r="355" ht="12.75" customHeight="1">
      <c r="A355" s="28" t="n"/>
      <c r="B355" s="28" t="n"/>
      <c r="C355" s="28" t="n"/>
      <c r="D355" s="28" t="n"/>
      <c r="E355" s="28" t="n"/>
      <c r="F355" s="28" t="n"/>
      <c r="G355" s="28" t="n"/>
      <c r="H355" s="28" t="n"/>
      <c r="I355" s="28" t="n"/>
      <c r="J355" s="28" t="n"/>
      <c r="K355" s="28" t="n"/>
    </row>
    <row r="356" ht="12.75" customHeight="1">
      <c r="A356" s="28" t="n"/>
      <c r="B356" s="28" t="n"/>
      <c r="C356" s="28" t="n"/>
      <c r="D356" s="28" t="n"/>
      <c r="E356" s="28" t="n"/>
      <c r="F356" s="28" t="n"/>
      <c r="G356" s="28" t="n"/>
      <c r="H356" s="28" t="n"/>
      <c r="I356" s="28" t="n"/>
      <c r="J356" s="28" t="n"/>
      <c r="K356" s="28" t="n"/>
    </row>
    <row r="357" ht="12.75" customHeight="1">
      <c r="A357" s="28" t="n"/>
      <c r="B357" s="28" t="n"/>
      <c r="C357" s="28" t="n"/>
      <c r="D357" s="28" t="n"/>
      <c r="E357" s="28" t="n"/>
      <c r="F357" s="28" t="n"/>
      <c r="G357" s="28" t="n"/>
      <c r="H357" s="28" t="n"/>
      <c r="I357" s="28" t="n"/>
      <c r="J357" s="28" t="n"/>
      <c r="K357" s="28" t="n"/>
    </row>
    <row r="358" ht="12.75" customHeight="1">
      <c r="A358" s="28" t="n"/>
      <c r="B358" s="28" t="n"/>
      <c r="C358" s="28" t="n"/>
      <c r="D358" s="28" t="n"/>
      <c r="E358" s="28" t="n"/>
      <c r="F358" s="28" t="n"/>
      <c r="G358" s="28" t="n"/>
      <c r="H358" s="28" t="n"/>
      <c r="I358" s="28" t="n"/>
      <c r="J358" s="28" t="n"/>
      <c r="K358" s="28" t="n"/>
    </row>
    <row r="359" ht="12.75" customHeight="1">
      <c r="A359" s="28" t="n"/>
      <c r="B359" s="28" t="n"/>
      <c r="C359" s="28" t="n"/>
      <c r="D359" s="28" t="n"/>
      <c r="E359" s="28" t="n"/>
      <c r="F359" s="28" t="n"/>
      <c r="G359" s="28" t="n"/>
      <c r="H359" s="28" t="n"/>
      <c r="I359" s="28" t="n"/>
      <c r="J359" s="28" t="n"/>
      <c r="K359" s="28" t="n"/>
    </row>
    <row r="360" ht="12.75" customHeight="1">
      <c r="A360" s="28" t="n"/>
      <c r="B360" s="28" t="n"/>
      <c r="C360" s="28" t="n"/>
      <c r="D360" s="28" t="n"/>
      <c r="E360" s="28" t="n"/>
      <c r="F360" s="28" t="n"/>
      <c r="G360" s="28" t="n"/>
      <c r="H360" s="28" t="n"/>
      <c r="I360" s="28" t="n"/>
      <c r="J360" s="28" t="n"/>
      <c r="K360" s="28" t="n"/>
    </row>
    <row r="361" ht="12.75" customHeight="1">
      <c r="A361" s="28" t="n"/>
      <c r="B361" s="28" t="n"/>
      <c r="C361" s="28" t="n"/>
      <c r="D361" s="28" t="n"/>
      <c r="E361" s="28" t="n"/>
      <c r="F361" s="28" t="n"/>
      <c r="G361" s="28" t="n"/>
      <c r="H361" s="28" t="n"/>
      <c r="I361" s="28" t="n"/>
      <c r="J361" s="28" t="n"/>
      <c r="K361" s="28" t="n"/>
    </row>
    <row r="362" ht="12.75" customHeight="1">
      <c r="A362" s="28" t="n"/>
      <c r="B362" s="28" t="n"/>
      <c r="C362" s="28" t="n"/>
      <c r="D362" s="28" t="n"/>
      <c r="E362" s="28" t="n"/>
      <c r="F362" s="28" t="n"/>
      <c r="G362" s="28" t="n"/>
      <c r="H362" s="28" t="n"/>
      <c r="I362" s="28" t="n"/>
      <c r="J362" s="28" t="n"/>
      <c r="K362" s="28" t="n"/>
    </row>
    <row r="363" ht="12.75" customHeight="1">
      <c r="A363" s="28" t="n"/>
      <c r="B363" s="28" t="n"/>
      <c r="C363" s="28" t="n"/>
      <c r="D363" s="28" t="n"/>
      <c r="E363" s="28" t="n"/>
      <c r="F363" s="28" t="n"/>
      <c r="G363" s="28" t="n"/>
      <c r="H363" s="28" t="n"/>
      <c r="I363" s="28" t="n"/>
      <c r="J363" s="28" t="n"/>
      <c r="K363" s="28" t="n"/>
    </row>
    <row r="364" ht="12.75" customHeight="1">
      <c r="A364" s="28" t="n"/>
      <c r="B364" s="28" t="n"/>
      <c r="C364" s="28" t="n"/>
      <c r="D364" s="28" t="n"/>
      <c r="E364" s="28" t="n"/>
      <c r="F364" s="28" t="n"/>
      <c r="G364" s="28" t="n"/>
      <c r="H364" s="28" t="n"/>
      <c r="I364" s="28" t="n"/>
      <c r="J364" s="28" t="n"/>
      <c r="K364" s="28" t="n"/>
    </row>
    <row r="365" ht="12.75" customHeight="1">
      <c r="A365" s="28" t="n"/>
      <c r="B365" s="28" t="n"/>
      <c r="C365" s="28" t="n"/>
      <c r="D365" s="28" t="n"/>
      <c r="E365" s="28" t="n"/>
      <c r="F365" s="28" t="n"/>
      <c r="G365" s="28" t="n"/>
      <c r="H365" s="28" t="n"/>
      <c r="I365" s="28" t="n"/>
      <c r="J365" s="28" t="n"/>
      <c r="K365" s="28" t="n"/>
    </row>
    <row r="366" ht="12.75" customHeight="1">
      <c r="A366" s="28" t="n"/>
      <c r="B366" s="28" t="n"/>
      <c r="C366" s="28" t="n"/>
      <c r="D366" s="28" t="n"/>
      <c r="E366" s="28" t="n"/>
      <c r="F366" s="28" t="n"/>
      <c r="G366" s="28" t="n"/>
      <c r="H366" s="28" t="n"/>
      <c r="I366" s="28" t="n"/>
      <c r="J366" s="28" t="n"/>
      <c r="K366" s="28" t="n"/>
    </row>
    <row r="367" ht="12.75" customHeight="1">
      <c r="A367" s="28" t="n"/>
      <c r="B367" s="28" t="n"/>
      <c r="C367" s="28" t="n"/>
      <c r="D367" s="28" t="n"/>
      <c r="E367" s="28" t="n"/>
      <c r="F367" s="28" t="n"/>
      <c r="G367" s="28" t="n"/>
      <c r="H367" s="28" t="n"/>
      <c r="I367" s="28" t="n"/>
      <c r="J367" s="28" t="n"/>
      <c r="K367" s="28" t="n"/>
    </row>
    <row r="368" ht="12.75" customHeight="1">
      <c r="A368" s="28" t="n"/>
      <c r="B368" s="28" t="n"/>
      <c r="C368" s="28" t="n"/>
      <c r="D368" s="28" t="n"/>
      <c r="E368" s="28" t="n"/>
      <c r="F368" s="28" t="n"/>
      <c r="G368" s="28" t="n"/>
      <c r="H368" s="28" t="n"/>
      <c r="I368" s="28" t="n"/>
      <c r="J368" s="28" t="n"/>
      <c r="K368" s="28" t="n"/>
    </row>
    <row r="369" ht="12.75" customHeight="1">
      <c r="A369" s="28" t="n"/>
      <c r="B369" s="28" t="n"/>
      <c r="C369" s="28" t="n"/>
      <c r="D369" s="28" t="n"/>
      <c r="E369" s="28" t="n"/>
      <c r="F369" s="28" t="n"/>
      <c r="G369" s="28" t="n"/>
      <c r="H369" s="28" t="n"/>
      <c r="I369" s="28" t="n"/>
      <c r="J369" s="28" t="n"/>
      <c r="K369" s="28" t="n"/>
    </row>
    <row r="370" ht="12.75" customHeight="1">
      <c r="A370" s="28" t="n"/>
      <c r="B370" s="28" t="n"/>
      <c r="C370" s="28" t="n"/>
      <c r="D370" s="28" t="n"/>
      <c r="E370" s="28" t="n"/>
      <c r="F370" s="28" t="n"/>
      <c r="G370" s="28" t="n"/>
      <c r="H370" s="28" t="n"/>
      <c r="I370" s="28" t="n"/>
      <c r="J370" s="28" t="n"/>
      <c r="K370" s="28" t="n"/>
    </row>
    <row r="371" ht="12.75" customHeight="1">
      <c r="A371" s="28" t="n"/>
      <c r="B371" s="28" t="n"/>
      <c r="C371" s="28" t="n"/>
      <c r="D371" s="28" t="n"/>
      <c r="E371" s="28" t="n"/>
      <c r="F371" s="28" t="n"/>
      <c r="G371" s="28" t="n"/>
      <c r="H371" s="28" t="n"/>
      <c r="I371" s="28" t="n"/>
      <c r="J371" s="28" t="n"/>
      <c r="K371" s="28" t="n"/>
    </row>
    <row r="372" ht="12.75" customHeight="1">
      <c r="A372" s="28" t="n"/>
      <c r="B372" s="28" t="n"/>
      <c r="C372" s="28" t="n"/>
      <c r="D372" s="28" t="n"/>
      <c r="E372" s="28" t="n"/>
      <c r="F372" s="28" t="n"/>
      <c r="G372" s="28" t="n"/>
      <c r="H372" s="28" t="n"/>
      <c r="I372" s="28" t="n"/>
      <c r="J372" s="28" t="n"/>
      <c r="K372" s="28" t="n"/>
    </row>
    <row r="373" ht="12.75" customHeight="1">
      <c r="A373" s="28" t="n"/>
      <c r="B373" s="28" t="n"/>
      <c r="C373" s="28" t="n"/>
      <c r="D373" s="28" t="n"/>
      <c r="E373" s="28" t="n"/>
      <c r="F373" s="28" t="n"/>
      <c r="G373" s="28" t="n"/>
      <c r="H373" s="28" t="n"/>
      <c r="I373" s="28" t="n"/>
      <c r="J373" s="28" t="n"/>
      <c r="K373" s="28" t="n"/>
    </row>
    <row r="374" ht="12.75" customHeight="1">
      <c r="A374" s="28" t="n"/>
      <c r="B374" s="28" t="n"/>
      <c r="C374" s="28" t="n"/>
      <c r="D374" s="28" t="n"/>
      <c r="E374" s="28" t="n"/>
      <c r="F374" s="28" t="n"/>
      <c r="G374" s="28" t="n"/>
      <c r="H374" s="28" t="n"/>
      <c r="I374" s="28" t="n"/>
      <c r="J374" s="28" t="n"/>
      <c r="K374" s="28" t="n"/>
    </row>
    <row r="375" ht="12.75" customHeight="1">
      <c r="A375" s="28" t="n"/>
      <c r="B375" s="28" t="n"/>
      <c r="C375" s="28" t="n"/>
      <c r="D375" s="28" t="n"/>
      <c r="E375" s="28" t="n"/>
      <c r="F375" s="28" t="n"/>
      <c r="G375" s="28" t="n"/>
      <c r="H375" s="28" t="n"/>
      <c r="I375" s="28" t="n"/>
      <c r="J375" s="28" t="n"/>
      <c r="K375" s="28" t="n"/>
    </row>
    <row r="376" ht="12.75" customHeight="1">
      <c r="A376" s="28" t="n"/>
      <c r="B376" s="28" t="n"/>
      <c r="C376" s="28" t="n"/>
      <c r="D376" s="28" t="n"/>
      <c r="E376" s="28" t="n"/>
      <c r="F376" s="28" t="n"/>
      <c r="G376" s="28" t="n"/>
      <c r="H376" s="28" t="n"/>
      <c r="I376" s="28" t="n"/>
      <c r="J376" s="28" t="n"/>
      <c r="K376" s="28" t="n"/>
    </row>
    <row r="377" ht="12.75" customHeight="1">
      <c r="A377" s="28" t="n"/>
      <c r="B377" s="28" t="n"/>
      <c r="C377" s="28" t="n"/>
      <c r="D377" s="28" t="n"/>
      <c r="E377" s="28" t="n"/>
      <c r="F377" s="28" t="n"/>
      <c r="G377" s="28" t="n"/>
      <c r="H377" s="28" t="n"/>
      <c r="I377" s="28" t="n"/>
      <c r="J377" s="28" t="n"/>
      <c r="K377" s="28" t="n"/>
    </row>
    <row r="378" ht="12.75" customHeight="1">
      <c r="A378" s="28" t="n"/>
      <c r="B378" s="28" t="n"/>
      <c r="C378" s="28" t="n"/>
      <c r="D378" s="28" t="n"/>
      <c r="E378" s="28" t="n"/>
      <c r="F378" s="28" t="n"/>
      <c r="G378" s="28" t="n"/>
      <c r="H378" s="28" t="n"/>
      <c r="I378" s="28" t="n"/>
      <c r="J378" s="28" t="n"/>
      <c r="K378" s="28" t="n"/>
    </row>
    <row r="379" ht="12.75" customHeight="1">
      <c r="A379" s="28" t="n"/>
      <c r="B379" s="28" t="n"/>
      <c r="C379" s="28" t="n"/>
      <c r="D379" s="28" t="n"/>
      <c r="E379" s="28" t="n"/>
      <c r="F379" s="28" t="n"/>
      <c r="G379" s="28" t="n"/>
      <c r="H379" s="28" t="n"/>
      <c r="I379" s="28" t="n"/>
      <c r="J379" s="28" t="n"/>
      <c r="K379" s="28" t="n"/>
    </row>
    <row r="380" ht="12.75" customHeight="1">
      <c r="A380" s="28" t="n"/>
      <c r="B380" s="28" t="n"/>
      <c r="C380" s="28" t="n"/>
      <c r="D380" s="28" t="n"/>
      <c r="E380" s="28" t="n"/>
      <c r="F380" s="28" t="n"/>
      <c r="G380" s="28" t="n"/>
      <c r="H380" s="28" t="n"/>
      <c r="I380" s="28" t="n"/>
      <c r="J380" s="28" t="n"/>
      <c r="K380" s="28" t="n"/>
    </row>
    <row r="381" ht="12.75" customHeight="1">
      <c r="A381" s="28" t="n"/>
      <c r="B381" s="28" t="n"/>
      <c r="C381" s="28" t="n"/>
      <c r="D381" s="28" t="n"/>
      <c r="E381" s="28" t="n"/>
      <c r="F381" s="28" t="n"/>
      <c r="G381" s="28" t="n"/>
      <c r="H381" s="28" t="n"/>
      <c r="I381" s="28" t="n"/>
      <c r="J381" s="28" t="n"/>
      <c r="K381" s="28" t="n"/>
    </row>
    <row r="382" ht="12.75" customHeight="1">
      <c r="A382" s="28" t="n"/>
      <c r="B382" s="28" t="n"/>
      <c r="C382" s="28" t="n"/>
      <c r="D382" s="28" t="n"/>
      <c r="E382" s="28" t="n"/>
      <c r="F382" s="28" t="n"/>
      <c r="G382" s="28" t="n"/>
      <c r="H382" s="28" t="n"/>
      <c r="I382" s="28" t="n"/>
      <c r="J382" s="28" t="n"/>
      <c r="K382" s="28" t="n"/>
    </row>
    <row r="383" ht="12.75" customHeight="1">
      <c r="A383" s="28" t="n"/>
      <c r="B383" s="28" t="n"/>
      <c r="C383" s="28" t="n"/>
      <c r="D383" s="28" t="n"/>
      <c r="E383" s="28" t="n"/>
      <c r="F383" s="28" t="n"/>
      <c r="G383" s="28" t="n"/>
      <c r="H383" s="28" t="n"/>
      <c r="I383" s="28" t="n"/>
      <c r="J383" s="28" t="n"/>
      <c r="K383" s="28" t="n"/>
    </row>
    <row r="384" ht="12.75" customHeight="1">
      <c r="A384" s="28" t="n"/>
      <c r="B384" s="28" t="n"/>
      <c r="C384" s="28" t="n"/>
      <c r="D384" s="28" t="n"/>
      <c r="E384" s="28" t="n"/>
      <c r="F384" s="28" t="n"/>
      <c r="G384" s="28" t="n"/>
      <c r="H384" s="28" t="n"/>
      <c r="I384" s="28" t="n"/>
      <c r="J384" s="28" t="n"/>
      <c r="K384" s="28" t="n"/>
    </row>
    <row r="385" ht="12.75" customHeight="1">
      <c r="A385" s="28" t="n"/>
      <c r="B385" s="28" t="n"/>
      <c r="C385" s="28" t="n"/>
      <c r="D385" s="28" t="n"/>
      <c r="E385" s="28" t="n"/>
      <c r="F385" s="28" t="n"/>
      <c r="G385" s="28" t="n"/>
      <c r="H385" s="28" t="n"/>
      <c r="I385" s="28" t="n"/>
      <c r="J385" s="28" t="n"/>
      <c r="K385" s="28" t="n"/>
    </row>
    <row r="386" ht="12.75" customHeight="1">
      <c r="A386" s="28" t="n"/>
      <c r="B386" s="28" t="n"/>
      <c r="C386" s="28" t="n"/>
      <c r="D386" s="28" t="n"/>
      <c r="E386" s="28" t="n"/>
      <c r="F386" s="28" t="n"/>
      <c r="G386" s="28" t="n"/>
      <c r="H386" s="28" t="n"/>
      <c r="I386" s="28" t="n"/>
      <c r="J386" s="28" t="n"/>
      <c r="K386" s="28" t="n"/>
    </row>
    <row r="387" ht="12.75" customHeight="1">
      <c r="A387" s="28" t="n"/>
      <c r="B387" s="28" t="n"/>
      <c r="C387" s="28" t="n"/>
      <c r="D387" s="28" t="n"/>
      <c r="E387" s="28" t="n"/>
      <c r="F387" s="28" t="n"/>
      <c r="G387" s="28" t="n"/>
      <c r="H387" s="28" t="n"/>
      <c r="I387" s="28" t="n"/>
      <c r="J387" s="28" t="n"/>
      <c r="K387" s="28" t="n"/>
    </row>
    <row r="388" ht="12.75" customHeight="1">
      <c r="A388" s="28" t="n"/>
      <c r="B388" s="28" t="n"/>
      <c r="C388" s="28" t="n"/>
      <c r="D388" s="28" t="n"/>
      <c r="E388" s="28" t="n"/>
      <c r="F388" s="28" t="n"/>
      <c r="G388" s="28" t="n"/>
      <c r="H388" s="28" t="n"/>
      <c r="I388" s="28" t="n"/>
      <c r="J388" s="28" t="n"/>
      <c r="K388" s="28" t="n"/>
    </row>
    <row r="389" ht="12.75" customHeight="1">
      <c r="A389" s="28" t="n"/>
      <c r="B389" s="28" t="n"/>
      <c r="C389" s="28" t="n"/>
      <c r="D389" s="28" t="n"/>
      <c r="E389" s="28" t="n"/>
      <c r="F389" s="28" t="n"/>
      <c r="G389" s="28" t="n"/>
      <c r="H389" s="28" t="n"/>
      <c r="I389" s="28" t="n"/>
      <c r="J389" s="28" t="n"/>
      <c r="K389" s="28" t="n"/>
    </row>
    <row r="390" ht="12.75" customHeight="1">
      <c r="A390" s="28" t="n"/>
      <c r="B390" s="28" t="n"/>
      <c r="C390" s="28" t="n"/>
      <c r="D390" s="28" t="n"/>
      <c r="E390" s="28" t="n"/>
      <c r="F390" s="28" t="n"/>
      <c r="G390" s="28" t="n"/>
      <c r="H390" s="28" t="n"/>
      <c r="I390" s="28" t="n"/>
      <c r="J390" s="28" t="n"/>
      <c r="K390" s="28" t="n"/>
    </row>
    <row r="391" ht="12.75" customHeight="1">
      <c r="A391" s="28" t="n"/>
      <c r="B391" s="28" t="n"/>
      <c r="C391" s="28" t="n"/>
      <c r="D391" s="28" t="n"/>
      <c r="E391" s="28" t="n"/>
      <c r="F391" s="28" t="n"/>
      <c r="G391" s="28" t="n"/>
      <c r="H391" s="28" t="n"/>
      <c r="I391" s="28" t="n"/>
      <c r="J391" s="28" t="n"/>
      <c r="K391" s="28" t="n"/>
    </row>
    <row r="392" ht="12.75" customHeight="1">
      <c r="A392" s="28" t="n"/>
      <c r="B392" s="28" t="n"/>
      <c r="C392" s="28" t="n"/>
      <c r="D392" s="28" t="n"/>
      <c r="E392" s="28" t="n"/>
      <c r="F392" s="28" t="n"/>
      <c r="G392" s="28" t="n"/>
      <c r="H392" s="28" t="n"/>
      <c r="I392" s="28" t="n"/>
      <c r="J392" s="28" t="n"/>
      <c r="K392" s="28" t="n"/>
    </row>
    <row r="393" ht="12.75" customHeight="1">
      <c r="A393" s="28" t="n"/>
      <c r="B393" s="28" t="n"/>
      <c r="C393" s="28" t="n"/>
      <c r="D393" s="28" t="n"/>
      <c r="E393" s="28" t="n"/>
      <c r="F393" s="28" t="n"/>
      <c r="G393" s="28" t="n"/>
      <c r="H393" s="28" t="n"/>
      <c r="I393" s="28" t="n"/>
      <c r="J393" s="28" t="n"/>
      <c r="K393" s="28" t="n"/>
    </row>
    <row r="394" ht="12.75" customHeight="1">
      <c r="A394" s="28" t="n"/>
      <c r="B394" s="28" t="n"/>
      <c r="C394" s="28" t="n"/>
      <c r="D394" s="28" t="n"/>
      <c r="E394" s="28" t="n"/>
      <c r="F394" s="28" t="n"/>
      <c r="G394" s="28" t="n"/>
      <c r="H394" s="28" t="n"/>
      <c r="I394" s="28" t="n"/>
      <c r="J394" s="28" t="n"/>
      <c r="K394" s="28" t="n"/>
    </row>
    <row r="395" ht="12.75" customHeight="1">
      <c r="A395" s="28" t="n"/>
      <c r="B395" s="28" t="n"/>
      <c r="C395" s="28" t="n"/>
      <c r="D395" s="28" t="n"/>
      <c r="E395" s="28" t="n"/>
      <c r="F395" s="28" t="n"/>
      <c r="G395" s="28" t="n"/>
      <c r="H395" s="28" t="n"/>
      <c r="I395" s="28" t="n"/>
      <c r="J395" s="28" t="n"/>
      <c r="K395" s="28" t="n"/>
    </row>
    <row r="396" ht="12.75" customHeight="1">
      <c r="A396" s="28" t="n"/>
      <c r="B396" s="28" t="n"/>
      <c r="C396" s="28" t="n"/>
      <c r="D396" s="28" t="n"/>
      <c r="E396" s="28" t="n"/>
      <c r="F396" s="28" t="n"/>
      <c r="G396" s="28" t="n"/>
      <c r="H396" s="28" t="n"/>
      <c r="I396" s="28" t="n"/>
      <c r="J396" s="28" t="n"/>
      <c r="K396" s="28" t="n"/>
    </row>
    <row r="397" ht="12.75" customHeight="1">
      <c r="A397" s="28" t="n"/>
      <c r="B397" s="28" t="n"/>
      <c r="C397" s="28" t="n"/>
      <c r="D397" s="28" t="n"/>
      <c r="E397" s="28" t="n"/>
      <c r="F397" s="28" t="n"/>
      <c r="G397" s="28" t="n"/>
      <c r="H397" s="28" t="n"/>
      <c r="I397" s="28" t="n"/>
      <c r="J397" s="28" t="n"/>
      <c r="K397" s="28" t="n"/>
    </row>
    <row r="398" ht="12.75" customHeight="1">
      <c r="A398" s="28" t="n"/>
      <c r="B398" s="28" t="n"/>
      <c r="C398" s="28" t="n"/>
      <c r="D398" s="28" t="n"/>
      <c r="E398" s="28" t="n"/>
      <c r="F398" s="28" t="n"/>
      <c r="G398" s="28" t="n"/>
      <c r="H398" s="28" t="n"/>
      <c r="I398" s="28" t="n"/>
      <c r="J398" s="28" t="n"/>
      <c r="K398" s="28" t="n"/>
    </row>
    <row r="399" ht="12.75" customHeight="1">
      <c r="A399" s="28" t="n"/>
      <c r="B399" s="28" t="n"/>
      <c r="C399" s="28" t="n"/>
      <c r="D399" s="28" t="n"/>
      <c r="E399" s="28" t="n"/>
      <c r="F399" s="28" t="n"/>
      <c r="G399" s="28" t="n"/>
      <c r="H399" s="28" t="n"/>
      <c r="I399" s="28" t="n"/>
      <c r="J399" s="28" t="n"/>
      <c r="K399" s="28" t="n"/>
    </row>
    <row r="400" ht="12.75" customHeight="1">
      <c r="A400" s="28" t="n"/>
      <c r="B400" s="28" t="n"/>
      <c r="C400" s="28" t="n"/>
      <c r="D400" s="28" t="n"/>
      <c r="E400" s="28" t="n"/>
      <c r="F400" s="28" t="n"/>
      <c r="G400" s="28" t="n"/>
      <c r="H400" s="28" t="n"/>
      <c r="I400" s="28" t="n"/>
      <c r="J400" s="28" t="n"/>
      <c r="K400" s="28" t="n"/>
    </row>
    <row r="401" ht="12.75" customHeight="1">
      <c r="A401" s="28" t="n"/>
      <c r="B401" s="28" t="n"/>
      <c r="C401" s="28" t="n"/>
      <c r="D401" s="28" t="n"/>
      <c r="E401" s="28" t="n"/>
      <c r="F401" s="28" t="n"/>
      <c r="G401" s="28" t="n"/>
      <c r="H401" s="28" t="n"/>
      <c r="I401" s="28" t="n"/>
      <c r="J401" s="28" t="n"/>
      <c r="K401" s="28" t="n"/>
    </row>
    <row r="402" ht="12.75" customHeight="1">
      <c r="A402" s="28" t="n"/>
      <c r="B402" s="28" t="n"/>
      <c r="C402" s="28" t="n"/>
      <c r="D402" s="28" t="n"/>
      <c r="E402" s="28" t="n"/>
      <c r="F402" s="28" t="n"/>
      <c r="G402" s="28" t="n"/>
      <c r="H402" s="28" t="n"/>
      <c r="I402" s="28" t="n"/>
      <c r="J402" s="28" t="n"/>
      <c r="K402" s="28" t="n"/>
    </row>
    <row r="403" ht="12.75" customHeight="1">
      <c r="A403" s="28" t="n"/>
      <c r="B403" s="28" t="n"/>
      <c r="C403" s="28" t="n"/>
      <c r="D403" s="28" t="n"/>
      <c r="E403" s="28" t="n"/>
      <c r="F403" s="28" t="n"/>
      <c r="G403" s="28" t="n"/>
      <c r="H403" s="28" t="n"/>
      <c r="I403" s="28" t="n"/>
      <c r="J403" s="28" t="n"/>
      <c r="K403" s="28" t="n"/>
    </row>
    <row r="404" ht="12.75" customHeight="1">
      <c r="A404" s="28" t="n"/>
      <c r="B404" s="28" t="n"/>
      <c r="C404" s="28" t="n"/>
      <c r="D404" s="28" t="n"/>
      <c r="E404" s="28" t="n"/>
      <c r="F404" s="28" t="n"/>
      <c r="G404" s="28" t="n"/>
      <c r="H404" s="28" t="n"/>
      <c r="I404" s="28" t="n"/>
      <c r="J404" s="28" t="n"/>
      <c r="K404" s="28" t="n"/>
    </row>
    <row r="405" ht="12.75" customHeight="1">
      <c r="A405" s="28" t="n"/>
      <c r="B405" s="28" t="n"/>
      <c r="C405" s="28" t="n"/>
      <c r="D405" s="28" t="n"/>
      <c r="E405" s="28" t="n"/>
      <c r="F405" s="28" t="n"/>
      <c r="G405" s="28" t="n"/>
      <c r="H405" s="28" t="n"/>
      <c r="I405" s="28" t="n"/>
      <c r="J405" s="28" t="n"/>
      <c r="K405" s="28" t="n"/>
    </row>
    <row r="406" ht="12.75" customHeight="1">
      <c r="A406" s="28" t="n"/>
      <c r="B406" s="28" t="n"/>
      <c r="C406" s="28" t="n"/>
      <c r="D406" s="28" t="n"/>
      <c r="E406" s="28" t="n"/>
      <c r="F406" s="28" t="n"/>
      <c r="G406" s="28" t="n"/>
      <c r="H406" s="28" t="n"/>
      <c r="I406" s="28" t="n"/>
      <c r="J406" s="28" t="n"/>
      <c r="K406" s="28" t="n"/>
    </row>
    <row r="407" ht="12.75" customHeight="1">
      <c r="A407" s="28" t="n"/>
      <c r="B407" s="28" t="n"/>
      <c r="C407" s="28" t="n"/>
      <c r="D407" s="28" t="n"/>
      <c r="E407" s="28" t="n"/>
      <c r="F407" s="28" t="n"/>
      <c r="G407" s="28" t="n"/>
      <c r="H407" s="28" t="n"/>
      <c r="I407" s="28" t="n"/>
      <c r="J407" s="28" t="n"/>
      <c r="K407" s="28" t="n"/>
    </row>
    <row r="408" ht="12.75" customHeight="1">
      <c r="A408" s="28" t="n"/>
      <c r="B408" s="28" t="n"/>
      <c r="C408" s="28" t="n"/>
      <c r="D408" s="28" t="n"/>
      <c r="E408" s="28" t="n"/>
      <c r="F408" s="28" t="n"/>
      <c r="G408" s="28" t="n"/>
      <c r="H408" s="28" t="n"/>
      <c r="I408" s="28" t="n"/>
      <c r="J408" s="28" t="n"/>
      <c r="K408" s="28" t="n"/>
    </row>
    <row r="409" ht="12.75" customHeight="1">
      <c r="A409" s="28" t="n"/>
      <c r="B409" s="28" t="n"/>
      <c r="C409" s="28" t="n"/>
      <c r="D409" s="28" t="n"/>
      <c r="E409" s="28" t="n"/>
      <c r="F409" s="28" t="n"/>
      <c r="G409" s="28" t="n"/>
      <c r="H409" s="28" t="n"/>
      <c r="I409" s="28" t="n"/>
      <c r="J409" s="28" t="n"/>
      <c r="K409" s="28" t="n"/>
    </row>
    <row r="410" ht="12.75" customHeight="1">
      <c r="A410" s="28" t="n"/>
      <c r="B410" s="28" t="n"/>
      <c r="C410" s="28" t="n"/>
      <c r="D410" s="28" t="n"/>
      <c r="E410" s="28" t="n"/>
      <c r="F410" s="28" t="n"/>
      <c r="G410" s="28" t="n"/>
      <c r="H410" s="28" t="n"/>
      <c r="I410" s="28" t="n"/>
      <c r="J410" s="28" t="n"/>
      <c r="K410" s="28" t="n"/>
    </row>
    <row r="411" ht="12.75" customHeight="1">
      <c r="A411" s="28" t="n"/>
      <c r="B411" s="28" t="n"/>
      <c r="C411" s="28" t="n"/>
      <c r="D411" s="28" t="n"/>
      <c r="E411" s="28" t="n"/>
      <c r="F411" s="28" t="n"/>
      <c r="G411" s="28" t="n"/>
      <c r="H411" s="28" t="n"/>
      <c r="I411" s="28" t="n"/>
      <c r="J411" s="28" t="n"/>
      <c r="K411" s="28" t="n"/>
    </row>
    <row r="412" ht="12.75" customHeight="1">
      <c r="A412" s="28" t="n"/>
      <c r="B412" s="28" t="n"/>
      <c r="C412" s="28" t="n"/>
      <c r="D412" s="28" t="n"/>
      <c r="E412" s="28" t="n"/>
      <c r="F412" s="28" t="n"/>
      <c r="G412" s="28" t="n"/>
      <c r="H412" s="28" t="n"/>
      <c r="I412" s="28" t="n"/>
      <c r="J412" s="28" t="n"/>
      <c r="K412" s="28" t="n"/>
    </row>
    <row r="413" ht="12.75" customHeight="1">
      <c r="A413" s="28" t="n"/>
      <c r="B413" s="28" t="n"/>
      <c r="C413" s="28" t="n"/>
      <c r="D413" s="28" t="n"/>
      <c r="E413" s="28" t="n"/>
      <c r="F413" s="28" t="n"/>
      <c r="G413" s="28" t="n"/>
      <c r="H413" s="28" t="n"/>
      <c r="I413" s="28" t="n"/>
      <c r="J413" s="28" t="n"/>
      <c r="K413" s="28" t="n"/>
    </row>
    <row r="414" ht="12.75" customHeight="1">
      <c r="A414" s="28" t="n"/>
      <c r="B414" s="28" t="n"/>
      <c r="C414" s="28" t="n"/>
      <c r="D414" s="28" t="n"/>
      <c r="E414" s="28" t="n"/>
      <c r="F414" s="28" t="n"/>
      <c r="G414" s="28" t="n"/>
      <c r="H414" s="28" t="n"/>
      <c r="I414" s="28" t="n"/>
      <c r="J414" s="28" t="n"/>
      <c r="K414" s="28" t="n"/>
    </row>
    <row r="415" ht="12.75" customHeight="1">
      <c r="A415" s="28" t="n"/>
      <c r="B415" s="28" t="n"/>
      <c r="C415" s="28" t="n"/>
      <c r="D415" s="28" t="n"/>
      <c r="E415" s="28" t="n"/>
      <c r="F415" s="28" t="n"/>
      <c r="G415" s="28" t="n"/>
      <c r="H415" s="28" t="n"/>
      <c r="I415" s="28" t="n"/>
      <c r="J415" s="28" t="n"/>
      <c r="K415" s="28" t="n"/>
    </row>
    <row r="416" ht="12.75" customHeight="1">
      <c r="A416" s="28" t="n"/>
      <c r="B416" s="28" t="n"/>
      <c r="C416" s="28" t="n"/>
      <c r="D416" s="28" t="n"/>
      <c r="E416" s="28" t="n"/>
      <c r="F416" s="28" t="n"/>
      <c r="G416" s="28" t="n"/>
      <c r="H416" s="28" t="n"/>
      <c r="I416" s="28" t="n"/>
      <c r="J416" s="28" t="n"/>
      <c r="K416" s="28" t="n"/>
    </row>
    <row r="417" ht="12.75" customHeight="1">
      <c r="A417" s="28" t="n"/>
      <c r="B417" s="28" t="n"/>
      <c r="C417" s="28" t="n"/>
      <c r="D417" s="28" t="n"/>
      <c r="E417" s="28" t="n"/>
      <c r="F417" s="28" t="n"/>
      <c r="G417" s="28" t="n"/>
      <c r="H417" s="28" t="n"/>
      <c r="I417" s="28" t="n"/>
      <c r="J417" s="28" t="n"/>
      <c r="K417" s="28" t="n"/>
    </row>
    <row r="418" ht="12.75" customHeight="1">
      <c r="A418" s="28" t="n"/>
      <c r="B418" s="28" t="n"/>
      <c r="C418" s="28" t="n"/>
      <c r="D418" s="28" t="n"/>
      <c r="E418" s="28" t="n"/>
      <c r="F418" s="28" t="n"/>
      <c r="G418" s="28" t="n"/>
      <c r="H418" s="28" t="n"/>
      <c r="I418" s="28" t="n"/>
      <c r="J418" s="28" t="n"/>
      <c r="K418" s="28" t="n"/>
    </row>
    <row r="419" ht="12.75" customHeight="1">
      <c r="A419" s="28" t="n"/>
      <c r="B419" s="28" t="n"/>
      <c r="C419" s="28" t="n"/>
      <c r="D419" s="28" t="n"/>
      <c r="E419" s="28" t="n"/>
      <c r="F419" s="28" t="n"/>
      <c r="G419" s="28" t="n"/>
      <c r="H419" s="28" t="n"/>
      <c r="I419" s="28" t="n"/>
      <c r="J419" s="28" t="n"/>
      <c r="K419" s="28" t="n"/>
    </row>
    <row r="420" ht="12.75" customHeight="1">
      <c r="A420" s="28" t="n"/>
      <c r="B420" s="28" t="n"/>
      <c r="C420" s="28" t="n"/>
      <c r="D420" s="28" t="n"/>
      <c r="E420" s="28" t="n"/>
      <c r="F420" s="28" t="n"/>
      <c r="G420" s="28" t="n"/>
      <c r="H420" s="28" t="n"/>
      <c r="I420" s="28" t="n"/>
      <c r="J420" s="28" t="n"/>
      <c r="K420" s="28" t="n"/>
    </row>
    <row r="421" ht="12.75" customHeight="1">
      <c r="A421" s="28" t="n"/>
      <c r="B421" s="28" t="n"/>
      <c r="C421" s="28" t="n"/>
      <c r="D421" s="28" t="n"/>
      <c r="E421" s="28" t="n"/>
      <c r="F421" s="28" t="n"/>
      <c r="G421" s="28" t="n"/>
      <c r="H421" s="28" t="n"/>
      <c r="I421" s="28" t="n"/>
      <c r="J421" s="28" t="n"/>
      <c r="K421" s="28" t="n"/>
    </row>
    <row r="422" ht="12.75" customHeight="1">
      <c r="A422" s="28" t="n"/>
      <c r="B422" s="28" t="n"/>
      <c r="C422" s="28" t="n"/>
      <c r="D422" s="28" t="n"/>
      <c r="E422" s="28" t="n"/>
      <c r="F422" s="28" t="n"/>
      <c r="G422" s="28" t="n"/>
      <c r="H422" s="28" t="n"/>
      <c r="I422" s="28" t="n"/>
      <c r="J422" s="28" t="n"/>
      <c r="K422" s="28" t="n"/>
    </row>
    <row r="423" ht="12.75" customHeight="1">
      <c r="A423" s="28" t="n"/>
      <c r="B423" s="28" t="n"/>
      <c r="C423" s="28" t="n"/>
      <c r="D423" s="28" t="n"/>
      <c r="E423" s="28" t="n"/>
      <c r="F423" s="28" t="n"/>
      <c r="G423" s="28" t="n"/>
      <c r="H423" s="28" t="n"/>
      <c r="I423" s="28" t="n"/>
      <c r="J423" s="28" t="n"/>
      <c r="K423" s="28" t="n"/>
    </row>
    <row r="424" ht="12.75" customHeight="1">
      <c r="A424" s="28" t="n"/>
      <c r="B424" s="28" t="n"/>
      <c r="C424" s="28" t="n"/>
      <c r="D424" s="28" t="n"/>
      <c r="E424" s="28" t="n"/>
      <c r="F424" s="28" t="n"/>
      <c r="G424" s="28" t="n"/>
      <c r="H424" s="28" t="n"/>
      <c r="I424" s="28" t="n"/>
      <c r="J424" s="28" t="n"/>
      <c r="K424" s="28" t="n"/>
    </row>
    <row r="425" ht="12.75" customHeight="1">
      <c r="A425" s="28" t="n"/>
      <c r="B425" s="28" t="n"/>
      <c r="C425" s="28" t="n"/>
      <c r="D425" s="28" t="n"/>
      <c r="E425" s="28" t="n"/>
      <c r="F425" s="28" t="n"/>
      <c r="G425" s="28" t="n"/>
      <c r="H425" s="28" t="n"/>
      <c r="I425" s="28" t="n"/>
      <c r="J425" s="28" t="n"/>
      <c r="K425" s="28" t="n"/>
    </row>
    <row r="426" ht="12.75" customHeight="1">
      <c r="A426" s="28" t="n"/>
      <c r="B426" s="28" t="n"/>
      <c r="C426" s="28" t="n"/>
      <c r="D426" s="28" t="n"/>
      <c r="E426" s="28" t="n"/>
      <c r="F426" s="28" t="n"/>
      <c r="G426" s="28" t="n"/>
      <c r="H426" s="28" t="n"/>
      <c r="I426" s="28" t="n"/>
      <c r="J426" s="28" t="n"/>
      <c r="K426" s="28" t="n"/>
    </row>
    <row r="427" ht="12.75" customHeight="1">
      <c r="A427" s="28" t="n"/>
      <c r="B427" s="28" t="n"/>
      <c r="C427" s="28" t="n"/>
      <c r="D427" s="28" t="n"/>
      <c r="E427" s="28" t="n"/>
      <c r="F427" s="28" t="n"/>
      <c r="G427" s="28" t="n"/>
      <c r="H427" s="28" t="n"/>
      <c r="I427" s="28" t="n"/>
      <c r="J427" s="28" t="n"/>
      <c r="K427" s="28" t="n"/>
    </row>
    <row r="428" ht="12.75" customHeight="1">
      <c r="A428" s="28" t="n"/>
      <c r="B428" s="28" t="n"/>
      <c r="C428" s="28" t="n"/>
      <c r="D428" s="28" t="n"/>
      <c r="E428" s="28" t="n"/>
      <c r="F428" s="28" t="n"/>
      <c r="G428" s="28" t="n"/>
      <c r="H428" s="28" t="n"/>
      <c r="I428" s="28" t="n"/>
      <c r="J428" s="28" t="n"/>
      <c r="K428" s="28" t="n"/>
    </row>
    <row r="429" ht="12.75" customHeight="1">
      <c r="A429" s="28" t="n"/>
      <c r="B429" s="28" t="n"/>
      <c r="C429" s="28" t="n"/>
      <c r="D429" s="28" t="n"/>
      <c r="E429" s="28" t="n"/>
      <c r="F429" s="28" t="n"/>
      <c r="G429" s="28" t="n"/>
      <c r="H429" s="28" t="n"/>
      <c r="I429" s="28" t="n"/>
      <c r="J429" s="28" t="n"/>
      <c r="K429" s="28" t="n"/>
    </row>
    <row r="430" ht="12.75" customHeight="1">
      <c r="A430" s="28" t="n"/>
      <c r="B430" s="28" t="n"/>
      <c r="C430" s="28" t="n"/>
      <c r="D430" s="28" t="n"/>
      <c r="E430" s="28" t="n"/>
      <c r="F430" s="28" t="n"/>
      <c r="G430" s="28" t="n"/>
      <c r="H430" s="28" t="n"/>
      <c r="I430" s="28" t="n"/>
      <c r="J430" s="28" t="n"/>
      <c r="K430" s="28" t="n"/>
    </row>
    <row r="431" ht="12.75" customHeight="1">
      <c r="A431" s="28" t="n"/>
      <c r="B431" s="28" t="n"/>
      <c r="C431" s="28" t="n"/>
      <c r="D431" s="28" t="n"/>
      <c r="E431" s="28" t="n"/>
      <c r="F431" s="28" t="n"/>
      <c r="G431" s="28" t="n"/>
      <c r="H431" s="28" t="n"/>
      <c r="I431" s="28" t="n"/>
      <c r="J431" s="28" t="n"/>
      <c r="K431" s="28" t="n"/>
    </row>
    <row r="432" ht="12.75" customHeight="1">
      <c r="A432" s="28" t="n"/>
      <c r="B432" s="28" t="n"/>
      <c r="C432" s="28" t="n"/>
      <c r="D432" s="28" t="n"/>
      <c r="E432" s="28" t="n"/>
      <c r="F432" s="28" t="n"/>
      <c r="G432" s="28" t="n"/>
      <c r="H432" s="28" t="n"/>
      <c r="I432" s="28" t="n"/>
      <c r="J432" s="28" t="n"/>
      <c r="K432" s="28" t="n"/>
    </row>
    <row r="433" ht="12.75" customHeight="1">
      <c r="A433" s="28" t="n"/>
      <c r="B433" s="28" t="n"/>
      <c r="C433" s="28" t="n"/>
      <c r="D433" s="28" t="n"/>
      <c r="E433" s="28" t="n"/>
      <c r="F433" s="28" t="n"/>
      <c r="G433" s="28" t="n"/>
      <c r="H433" s="28" t="n"/>
      <c r="I433" s="28" t="n"/>
      <c r="J433" s="28" t="n"/>
      <c r="K433" s="28" t="n"/>
    </row>
    <row r="434" ht="12.75" customHeight="1">
      <c r="A434" s="28" t="n"/>
      <c r="B434" s="28" t="n"/>
      <c r="C434" s="28" t="n"/>
      <c r="D434" s="28" t="n"/>
      <c r="E434" s="28" t="n"/>
      <c r="F434" s="28" t="n"/>
      <c r="G434" s="28" t="n"/>
      <c r="H434" s="28" t="n"/>
      <c r="I434" s="28" t="n"/>
      <c r="J434" s="28" t="n"/>
      <c r="K434" s="28" t="n"/>
    </row>
    <row r="435" ht="12.75" customHeight="1">
      <c r="A435" s="28" t="n"/>
      <c r="B435" s="28" t="n"/>
      <c r="C435" s="28" t="n"/>
      <c r="D435" s="28" t="n"/>
      <c r="E435" s="28" t="n"/>
      <c r="F435" s="28" t="n"/>
      <c r="G435" s="28" t="n"/>
      <c r="H435" s="28" t="n"/>
      <c r="I435" s="28" t="n"/>
      <c r="J435" s="28" t="n"/>
      <c r="K435" s="28" t="n"/>
    </row>
    <row r="436" ht="12.75" customHeight="1">
      <c r="A436" s="28" t="n"/>
      <c r="B436" s="28" t="n"/>
      <c r="C436" s="28" t="n"/>
      <c r="D436" s="28" t="n"/>
      <c r="E436" s="28" t="n"/>
      <c r="F436" s="28" t="n"/>
      <c r="G436" s="28" t="n"/>
      <c r="H436" s="28" t="n"/>
      <c r="I436" s="28" t="n"/>
      <c r="J436" s="28" t="n"/>
      <c r="K436" s="28" t="n"/>
    </row>
    <row r="437" ht="12.75" customHeight="1">
      <c r="A437" s="28" t="n"/>
      <c r="B437" s="28" t="n"/>
      <c r="C437" s="28" t="n"/>
      <c r="D437" s="28" t="n"/>
      <c r="E437" s="28" t="n"/>
      <c r="F437" s="28" t="n"/>
      <c r="G437" s="28" t="n"/>
      <c r="H437" s="28" t="n"/>
      <c r="I437" s="28" t="n"/>
      <c r="J437" s="28" t="n"/>
      <c r="K437" s="28" t="n"/>
    </row>
    <row r="438" ht="12.75" customHeight="1">
      <c r="A438" s="28" t="n"/>
      <c r="B438" s="28" t="n"/>
      <c r="C438" s="28" t="n"/>
      <c r="D438" s="28" t="n"/>
      <c r="E438" s="28" t="n"/>
      <c r="F438" s="28" t="n"/>
      <c r="G438" s="28" t="n"/>
      <c r="H438" s="28" t="n"/>
      <c r="I438" s="28" t="n"/>
      <c r="J438" s="28" t="n"/>
      <c r="K438" s="28" t="n"/>
    </row>
    <row r="439" ht="12.75" customHeight="1">
      <c r="A439" s="28" t="n"/>
      <c r="B439" s="28" t="n"/>
      <c r="C439" s="28" t="n"/>
      <c r="D439" s="28" t="n"/>
      <c r="E439" s="28" t="n"/>
      <c r="F439" s="28" t="n"/>
      <c r="G439" s="28" t="n"/>
      <c r="H439" s="28" t="n"/>
      <c r="I439" s="28" t="n"/>
      <c r="J439" s="28" t="n"/>
      <c r="K439" s="28" t="n"/>
    </row>
    <row r="440" ht="12.75" customHeight="1">
      <c r="A440" s="28" t="n"/>
      <c r="B440" s="28" t="n"/>
      <c r="C440" s="28" t="n"/>
      <c r="D440" s="28" t="n"/>
      <c r="E440" s="28" t="n"/>
      <c r="F440" s="28" t="n"/>
      <c r="G440" s="28" t="n"/>
      <c r="H440" s="28" t="n"/>
      <c r="I440" s="28" t="n"/>
      <c r="J440" s="28" t="n"/>
      <c r="K440" s="28" t="n"/>
    </row>
    <row r="441" ht="12.75" customHeight="1">
      <c r="A441" s="28" t="n"/>
      <c r="B441" s="28" t="n"/>
      <c r="C441" s="28" t="n"/>
      <c r="D441" s="28" t="n"/>
      <c r="E441" s="28" t="n"/>
      <c r="F441" s="28" t="n"/>
      <c r="G441" s="28" t="n"/>
      <c r="H441" s="28" t="n"/>
      <c r="I441" s="28" t="n"/>
      <c r="J441" s="28" t="n"/>
      <c r="K441" s="28" t="n"/>
    </row>
    <row r="442" ht="12.75" customHeight="1">
      <c r="A442" s="28" t="n"/>
      <c r="B442" s="28" t="n"/>
      <c r="C442" s="28" t="n"/>
      <c r="D442" s="28" t="n"/>
      <c r="E442" s="28" t="n"/>
      <c r="F442" s="28" t="n"/>
      <c r="G442" s="28" t="n"/>
      <c r="H442" s="28" t="n"/>
      <c r="I442" s="28" t="n"/>
      <c r="J442" s="28" t="n"/>
      <c r="K442" s="28" t="n"/>
    </row>
    <row r="443" ht="12.75" customHeight="1">
      <c r="A443" s="28" t="n"/>
      <c r="B443" s="28" t="n"/>
      <c r="C443" s="28" t="n"/>
      <c r="D443" s="28" t="n"/>
      <c r="E443" s="28" t="n"/>
      <c r="F443" s="28" t="n"/>
      <c r="G443" s="28" t="n"/>
      <c r="H443" s="28" t="n"/>
      <c r="I443" s="28" t="n"/>
      <c r="J443" s="28" t="n"/>
      <c r="K443" s="28" t="n"/>
    </row>
    <row r="444" ht="12.75" customHeight="1">
      <c r="A444" s="28" t="n"/>
      <c r="B444" s="28" t="n"/>
      <c r="C444" s="28" t="n"/>
      <c r="D444" s="28" t="n"/>
      <c r="E444" s="28" t="n"/>
      <c r="F444" s="28" t="n"/>
      <c r="G444" s="28" t="n"/>
      <c r="H444" s="28" t="n"/>
      <c r="I444" s="28" t="n"/>
      <c r="J444" s="28" t="n"/>
      <c r="K444" s="28" t="n"/>
    </row>
    <row r="445" ht="12.75" customHeight="1">
      <c r="A445" s="28" t="n"/>
      <c r="B445" s="28" t="n"/>
      <c r="C445" s="28" t="n"/>
      <c r="D445" s="28" t="n"/>
      <c r="E445" s="28" t="n"/>
      <c r="F445" s="28" t="n"/>
      <c r="G445" s="28" t="n"/>
      <c r="H445" s="28" t="n"/>
      <c r="I445" s="28" t="n"/>
      <c r="J445" s="28" t="n"/>
      <c r="K445" s="28" t="n"/>
    </row>
    <row r="446" ht="12.75" customHeight="1">
      <c r="A446" s="28" t="n"/>
      <c r="B446" s="28" t="n"/>
      <c r="C446" s="28" t="n"/>
      <c r="D446" s="28" t="n"/>
      <c r="E446" s="28" t="n"/>
      <c r="F446" s="28" t="n"/>
      <c r="G446" s="28" t="n"/>
      <c r="H446" s="28" t="n"/>
      <c r="I446" s="28" t="n"/>
      <c r="J446" s="28" t="n"/>
      <c r="K446" s="28" t="n"/>
    </row>
    <row r="447" ht="12.75" customHeight="1">
      <c r="A447" s="28" t="n"/>
      <c r="B447" s="28" t="n"/>
      <c r="C447" s="28" t="n"/>
      <c r="D447" s="28" t="n"/>
      <c r="E447" s="28" t="n"/>
      <c r="F447" s="28" t="n"/>
      <c r="G447" s="28" t="n"/>
      <c r="H447" s="28" t="n"/>
      <c r="I447" s="28" t="n"/>
      <c r="J447" s="28" t="n"/>
      <c r="K447" s="28" t="n"/>
    </row>
    <row r="448" ht="12.75" customHeight="1">
      <c r="A448" s="28" t="n"/>
      <c r="B448" s="28" t="n"/>
      <c r="C448" s="28" t="n"/>
      <c r="D448" s="28" t="n"/>
      <c r="E448" s="28" t="n"/>
      <c r="F448" s="28" t="n"/>
      <c r="G448" s="28" t="n"/>
      <c r="H448" s="28" t="n"/>
      <c r="I448" s="28" t="n"/>
      <c r="J448" s="28" t="n"/>
      <c r="K448" s="28" t="n"/>
    </row>
    <row r="449" ht="12.75" customHeight="1">
      <c r="A449" s="28" t="n"/>
      <c r="B449" s="28" t="n"/>
      <c r="C449" s="28" t="n"/>
      <c r="D449" s="28" t="n"/>
      <c r="E449" s="28" t="n"/>
      <c r="F449" s="28" t="n"/>
      <c r="G449" s="28" t="n"/>
      <c r="H449" s="28" t="n"/>
      <c r="I449" s="28" t="n"/>
      <c r="J449" s="28" t="n"/>
      <c r="K449" s="28" t="n"/>
    </row>
    <row r="450" ht="12.75" customHeight="1">
      <c r="A450" s="28" t="n"/>
      <c r="B450" s="28" t="n"/>
      <c r="C450" s="28" t="n"/>
      <c r="D450" s="28" t="n"/>
      <c r="E450" s="28" t="n"/>
      <c r="F450" s="28" t="n"/>
      <c r="G450" s="28" t="n"/>
      <c r="H450" s="28" t="n"/>
      <c r="I450" s="28" t="n"/>
      <c r="J450" s="28" t="n"/>
      <c r="K450" s="28" t="n"/>
    </row>
    <row r="451" ht="12.75" customHeight="1">
      <c r="A451" s="28" t="n"/>
      <c r="B451" s="28" t="n"/>
      <c r="C451" s="28" t="n"/>
      <c r="D451" s="28" t="n"/>
      <c r="E451" s="28" t="n"/>
      <c r="F451" s="28" t="n"/>
      <c r="G451" s="28" t="n"/>
      <c r="H451" s="28" t="n"/>
      <c r="I451" s="28" t="n"/>
      <c r="J451" s="28" t="n"/>
      <c r="K451" s="28" t="n"/>
    </row>
    <row r="452" ht="12.75" customHeight="1">
      <c r="A452" s="28" t="n"/>
      <c r="B452" s="28" t="n"/>
      <c r="C452" s="28" t="n"/>
      <c r="D452" s="28" t="n"/>
      <c r="E452" s="28" t="n"/>
      <c r="F452" s="28" t="n"/>
      <c r="G452" s="28" t="n"/>
      <c r="H452" s="28" t="n"/>
      <c r="I452" s="28" t="n"/>
      <c r="J452" s="28" t="n"/>
      <c r="K452" s="28" t="n"/>
    </row>
    <row r="453" ht="12.75" customHeight="1">
      <c r="A453" s="28" t="n"/>
      <c r="B453" s="28" t="n"/>
      <c r="C453" s="28" t="n"/>
      <c r="D453" s="28" t="n"/>
      <c r="E453" s="28" t="n"/>
      <c r="F453" s="28" t="n"/>
      <c r="G453" s="28" t="n"/>
      <c r="H453" s="28" t="n"/>
      <c r="I453" s="28" t="n"/>
      <c r="J453" s="28" t="n"/>
      <c r="K453" s="28" t="n"/>
    </row>
    <row r="454" ht="12.75" customHeight="1">
      <c r="A454" s="28" t="n"/>
      <c r="B454" s="28" t="n"/>
      <c r="C454" s="28" t="n"/>
      <c r="D454" s="28" t="n"/>
      <c r="E454" s="28" t="n"/>
      <c r="F454" s="28" t="n"/>
      <c r="G454" s="28" t="n"/>
      <c r="H454" s="28" t="n"/>
      <c r="I454" s="28" t="n"/>
      <c r="J454" s="28" t="n"/>
      <c r="K454" s="28" t="n"/>
    </row>
    <row r="455" ht="12.75" customHeight="1">
      <c r="A455" s="28" t="n"/>
      <c r="B455" s="28" t="n"/>
      <c r="C455" s="28" t="n"/>
      <c r="D455" s="28" t="n"/>
      <c r="E455" s="28" t="n"/>
      <c r="F455" s="28" t="n"/>
      <c r="G455" s="28" t="n"/>
      <c r="H455" s="28" t="n"/>
      <c r="I455" s="28" t="n"/>
      <c r="J455" s="28" t="n"/>
      <c r="K455" s="28" t="n"/>
    </row>
    <row r="456" ht="12.75" customHeight="1">
      <c r="A456" s="28" t="n"/>
      <c r="B456" s="28" t="n"/>
      <c r="C456" s="28" t="n"/>
      <c r="D456" s="28" t="n"/>
      <c r="E456" s="28" t="n"/>
      <c r="F456" s="28" t="n"/>
      <c r="G456" s="28" t="n"/>
      <c r="H456" s="28" t="n"/>
      <c r="I456" s="28" t="n"/>
      <c r="J456" s="28" t="n"/>
      <c r="K456" s="28" t="n"/>
    </row>
    <row r="457" ht="12.75" customHeight="1">
      <c r="A457" s="28" t="n"/>
      <c r="B457" s="28" t="n"/>
      <c r="C457" s="28" t="n"/>
      <c r="D457" s="28" t="n"/>
      <c r="E457" s="28" t="n"/>
      <c r="F457" s="28" t="n"/>
      <c r="G457" s="28" t="n"/>
      <c r="H457" s="28" t="n"/>
      <c r="I457" s="28" t="n"/>
      <c r="J457" s="28" t="n"/>
      <c r="K457" s="28" t="n"/>
    </row>
    <row r="458" ht="12.75" customHeight="1">
      <c r="A458" s="28" t="n"/>
      <c r="B458" s="28" t="n"/>
      <c r="C458" s="28" t="n"/>
      <c r="D458" s="28" t="n"/>
      <c r="E458" s="28" t="n"/>
      <c r="F458" s="28" t="n"/>
      <c r="G458" s="28" t="n"/>
      <c r="H458" s="28" t="n"/>
      <c r="I458" s="28" t="n"/>
      <c r="J458" s="28" t="n"/>
      <c r="K458" s="28" t="n"/>
    </row>
    <row r="459" ht="12.75" customHeight="1">
      <c r="A459" s="28" t="n"/>
      <c r="B459" s="28" t="n"/>
      <c r="C459" s="28" t="n"/>
      <c r="D459" s="28" t="n"/>
      <c r="E459" s="28" t="n"/>
      <c r="F459" s="28" t="n"/>
      <c r="G459" s="28" t="n"/>
      <c r="H459" s="28" t="n"/>
      <c r="I459" s="28" t="n"/>
      <c r="J459" s="28" t="n"/>
      <c r="K459" s="28" t="n"/>
    </row>
    <row r="460" ht="12.75" customHeight="1">
      <c r="A460" s="28" t="n"/>
      <c r="B460" s="28" t="n"/>
      <c r="C460" s="28" t="n"/>
      <c r="D460" s="28" t="n"/>
      <c r="E460" s="28" t="n"/>
      <c r="F460" s="28" t="n"/>
      <c r="G460" s="28" t="n"/>
      <c r="H460" s="28" t="n"/>
      <c r="I460" s="28" t="n"/>
      <c r="J460" s="28" t="n"/>
      <c r="K460" s="28" t="n"/>
    </row>
    <row r="461" ht="12.75" customHeight="1">
      <c r="A461" s="28" t="n"/>
      <c r="B461" s="28" t="n"/>
      <c r="C461" s="28" t="n"/>
      <c r="D461" s="28" t="n"/>
      <c r="E461" s="28" t="n"/>
      <c r="F461" s="28" t="n"/>
      <c r="G461" s="28" t="n"/>
      <c r="H461" s="28" t="n"/>
      <c r="I461" s="28" t="n"/>
      <c r="J461" s="28" t="n"/>
      <c r="K461" s="28" t="n"/>
    </row>
    <row r="462" ht="12.75" customHeight="1">
      <c r="A462" s="28" t="n"/>
      <c r="B462" s="28" t="n"/>
      <c r="C462" s="28" t="n"/>
      <c r="D462" s="28" t="n"/>
      <c r="E462" s="28" t="n"/>
      <c r="F462" s="28" t="n"/>
      <c r="G462" s="28" t="n"/>
      <c r="H462" s="28" t="n"/>
      <c r="I462" s="28" t="n"/>
      <c r="J462" s="28" t="n"/>
      <c r="K462" s="28" t="n"/>
    </row>
    <row r="463" ht="12.75" customHeight="1">
      <c r="A463" s="28" t="n"/>
      <c r="B463" s="28" t="n"/>
      <c r="C463" s="28" t="n"/>
      <c r="D463" s="28" t="n"/>
      <c r="E463" s="28" t="n"/>
      <c r="F463" s="28" t="n"/>
      <c r="G463" s="28" t="n"/>
      <c r="H463" s="28" t="n"/>
      <c r="I463" s="28" t="n"/>
      <c r="J463" s="28" t="n"/>
      <c r="K463" s="28" t="n"/>
    </row>
    <row r="464" ht="12.75" customHeight="1">
      <c r="A464" s="28" t="n"/>
      <c r="B464" s="28" t="n"/>
      <c r="C464" s="28" t="n"/>
      <c r="D464" s="28" t="n"/>
      <c r="E464" s="28" t="n"/>
      <c r="F464" s="28" t="n"/>
      <c r="G464" s="28" t="n"/>
      <c r="H464" s="28" t="n"/>
      <c r="I464" s="28" t="n"/>
      <c r="J464" s="28" t="n"/>
      <c r="K464" s="28" t="n"/>
    </row>
    <row r="465" ht="12.75" customHeight="1">
      <c r="A465" s="28" t="n"/>
      <c r="B465" s="28" t="n"/>
      <c r="C465" s="28" t="n"/>
      <c r="D465" s="28" t="n"/>
      <c r="E465" s="28" t="n"/>
      <c r="F465" s="28" t="n"/>
      <c r="G465" s="28" t="n"/>
      <c r="H465" s="28" t="n"/>
      <c r="I465" s="28" t="n"/>
      <c r="J465" s="28" t="n"/>
      <c r="K465" s="28" t="n"/>
    </row>
    <row r="466" ht="12.75" customHeight="1">
      <c r="A466" s="28" t="n"/>
      <c r="B466" s="28" t="n"/>
      <c r="C466" s="28" t="n"/>
      <c r="D466" s="28" t="n"/>
      <c r="E466" s="28" t="n"/>
      <c r="F466" s="28" t="n"/>
      <c r="G466" s="28" t="n"/>
      <c r="H466" s="28" t="n"/>
      <c r="I466" s="28" t="n"/>
      <c r="J466" s="28" t="n"/>
      <c r="K466" s="28" t="n"/>
    </row>
    <row r="467" ht="12.75" customHeight="1">
      <c r="A467" s="28" t="n"/>
      <c r="B467" s="28" t="n"/>
      <c r="C467" s="28" t="n"/>
      <c r="D467" s="28" t="n"/>
      <c r="E467" s="28" t="n"/>
      <c r="F467" s="28" t="n"/>
      <c r="G467" s="28" t="n"/>
      <c r="H467" s="28" t="n"/>
      <c r="I467" s="28" t="n"/>
      <c r="J467" s="28" t="n"/>
      <c r="K467" s="28" t="n"/>
    </row>
    <row r="468" ht="12.75" customHeight="1">
      <c r="A468" s="28" t="n"/>
      <c r="B468" s="28" t="n"/>
      <c r="C468" s="28" t="n"/>
      <c r="D468" s="28" t="n"/>
      <c r="E468" s="28" t="n"/>
      <c r="F468" s="28" t="n"/>
      <c r="G468" s="28" t="n"/>
      <c r="H468" s="28" t="n"/>
      <c r="I468" s="28" t="n"/>
      <c r="J468" s="28" t="n"/>
      <c r="K468" s="28" t="n"/>
    </row>
    <row r="469" ht="12.75" customHeight="1">
      <c r="A469" s="28" t="n"/>
      <c r="B469" s="28" t="n"/>
      <c r="C469" s="28" t="n"/>
      <c r="D469" s="28" t="n"/>
      <c r="E469" s="28" t="n"/>
      <c r="F469" s="28" t="n"/>
      <c r="G469" s="28" t="n"/>
      <c r="H469" s="28" t="n"/>
      <c r="I469" s="28" t="n"/>
      <c r="J469" s="28" t="n"/>
      <c r="K469" s="28" t="n"/>
    </row>
    <row r="470" ht="12.75" customHeight="1">
      <c r="A470" s="28" t="n"/>
      <c r="B470" s="28" t="n"/>
      <c r="C470" s="28" t="n"/>
      <c r="D470" s="28" t="n"/>
      <c r="E470" s="28" t="n"/>
      <c r="F470" s="28" t="n"/>
      <c r="G470" s="28" t="n"/>
      <c r="H470" s="28" t="n"/>
      <c r="I470" s="28" t="n"/>
      <c r="J470" s="28" t="n"/>
      <c r="K470" s="28" t="n"/>
    </row>
    <row r="471" ht="12.75" customHeight="1">
      <c r="A471" s="28" t="n"/>
      <c r="B471" s="28" t="n"/>
      <c r="C471" s="28" t="n"/>
      <c r="D471" s="28" t="n"/>
      <c r="E471" s="28" t="n"/>
      <c r="F471" s="28" t="n"/>
      <c r="G471" s="28" t="n"/>
      <c r="H471" s="28" t="n"/>
      <c r="I471" s="28" t="n"/>
      <c r="J471" s="28" t="n"/>
      <c r="K471" s="28" t="n"/>
    </row>
    <row r="472" ht="12.75" customHeight="1">
      <c r="A472" s="28" t="n"/>
      <c r="B472" s="28" t="n"/>
      <c r="C472" s="28" t="n"/>
      <c r="D472" s="28" t="n"/>
      <c r="E472" s="28" t="n"/>
      <c r="F472" s="28" t="n"/>
      <c r="G472" s="28" t="n"/>
      <c r="H472" s="28" t="n"/>
      <c r="I472" s="28" t="n"/>
      <c r="J472" s="28" t="n"/>
      <c r="K472" s="28" t="n"/>
    </row>
    <row r="473" ht="12.75" customHeight="1">
      <c r="A473" s="28" t="n"/>
      <c r="B473" s="28" t="n"/>
      <c r="C473" s="28" t="n"/>
      <c r="D473" s="28" t="n"/>
      <c r="E473" s="28" t="n"/>
      <c r="F473" s="28" t="n"/>
      <c r="G473" s="28" t="n"/>
      <c r="H473" s="28" t="n"/>
      <c r="I473" s="28" t="n"/>
      <c r="J473" s="28" t="n"/>
      <c r="K473" s="28" t="n"/>
    </row>
    <row r="474" ht="12.75" customHeight="1">
      <c r="A474" s="28" t="n"/>
      <c r="B474" s="28" t="n"/>
      <c r="C474" s="28" t="n"/>
      <c r="D474" s="28" t="n"/>
      <c r="E474" s="28" t="n"/>
      <c r="F474" s="28" t="n"/>
      <c r="G474" s="28" t="n"/>
      <c r="H474" s="28" t="n"/>
      <c r="I474" s="28" t="n"/>
      <c r="J474" s="28" t="n"/>
      <c r="K474" s="28" t="n"/>
    </row>
    <row r="475" ht="12.75" customHeight="1">
      <c r="A475" s="28" t="n"/>
      <c r="B475" s="28" t="n"/>
      <c r="C475" s="28" t="n"/>
      <c r="D475" s="28" t="n"/>
      <c r="E475" s="28" t="n"/>
      <c r="F475" s="28" t="n"/>
      <c r="G475" s="28" t="n"/>
      <c r="H475" s="28" t="n"/>
      <c r="I475" s="28" t="n"/>
      <c r="J475" s="28" t="n"/>
      <c r="K475" s="28" t="n"/>
    </row>
    <row r="476" ht="12.75" customHeight="1">
      <c r="A476" s="28" t="n"/>
      <c r="B476" s="28" t="n"/>
      <c r="C476" s="28" t="n"/>
      <c r="D476" s="28" t="n"/>
      <c r="E476" s="28" t="n"/>
      <c r="F476" s="28" t="n"/>
      <c r="G476" s="28" t="n"/>
      <c r="H476" s="28" t="n"/>
      <c r="I476" s="28" t="n"/>
      <c r="J476" s="28" t="n"/>
      <c r="K476" s="28" t="n"/>
    </row>
    <row r="477" ht="12.75" customHeight="1">
      <c r="A477" s="28" t="n"/>
      <c r="B477" s="28" t="n"/>
      <c r="C477" s="28" t="n"/>
      <c r="D477" s="28" t="n"/>
      <c r="E477" s="28" t="n"/>
      <c r="F477" s="28" t="n"/>
      <c r="G477" s="28" t="n"/>
      <c r="H477" s="28" t="n"/>
      <c r="I477" s="28" t="n"/>
      <c r="J477" s="28" t="n"/>
      <c r="K477" s="28" t="n"/>
    </row>
    <row r="478" ht="12.75" customHeight="1">
      <c r="A478" s="28" t="n"/>
      <c r="B478" s="28" t="n"/>
      <c r="C478" s="28" t="n"/>
      <c r="D478" s="28" t="n"/>
      <c r="E478" s="28" t="n"/>
      <c r="F478" s="28" t="n"/>
      <c r="G478" s="28" t="n"/>
      <c r="H478" s="28" t="n"/>
      <c r="I478" s="28" t="n"/>
      <c r="J478" s="28" t="n"/>
      <c r="K478" s="28" t="n"/>
    </row>
    <row r="479" ht="12.75" customHeight="1">
      <c r="A479" s="28" t="n"/>
      <c r="B479" s="28" t="n"/>
      <c r="C479" s="28" t="n"/>
      <c r="D479" s="28" t="n"/>
      <c r="E479" s="28" t="n"/>
      <c r="F479" s="28" t="n"/>
      <c r="G479" s="28" t="n"/>
      <c r="H479" s="28" t="n"/>
      <c r="I479" s="28" t="n"/>
      <c r="J479" s="28" t="n"/>
      <c r="K479" s="28" t="n"/>
    </row>
    <row r="480" ht="12.75" customHeight="1">
      <c r="A480" s="28" t="n"/>
      <c r="B480" s="28" t="n"/>
      <c r="C480" s="28" t="n"/>
      <c r="D480" s="28" t="n"/>
      <c r="E480" s="28" t="n"/>
      <c r="F480" s="28" t="n"/>
      <c r="G480" s="28" t="n"/>
      <c r="H480" s="28" t="n"/>
      <c r="I480" s="28" t="n"/>
      <c r="J480" s="28" t="n"/>
      <c r="K480" s="28" t="n"/>
    </row>
    <row r="481" ht="12.75" customHeight="1">
      <c r="A481" s="28" t="n"/>
      <c r="B481" s="28" t="n"/>
      <c r="C481" s="28" t="n"/>
      <c r="D481" s="28" t="n"/>
      <c r="E481" s="28" t="n"/>
      <c r="F481" s="28" t="n"/>
      <c r="G481" s="28" t="n"/>
      <c r="H481" s="28" t="n"/>
      <c r="I481" s="28" t="n"/>
      <c r="J481" s="28" t="n"/>
      <c r="K481" s="28" t="n"/>
    </row>
    <row r="482" ht="12.75" customHeight="1">
      <c r="A482" s="28" t="n"/>
      <c r="B482" s="28" t="n"/>
      <c r="C482" s="28" t="n"/>
      <c r="D482" s="28" t="n"/>
      <c r="E482" s="28" t="n"/>
      <c r="F482" s="28" t="n"/>
      <c r="G482" s="28" t="n"/>
      <c r="H482" s="28" t="n"/>
      <c r="I482" s="28" t="n"/>
      <c r="J482" s="28" t="n"/>
      <c r="K482" s="28" t="n"/>
    </row>
    <row r="483" ht="12.75" customHeight="1">
      <c r="A483" s="28" t="n"/>
      <c r="B483" s="28" t="n"/>
      <c r="C483" s="28" t="n"/>
      <c r="D483" s="28" t="n"/>
      <c r="E483" s="28" t="n"/>
      <c r="F483" s="28" t="n"/>
      <c r="G483" s="28" t="n"/>
      <c r="H483" s="28" t="n"/>
      <c r="I483" s="28" t="n"/>
      <c r="J483" s="28" t="n"/>
      <c r="K483" s="28" t="n"/>
    </row>
    <row r="484" ht="12.75" customHeight="1">
      <c r="A484" s="28" t="n"/>
      <c r="B484" s="28" t="n"/>
      <c r="C484" s="28" t="n"/>
      <c r="D484" s="28" t="n"/>
      <c r="E484" s="28" t="n"/>
      <c r="F484" s="28" t="n"/>
      <c r="G484" s="28" t="n"/>
      <c r="H484" s="28" t="n"/>
      <c r="I484" s="28" t="n"/>
      <c r="J484" s="28" t="n"/>
      <c r="K484" s="28" t="n"/>
    </row>
    <row r="485" ht="12.75" customHeight="1">
      <c r="A485" s="28" t="n"/>
      <c r="B485" s="28" t="n"/>
      <c r="C485" s="28" t="n"/>
      <c r="D485" s="28" t="n"/>
      <c r="E485" s="28" t="n"/>
      <c r="F485" s="28" t="n"/>
      <c r="G485" s="28" t="n"/>
      <c r="H485" s="28" t="n"/>
      <c r="I485" s="28" t="n"/>
      <c r="J485" s="28" t="n"/>
      <c r="K485" s="28" t="n"/>
    </row>
    <row r="486" ht="12.75" customHeight="1">
      <c r="A486" s="28" t="n"/>
      <c r="B486" s="28" t="n"/>
      <c r="C486" s="28" t="n"/>
      <c r="D486" s="28" t="n"/>
      <c r="E486" s="28" t="n"/>
      <c r="F486" s="28" t="n"/>
      <c r="G486" s="28" t="n"/>
      <c r="H486" s="28" t="n"/>
      <c r="I486" s="28" t="n"/>
      <c r="J486" s="28" t="n"/>
      <c r="K486" s="28" t="n"/>
    </row>
    <row r="487" ht="12.75" customHeight="1">
      <c r="A487" s="28" t="n"/>
      <c r="B487" s="28" t="n"/>
      <c r="C487" s="28" t="n"/>
      <c r="D487" s="28" t="n"/>
      <c r="E487" s="28" t="n"/>
      <c r="F487" s="28" t="n"/>
      <c r="G487" s="28" t="n"/>
      <c r="H487" s="28" t="n"/>
      <c r="I487" s="28" t="n"/>
      <c r="J487" s="28" t="n"/>
      <c r="K487" s="28" t="n"/>
    </row>
    <row r="488" ht="12.75" customHeight="1">
      <c r="A488" s="28" t="n"/>
      <c r="B488" s="28" t="n"/>
      <c r="C488" s="28" t="n"/>
      <c r="D488" s="28" t="n"/>
      <c r="E488" s="28" t="n"/>
      <c r="F488" s="28" t="n"/>
      <c r="G488" s="28" t="n"/>
      <c r="H488" s="28" t="n"/>
      <c r="I488" s="28" t="n"/>
      <c r="J488" s="28" t="n"/>
      <c r="K488" s="28" t="n"/>
    </row>
    <row r="489" ht="12.75" customHeight="1">
      <c r="A489" s="28" t="n"/>
      <c r="B489" s="28" t="n"/>
      <c r="C489" s="28" t="n"/>
      <c r="D489" s="28" t="n"/>
      <c r="E489" s="28" t="n"/>
      <c r="F489" s="28" t="n"/>
      <c r="G489" s="28" t="n"/>
      <c r="H489" s="28" t="n"/>
      <c r="I489" s="28" t="n"/>
      <c r="J489" s="28" t="n"/>
      <c r="K489" s="28" t="n"/>
    </row>
    <row r="490" ht="12.75" customHeight="1">
      <c r="A490" s="28" t="n"/>
      <c r="B490" s="28" t="n"/>
      <c r="C490" s="28" t="n"/>
      <c r="D490" s="28" t="n"/>
      <c r="E490" s="28" t="n"/>
      <c r="F490" s="28" t="n"/>
      <c r="G490" s="28" t="n"/>
      <c r="H490" s="28" t="n"/>
      <c r="I490" s="28" t="n"/>
      <c r="J490" s="28" t="n"/>
      <c r="K490" s="28" t="n"/>
    </row>
    <row r="491" ht="12.75" customHeight="1">
      <c r="A491" s="28" t="n"/>
      <c r="B491" s="28" t="n"/>
      <c r="C491" s="28" t="n"/>
      <c r="D491" s="28" t="n"/>
      <c r="E491" s="28" t="n"/>
      <c r="F491" s="28" t="n"/>
      <c r="G491" s="28" t="n"/>
      <c r="H491" s="28" t="n"/>
      <c r="I491" s="28" t="n"/>
      <c r="J491" s="28" t="n"/>
      <c r="K491" s="28" t="n"/>
    </row>
    <row r="492" ht="12.75" customHeight="1">
      <c r="A492" s="28" t="n"/>
      <c r="B492" s="28" t="n"/>
      <c r="C492" s="28" t="n"/>
      <c r="D492" s="28" t="n"/>
      <c r="E492" s="28" t="n"/>
      <c r="F492" s="28" t="n"/>
      <c r="G492" s="28" t="n"/>
      <c r="H492" s="28" t="n"/>
      <c r="I492" s="28" t="n"/>
      <c r="J492" s="28" t="n"/>
      <c r="K492" s="28" t="n"/>
    </row>
    <row r="493" ht="12.75" customHeight="1">
      <c r="A493" s="28" t="n"/>
      <c r="B493" s="28" t="n"/>
      <c r="C493" s="28" t="n"/>
      <c r="D493" s="28" t="n"/>
      <c r="E493" s="28" t="n"/>
      <c r="F493" s="28" t="n"/>
      <c r="G493" s="28" t="n"/>
      <c r="H493" s="28" t="n"/>
      <c r="I493" s="28" t="n"/>
      <c r="J493" s="28" t="n"/>
      <c r="K493" s="28" t="n"/>
    </row>
    <row r="494" ht="12.75" customHeight="1">
      <c r="A494" s="28" t="n"/>
      <c r="B494" s="28" t="n"/>
      <c r="C494" s="28" t="n"/>
      <c r="D494" s="28" t="n"/>
      <c r="E494" s="28" t="n"/>
      <c r="F494" s="28" t="n"/>
      <c r="G494" s="28" t="n"/>
      <c r="H494" s="28" t="n"/>
      <c r="I494" s="28" t="n"/>
      <c r="J494" s="28" t="n"/>
      <c r="K494" s="28" t="n"/>
    </row>
    <row r="495" ht="12.75" customHeight="1">
      <c r="A495" s="28" t="n"/>
      <c r="B495" s="28" t="n"/>
      <c r="C495" s="28" t="n"/>
      <c r="D495" s="28" t="n"/>
      <c r="E495" s="28" t="n"/>
      <c r="F495" s="28" t="n"/>
      <c r="G495" s="28" t="n"/>
      <c r="H495" s="28" t="n"/>
      <c r="I495" s="28" t="n"/>
      <c r="J495" s="28" t="n"/>
      <c r="K495" s="28" t="n"/>
    </row>
    <row r="496" ht="12.75" customHeight="1">
      <c r="A496" s="28" t="n"/>
      <c r="B496" s="28" t="n"/>
      <c r="C496" s="28" t="n"/>
      <c r="D496" s="28" t="n"/>
      <c r="E496" s="28" t="n"/>
      <c r="F496" s="28" t="n"/>
      <c r="G496" s="28" t="n"/>
      <c r="H496" s="28" t="n"/>
      <c r="I496" s="28" t="n"/>
      <c r="J496" s="28" t="n"/>
      <c r="K496" s="28" t="n"/>
    </row>
    <row r="497" ht="12.75" customHeight="1">
      <c r="A497" s="28" t="n"/>
      <c r="B497" s="28" t="n"/>
      <c r="C497" s="28" t="n"/>
      <c r="D497" s="28" t="n"/>
      <c r="E497" s="28" t="n"/>
      <c r="F497" s="28" t="n"/>
      <c r="G497" s="28" t="n"/>
      <c r="H497" s="28" t="n"/>
      <c r="I497" s="28" t="n"/>
      <c r="J497" s="28" t="n"/>
      <c r="K497" s="28" t="n"/>
    </row>
    <row r="498" ht="12.75" customHeight="1">
      <c r="A498" s="28" t="n"/>
      <c r="B498" s="28" t="n"/>
      <c r="C498" s="28" t="n"/>
      <c r="D498" s="28" t="n"/>
      <c r="E498" s="28" t="n"/>
      <c r="F498" s="28" t="n"/>
      <c r="G498" s="28" t="n"/>
      <c r="H498" s="28" t="n"/>
      <c r="I498" s="28" t="n"/>
      <c r="J498" s="28" t="n"/>
      <c r="K498" s="28" t="n"/>
    </row>
    <row r="499" ht="12.75" customHeight="1">
      <c r="A499" s="28" t="n"/>
      <c r="B499" s="28" t="n"/>
      <c r="C499" s="28" t="n"/>
      <c r="D499" s="28" t="n"/>
      <c r="E499" s="28" t="n"/>
      <c r="F499" s="28" t="n"/>
      <c r="G499" s="28" t="n"/>
      <c r="H499" s="28" t="n"/>
      <c r="I499" s="28" t="n"/>
      <c r="J499" s="28" t="n"/>
      <c r="K499" s="28" t="n"/>
    </row>
    <row r="500" ht="12.75" customHeight="1">
      <c r="A500" s="28" t="n"/>
      <c r="B500" s="28" t="n"/>
      <c r="C500" s="28" t="n"/>
      <c r="D500" s="28" t="n"/>
      <c r="E500" s="28" t="n"/>
      <c r="F500" s="28" t="n"/>
      <c r="G500" s="28" t="n"/>
      <c r="H500" s="28" t="n"/>
      <c r="I500" s="28" t="n"/>
      <c r="J500" s="28" t="n"/>
      <c r="K500" s="28" t="n"/>
    </row>
    <row r="501" ht="12.75" customHeight="1">
      <c r="A501" s="28" t="n"/>
      <c r="B501" s="28" t="n"/>
      <c r="C501" s="28" t="n"/>
      <c r="D501" s="28" t="n"/>
      <c r="E501" s="28" t="n"/>
      <c r="F501" s="28" t="n"/>
      <c r="G501" s="28" t="n"/>
      <c r="H501" s="28" t="n"/>
      <c r="I501" s="28" t="n"/>
      <c r="J501" s="28" t="n"/>
      <c r="K501" s="28" t="n"/>
    </row>
    <row r="502" ht="12.75" customHeight="1">
      <c r="A502" s="28" t="n"/>
      <c r="B502" s="28" t="n"/>
      <c r="C502" s="28" t="n"/>
      <c r="D502" s="28" t="n"/>
      <c r="E502" s="28" t="n"/>
      <c r="F502" s="28" t="n"/>
      <c r="G502" s="28" t="n"/>
      <c r="H502" s="28" t="n"/>
      <c r="I502" s="28" t="n"/>
      <c r="J502" s="28" t="n"/>
      <c r="K502" s="28" t="n"/>
    </row>
    <row r="503" ht="12.75" customHeight="1">
      <c r="A503" s="28" t="n"/>
      <c r="B503" s="28" t="n"/>
      <c r="C503" s="28" t="n"/>
      <c r="D503" s="28" t="n"/>
      <c r="E503" s="28" t="n"/>
      <c r="F503" s="28" t="n"/>
      <c r="G503" s="28" t="n"/>
      <c r="H503" s="28" t="n"/>
      <c r="I503" s="28" t="n"/>
      <c r="J503" s="28" t="n"/>
      <c r="K503" s="28" t="n"/>
    </row>
    <row r="504" ht="12.75" customHeight="1">
      <c r="A504" s="28" t="n"/>
      <c r="B504" s="28" t="n"/>
      <c r="C504" s="28" t="n"/>
      <c r="D504" s="28" t="n"/>
      <c r="E504" s="28" t="n"/>
      <c r="F504" s="28" t="n"/>
      <c r="G504" s="28" t="n"/>
      <c r="H504" s="28" t="n"/>
      <c r="I504" s="28" t="n"/>
      <c r="J504" s="28" t="n"/>
      <c r="K504" s="28" t="n"/>
    </row>
    <row r="505" ht="12.75" customHeight="1">
      <c r="A505" s="28" t="n"/>
      <c r="B505" s="28" t="n"/>
      <c r="C505" s="28" t="n"/>
      <c r="D505" s="28" t="n"/>
      <c r="E505" s="28" t="n"/>
      <c r="F505" s="28" t="n"/>
      <c r="G505" s="28" t="n"/>
      <c r="H505" s="28" t="n"/>
      <c r="I505" s="28" t="n"/>
      <c r="J505" s="28" t="n"/>
      <c r="K505" s="28" t="n"/>
    </row>
    <row r="506" ht="12.75" customHeight="1">
      <c r="A506" s="28" t="n"/>
      <c r="B506" s="28" t="n"/>
      <c r="C506" s="28" t="n"/>
      <c r="D506" s="28" t="n"/>
      <c r="E506" s="28" t="n"/>
      <c r="F506" s="28" t="n"/>
      <c r="G506" s="28" t="n"/>
      <c r="H506" s="28" t="n"/>
      <c r="I506" s="28" t="n"/>
      <c r="J506" s="28" t="n"/>
      <c r="K506" s="28" t="n"/>
    </row>
    <row r="507" ht="12.75" customHeight="1">
      <c r="A507" s="28" t="n"/>
      <c r="B507" s="28" t="n"/>
      <c r="C507" s="28" t="n"/>
      <c r="D507" s="28" t="n"/>
      <c r="E507" s="28" t="n"/>
      <c r="F507" s="28" t="n"/>
      <c r="G507" s="28" t="n"/>
      <c r="H507" s="28" t="n"/>
      <c r="I507" s="28" t="n"/>
      <c r="J507" s="28" t="n"/>
      <c r="K507" s="28" t="n"/>
    </row>
    <row r="508" ht="12.75" customHeight="1">
      <c r="A508" s="28" t="n"/>
      <c r="B508" s="28" t="n"/>
      <c r="C508" s="28" t="n"/>
      <c r="D508" s="28" t="n"/>
      <c r="E508" s="28" t="n"/>
      <c r="F508" s="28" t="n"/>
      <c r="G508" s="28" t="n"/>
      <c r="H508" s="28" t="n"/>
      <c r="I508" s="28" t="n"/>
      <c r="J508" s="28" t="n"/>
      <c r="K508" s="28" t="n"/>
    </row>
    <row r="509" ht="12.75" customHeight="1">
      <c r="A509" s="28" t="n"/>
      <c r="B509" s="28" t="n"/>
      <c r="C509" s="28" t="n"/>
      <c r="D509" s="28" t="n"/>
      <c r="E509" s="28" t="n"/>
      <c r="F509" s="28" t="n"/>
      <c r="G509" s="28" t="n"/>
      <c r="H509" s="28" t="n"/>
      <c r="I509" s="28" t="n"/>
      <c r="J509" s="28" t="n"/>
      <c r="K509" s="28" t="n"/>
    </row>
    <row r="510" ht="12.75" customHeight="1">
      <c r="A510" s="28" t="n"/>
      <c r="B510" s="28" t="n"/>
      <c r="C510" s="28" t="n"/>
      <c r="D510" s="28" t="n"/>
      <c r="E510" s="28" t="n"/>
      <c r="F510" s="28" t="n"/>
      <c r="G510" s="28" t="n"/>
      <c r="H510" s="28" t="n"/>
      <c r="I510" s="28" t="n"/>
      <c r="J510" s="28" t="n"/>
      <c r="K510" s="28" t="n"/>
    </row>
    <row r="511" ht="12.75" customHeight="1">
      <c r="A511" s="28" t="n"/>
      <c r="B511" s="28" t="n"/>
      <c r="C511" s="28" t="n"/>
      <c r="D511" s="28" t="n"/>
      <c r="E511" s="28" t="n"/>
      <c r="F511" s="28" t="n"/>
      <c r="G511" s="28" t="n"/>
      <c r="H511" s="28" t="n"/>
      <c r="I511" s="28" t="n"/>
      <c r="J511" s="28" t="n"/>
      <c r="K511" s="28" t="n"/>
    </row>
    <row r="512" ht="12.75" customHeight="1">
      <c r="A512" s="28" t="n"/>
      <c r="B512" s="28" t="n"/>
      <c r="C512" s="28" t="n"/>
      <c r="D512" s="28" t="n"/>
      <c r="E512" s="28" t="n"/>
      <c r="F512" s="28" t="n"/>
      <c r="G512" s="28" t="n"/>
      <c r="H512" s="28" t="n"/>
      <c r="I512" s="28" t="n"/>
      <c r="J512" s="28" t="n"/>
      <c r="K512" s="28" t="n"/>
    </row>
    <row r="513" ht="12.75" customHeight="1">
      <c r="A513" s="28" t="n"/>
      <c r="B513" s="28" t="n"/>
      <c r="C513" s="28" t="n"/>
      <c r="D513" s="28" t="n"/>
      <c r="E513" s="28" t="n"/>
      <c r="F513" s="28" t="n"/>
      <c r="G513" s="28" t="n"/>
      <c r="H513" s="28" t="n"/>
      <c r="I513" s="28" t="n"/>
      <c r="J513" s="28" t="n"/>
      <c r="K513" s="28" t="n"/>
    </row>
    <row r="514" ht="12.75" customHeight="1">
      <c r="A514" s="28" t="n"/>
      <c r="B514" s="28" t="n"/>
      <c r="C514" s="28" t="n"/>
      <c r="D514" s="28" t="n"/>
      <c r="E514" s="28" t="n"/>
      <c r="F514" s="28" t="n"/>
      <c r="G514" s="28" t="n"/>
      <c r="H514" s="28" t="n"/>
      <c r="I514" s="28" t="n"/>
      <c r="J514" s="28" t="n"/>
      <c r="K514" s="28" t="n"/>
    </row>
    <row r="515" ht="12.75" customHeight="1">
      <c r="A515" s="28" t="n"/>
      <c r="B515" s="28" t="n"/>
      <c r="C515" s="28" t="n"/>
      <c r="D515" s="28" t="n"/>
      <c r="E515" s="28" t="n"/>
      <c r="F515" s="28" t="n"/>
      <c r="G515" s="28" t="n"/>
      <c r="H515" s="28" t="n"/>
      <c r="I515" s="28" t="n"/>
      <c r="J515" s="28" t="n"/>
      <c r="K515" s="28" t="n"/>
    </row>
    <row r="516" ht="12.75" customHeight="1">
      <c r="A516" s="28" t="n"/>
      <c r="B516" s="28" t="n"/>
      <c r="C516" s="28" t="n"/>
      <c r="D516" s="28" t="n"/>
      <c r="E516" s="28" t="n"/>
      <c r="F516" s="28" t="n"/>
      <c r="G516" s="28" t="n"/>
      <c r="H516" s="28" t="n"/>
      <c r="I516" s="28" t="n"/>
      <c r="J516" s="28" t="n"/>
      <c r="K516" s="28" t="n"/>
    </row>
    <row r="517" ht="12.75" customHeight="1">
      <c r="A517" s="28" t="n"/>
      <c r="B517" s="28" t="n"/>
      <c r="C517" s="28" t="n"/>
      <c r="D517" s="28" t="n"/>
      <c r="E517" s="28" t="n"/>
      <c r="F517" s="28" t="n"/>
      <c r="G517" s="28" t="n"/>
      <c r="H517" s="28" t="n"/>
      <c r="I517" s="28" t="n"/>
      <c r="J517" s="28" t="n"/>
      <c r="K517" s="28" t="n"/>
    </row>
    <row r="518" ht="12.75" customHeight="1">
      <c r="A518" s="28" t="n"/>
      <c r="B518" s="28" t="n"/>
      <c r="C518" s="28" t="n"/>
      <c r="D518" s="28" t="n"/>
      <c r="E518" s="28" t="n"/>
      <c r="F518" s="28" t="n"/>
      <c r="G518" s="28" t="n"/>
      <c r="H518" s="28" t="n"/>
      <c r="I518" s="28" t="n"/>
      <c r="J518" s="28" t="n"/>
      <c r="K518" s="28" t="n"/>
    </row>
    <row r="519" ht="12.75" customHeight="1">
      <c r="A519" s="28" t="n"/>
      <c r="B519" s="28" t="n"/>
      <c r="C519" s="28" t="n"/>
      <c r="D519" s="28" t="n"/>
      <c r="E519" s="28" t="n"/>
      <c r="F519" s="28" t="n"/>
      <c r="G519" s="28" t="n"/>
      <c r="H519" s="28" t="n"/>
      <c r="I519" s="28" t="n"/>
      <c r="J519" s="28" t="n"/>
      <c r="K519" s="28" t="n"/>
    </row>
    <row r="520" ht="12.75" customHeight="1">
      <c r="A520" s="28" t="n"/>
      <c r="B520" s="28" t="n"/>
      <c r="C520" s="28" t="n"/>
      <c r="D520" s="28" t="n"/>
      <c r="E520" s="28" t="n"/>
      <c r="F520" s="28" t="n"/>
      <c r="G520" s="28" t="n"/>
      <c r="H520" s="28" t="n"/>
      <c r="I520" s="28" t="n"/>
      <c r="J520" s="28" t="n"/>
      <c r="K520" s="28" t="n"/>
    </row>
    <row r="521" ht="12.75" customHeight="1">
      <c r="A521" s="28" t="n"/>
      <c r="B521" s="28" t="n"/>
      <c r="C521" s="28" t="n"/>
      <c r="D521" s="28" t="n"/>
      <c r="E521" s="28" t="n"/>
      <c r="F521" s="28" t="n"/>
      <c r="G521" s="28" t="n"/>
      <c r="H521" s="28" t="n"/>
      <c r="I521" s="28" t="n"/>
      <c r="J521" s="28" t="n"/>
      <c r="K521" s="28" t="n"/>
    </row>
    <row r="522" ht="12.75" customHeight="1">
      <c r="A522" s="28" t="n"/>
      <c r="B522" s="28" t="n"/>
      <c r="C522" s="28" t="n"/>
      <c r="D522" s="28" t="n"/>
      <c r="E522" s="28" t="n"/>
      <c r="F522" s="28" t="n"/>
      <c r="G522" s="28" t="n"/>
      <c r="H522" s="28" t="n"/>
      <c r="I522" s="28" t="n"/>
      <c r="J522" s="28" t="n"/>
      <c r="K522" s="28" t="n"/>
    </row>
    <row r="523" ht="12.75" customHeight="1">
      <c r="A523" s="28" t="n"/>
      <c r="B523" s="28" t="n"/>
      <c r="C523" s="28" t="n"/>
      <c r="D523" s="28" t="n"/>
      <c r="E523" s="28" t="n"/>
      <c r="F523" s="28" t="n"/>
      <c r="G523" s="28" t="n"/>
      <c r="H523" s="28" t="n"/>
      <c r="I523" s="28" t="n"/>
      <c r="J523" s="28" t="n"/>
      <c r="K523" s="28" t="n"/>
    </row>
    <row r="524" ht="12.75" customHeight="1">
      <c r="A524" s="28" t="n"/>
      <c r="B524" s="28" t="n"/>
      <c r="C524" s="28" t="n"/>
      <c r="D524" s="28" t="n"/>
      <c r="E524" s="28" t="n"/>
      <c r="F524" s="28" t="n"/>
      <c r="G524" s="28" t="n"/>
      <c r="H524" s="28" t="n"/>
      <c r="I524" s="28" t="n"/>
      <c r="J524" s="28" t="n"/>
      <c r="K524" s="28" t="n"/>
    </row>
    <row r="525" ht="12.75" customHeight="1">
      <c r="A525" s="28" t="n"/>
      <c r="B525" s="28" t="n"/>
      <c r="C525" s="28" t="n"/>
      <c r="D525" s="28" t="n"/>
      <c r="E525" s="28" t="n"/>
      <c r="F525" s="28" t="n"/>
      <c r="G525" s="28" t="n"/>
      <c r="H525" s="28" t="n"/>
      <c r="I525" s="28" t="n"/>
      <c r="J525" s="28" t="n"/>
      <c r="K525" s="28" t="n"/>
    </row>
    <row r="526" ht="12.75" customHeight="1">
      <c r="A526" s="28" t="n"/>
      <c r="B526" s="28" t="n"/>
      <c r="C526" s="28" t="n"/>
      <c r="D526" s="28" t="n"/>
      <c r="E526" s="28" t="n"/>
      <c r="F526" s="28" t="n"/>
      <c r="G526" s="28" t="n"/>
      <c r="H526" s="28" t="n"/>
      <c r="I526" s="28" t="n"/>
      <c r="J526" s="28" t="n"/>
      <c r="K526" s="28" t="n"/>
    </row>
    <row r="527" ht="12.75" customHeight="1">
      <c r="A527" s="28" t="n"/>
      <c r="B527" s="28" t="n"/>
      <c r="C527" s="28" t="n"/>
      <c r="D527" s="28" t="n"/>
      <c r="E527" s="28" t="n"/>
      <c r="F527" s="28" t="n"/>
      <c r="G527" s="28" t="n"/>
      <c r="H527" s="28" t="n"/>
      <c r="I527" s="28" t="n"/>
      <c r="J527" s="28" t="n"/>
      <c r="K527" s="28" t="n"/>
    </row>
    <row r="528" ht="12.75" customHeight="1">
      <c r="A528" s="28" t="n"/>
      <c r="B528" s="28" t="n"/>
      <c r="C528" s="28" t="n"/>
      <c r="D528" s="28" t="n"/>
      <c r="E528" s="28" t="n"/>
      <c r="F528" s="28" t="n"/>
      <c r="G528" s="28" t="n"/>
      <c r="H528" s="28" t="n"/>
      <c r="I528" s="28" t="n"/>
      <c r="J528" s="28" t="n"/>
      <c r="K528" s="28" t="n"/>
    </row>
    <row r="529" ht="12.75" customHeight="1">
      <c r="A529" s="28" t="n"/>
      <c r="B529" s="28" t="n"/>
      <c r="C529" s="28" t="n"/>
      <c r="D529" s="28" t="n"/>
      <c r="E529" s="28" t="n"/>
      <c r="F529" s="28" t="n"/>
      <c r="G529" s="28" t="n"/>
      <c r="H529" s="28" t="n"/>
      <c r="I529" s="28" t="n"/>
      <c r="J529" s="28" t="n"/>
      <c r="K529" s="28" t="n"/>
    </row>
    <row r="530" ht="12.75" customHeight="1">
      <c r="A530" s="28" t="n"/>
      <c r="B530" s="28" t="n"/>
      <c r="C530" s="28" t="n"/>
      <c r="D530" s="28" t="n"/>
      <c r="E530" s="28" t="n"/>
      <c r="F530" s="28" t="n"/>
      <c r="G530" s="28" t="n"/>
      <c r="H530" s="28" t="n"/>
      <c r="I530" s="28" t="n"/>
      <c r="J530" s="28" t="n"/>
      <c r="K530" s="28" t="n"/>
    </row>
    <row r="531" ht="12.75" customHeight="1">
      <c r="A531" s="28" t="n"/>
      <c r="B531" s="28" t="n"/>
      <c r="C531" s="28" t="n"/>
      <c r="D531" s="28" t="n"/>
      <c r="E531" s="28" t="n"/>
      <c r="F531" s="28" t="n"/>
      <c r="G531" s="28" t="n"/>
      <c r="H531" s="28" t="n"/>
      <c r="I531" s="28" t="n"/>
      <c r="J531" s="28" t="n"/>
      <c r="K531" s="28" t="n"/>
    </row>
    <row r="532" ht="12.75" customHeight="1">
      <c r="A532" s="28" t="n"/>
      <c r="B532" s="28" t="n"/>
      <c r="C532" s="28" t="n"/>
      <c r="D532" s="28" t="n"/>
      <c r="E532" s="28" t="n"/>
      <c r="F532" s="28" t="n"/>
      <c r="G532" s="28" t="n"/>
      <c r="H532" s="28" t="n"/>
      <c r="I532" s="28" t="n"/>
      <c r="J532" s="28" t="n"/>
      <c r="K532" s="28" t="n"/>
    </row>
    <row r="533" ht="12.75" customHeight="1">
      <c r="A533" s="28" t="n"/>
      <c r="B533" s="28" t="n"/>
      <c r="C533" s="28" t="n"/>
      <c r="D533" s="28" t="n"/>
      <c r="E533" s="28" t="n"/>
      <c r="F533" s="28" t="n"/>
      <c r="G533" s="28" t="n"/>
      <c r="H533" s="28" t="n"/>
      <c r="I533" s="28" t="n"/>
      <c r="J533" s="28" t="n"/>
      <c r="K533" s="28" t="n"/>
    </row>
    <row r="534" ht="12.75" customHeight="1">
      <c r="A534" s="28" t="n"/>
      <c r="B534" s="28" t="n"/>
      <c r="C534" s="28" t="n"/>
      <c r="D534" s="28" t="n"/>
      <c r="E534" s="28" t="n"/>
      <c r="F534" s="28" t="n"/>
      <c r="G534" s="28" t="n"/>
      <c r="H534" s="28" t="n"/>
      <c r="I534" s="28" t="n"/>
      <c r="J534" s="28" t="n"/>
      <c r="K534" s="28" t="n"/>
    </row>
    <row r="535" ht="12.75" customHeight="1">
      <c r="A535" s="28" t="n"/>
      <c r="B535" s="28" t="n"/>
      <c r="C535" s="28" t="n"/>
      <c r="D535" s="28" t="n"/>
      <c r="E535" s="28" t="n"/>
      <c r="F535" s="28" t="n"/>
      <c r="G535" s="28" t="n"/>
      <c r="H535" s="28" t="n"/>
      <c r="I535" s="28" t="n"/>
      <c r="J535" s="28" t="n"/>
      <c r="K535" s="28" t="n"/>
    </row>
    <row r="536" ht="12.75" customHeight="1">
      <c r="A536" s="28" t="n"/>
      <c r="B536" s="28" t="n"/>
      <c r="C536" s="28" t="n"/>
      <c r="D536" s="28" t="n"/>
      <c r="E536" s="28" t="n"/>
      <c r="F536" s="28" t="n"/>
      <c r="G536" s="28" t="n"/>
      <c r="H536" s="28" t="n"/>
      <c r="I536" s="28" t="n"/>
      <c r="J536" s="28" t="n"/>
      <c r="K536" s="28" t="n"/>
    </row>
    <row r="537" ht="12.75" customHeight="1">
      <c r="A537" s="28" t="n"/>
      <c r="B537" s="28" t="n"/>
      <c r="C537" s="28" t="n"/>
      <c r="D537" s="28" t="n"/>
      <c r="E537" s="28" t="n"/>
      <c r="F537" s="28" t="n"/>
      <c r="G537" s="28" t="n"/>
      <c r="H537" s="28" t="n"/>
      <c r="I537" s="28" t="n"/>
      <c r="J537" s="28" t="n"/>
      <c r="K537" s="28" t="n"/>
    </row>
    <row r="538" ht="12.75" customHeight="1">
      <c r="A538" s="28" t="n"/>
      <c r="B538" s="28" t="n"/>
      <c r="C538" s="28" t="n"/>
      <c r="D538" s="28" t="n"/>
      <c r="E538" s="28" t="n"/>
      <c r="F538" s="28" t="n"/>
      <c r="G538" s="28" t="n"/>
      <c r="H538" s="28" t="n"/>
      <c r="I538" s="28" t="n"/>
      <c r="J538" s="28" t="n"/>
      <c r="K538" s="28" t="n"/>
    </row>
    <row r="539" ht="12.75" customHeight="1">
      <c r="A539" s="28" t="n"/>
      <c r="B539" s="28" t="n"/>
      <c r="C539" s="28" t="n"/>
      <c r="D539" s="28" t="n"/>
      <c r="E539" s="28" t="n"/>
      <c r="F539" s="28" t="n"/>
      <c r="G539" s="28" t="n"/>
      <c r="H539" s="28" t="n"/>
      <c r="I539" s="28" t="n"/>
      <c r="J539" s="28" t="n"/>
      <c r="K539" s="28" t="n"/>
    </row>
    <row r="540" ht="12.75" customHeight="1">
      <c r="A540" s="28" t="n"/>
      <c r="B540" s="28" t="n"/>
      <c r="C540" s="28" t="n"/>
      <c r="D540" s="28" t="n"/>
      <c r="E540" s="28" t="n"/>
      <c r="F540" s="28" t="n"/>
      <c r="G540" s="28" t="n"/>
      <c r="H540" s="28" t="n"/>
      <c r="I540" s="28" t="n"/>
      <c r="J540" s="28" t="n"/>
      <c r="K540" s="28" t="n"/>
    </row>
    <row r="541" ht="12.75" customHeight="1">
      <c r="A541" s="28" t="n"/>
      <c r="B541" s="28" t="n"/>
      <c r="C541" s="28" t="n"/>
      <c r="D541" s="28" t="n"/>
      <c r="E541" s="28" t="n"/>
      <c r="F541" s="28" t="n"/>
      <c r="G541" s="28" t="n"/>
      <c r="H541" s="28" t="n"/>
      <c r="I541" s="28" t="n"/>
      <c r="J541" s="28" t="n"/>
      <c r="K541" s="28" t="n"/>
    </row>
    <row r="542" ht="12.75" customHeight="1">
      <c r="A542" s="28" t="n"/>
      <c r="B542" s="28" t="n"/>
      <c r="C542" s="28" t="n"/>
      <c r="D542" s="28" t="n"/>
      <c r="E542" s="28" t="n"/>
      <c r="F542" s="28" t="n"/>
      <c r="G542" s="28" t="n"/>
      <c r="H542" s="28" t="n"/>
      <c r="I542" s="28" t="n"/>
      <c r="J542" s="28" t="n"/>
      <c r="K542" s="28" t="n"/>
    </row>
    <row r="543" ht="12.75" customHeight="1">
      <c r="A543" s="28" t="n"/>
      <c r="B543" s="28" t="n"/>
      <c r="C543" s="28" t="n"/>
      <c r="D543" s="28" t="n"/>
      <c r="E543" s="28" t="n"/>
      <c r="F543" s="28" t="n"/>
      <c r="G543" s="28" t="n"/>
      <c r="H543" s="28" t="n"/>
      <c r="I543" s="28" t="n"/>
      <c r="J543" s="28" t="n"/>
      <c r="K543" s="28" t="n"/>
    </row>
    <row r="544" ht="12.75" customHeight="1">
      <c r="A544" s="28" t="n"/>
      <c r="B544" s="28" t="n"/>
      <c r="C544" s="28" t="n"/>
      <c r="D544" s="28" t="n"/>
      <c r="E544" s="28" t="n"/>
      <c r="F544" s="28" t="n"/>
      <c r="G544" s="28" t="n"/>
      <c r="H544" s="28" t="n"/>
      <c r="I544" s="28" t="n"/>
      <c r="J544" s="28" t="n"/>
      <c r="K544" s="28" t="n"/>
    </row>
    <row r="545" ht="12.75" customHeight="1">
      <c r="A545" s="28" t="n"/>
      <c r="B545" s="28" t="n"/>
      <c r="C545" s="28" t="n"/>
      <c r="D545" s="28" t="n"/>
      <c r="E545" s="28" t="n"/>
      <c r="F545" s="28" t="n"/>
      <c r="G545" s="28" t="n"/>
      <c r="H545" s="28" t="n"/>
      <c r="I545" s="28" t="n"/>
      <c r="J545" s="28" t="n"/>
      <c r="K545" s="28" t="n"/>
    </row>
    <row r="546" ht="12.75" customHeight="1">
      <c r="A546" s="28" t="n"/>
      <c r="B546" s="28" t="n"/>
      <c r="C546" s="28" t="n"/>
      <c r="D546" s="28" t="n"/>
      <c r="E546" s="28" t="n"/>
      <c r="F546" s="28" t="n"/>
      <c r="G546" s="28" t="n"/>
      <c r="H546" s="28" t="n"/>
      <c r="I546" s="28" t="n"/>
      <c r="J546" s="28" t="n"/>
      <c r="K546" s="28" t="n"/>
    </row>
    <row r="547" ht="12.75" customHeight="1">
      <c r="A547" s="28" t="n"/>
      <c r="B547" s="28" t="n"/>
      <c r="C547" s="28" t="n"/>
      <c r="D547" s="28" t="n"/>
      <c r="E547" s="28" t="n"/>
      <c r="F547" s="28" t="n"/>
      <c r="G547" s="28" t="n"/>
      <c r="H547" s="28" t="n"/>
      <c r="I547" s="28" t="n"/>
      <c r="J547" s="28" t="n"/>
      <c r="K547" s="28" t="n"/>
    </row>
    <row r="548" ht="12.75" customHeight="1">
      <c r="A548" s="28" t="n"/>
      <c r="B548" s="28" t="n"/>
      <c r="C548" s="28" t="n"/>
      <c r="D548" s="28" t="n"/>
      <c r="E548" s="28" t="n"/>
      <c r="F548" s="28" t="n"/>
      <c r="G548" s="28" t="n"/>
      <c r="H548" s="28" t="n"/>
      <c r="I548" s="28" t="n"/>
      <c r="J548" s="28" t="n"/>
      <c r="K548" s="28" t="n"/>
    </row>
    <row r="549" ht="12.75" customHeight="1">
      <c r="A549" s="28" t="n"/>
      <c r="B549" s="28" t="n"/>
      <c r="C549" s="28" t="n"/>
      <c r="D549" s="28" t="n"/>
      <c r="E549" s="28" t="n"/>
      <c r="F549" s="28" t="n"/>
      <c r="G549" s="28" t="n"/>
      <c r="H549" s="28" t="n"/>
      <c r="I549" s="28" t="n"/>
      <c r="J549" s="28" t="n"/>
      <c r="K549" s="28" t="n"/>
    </row>
    <row r="550" ht="12.75" customHeight="1">
      <c r="A550" s="28" t="n"/>
      <c r="B550" s="28" t="n"/>
      <c r="C550" s="28" t="n"/>
      <c r="D550" s="28" t="n"/>
      <c r="E550" s="28" t="n"/>
      <c r="F550" s="28" t="n"/>
      <c r="G550" s="28" t="n"/>
      <c r="H550" s="28" t="n"/>
      <c r="I550" s="28" t="n"/>
      <c r="J550" s="28" t="n"/>
      <c r="K550" s="28" t="n"/>
    </row>
    <row r="551" ht="12.75" customHeight="1">
      <c r="A551" s="28" t="n"/>
      <c r="B551" s="28" t="n"/>
      <c r="C551" s="28" t="n"/>
      <c r="D551" s="28" t="n"/>
      <c r="E551" s="28" t="n"/>
      <c r="F551" s="28" t="n"/>
      <c r="G551" s="28" t="n"/>
      <c r="H551" s="28" t="n"/>
      <c r="I551" s="28" t="n"/>
      <c r="J551" s="28" t="n"/>
      <c r="K551" s="28" t="n"/>
    </row>
    <row r="552" ht="12.75" customHeight="1">
      <c r="A552" s="28" t="n"/>
      <c r="B552" s="28" t="n"/>
      <c r="C552" s="28" t="n"/>
      <c r="D552" s="28" t="n"/>
      <c r="E552" s="28" t="n"/>
      <c r="F552" s="28" t="n"/>
      <c r="G552" s="28" t="n"/>
      <c r="H552" s="28" t="n"/>
      <c r="I552" s="28" t="n"/>
      <c r="J552" s="28" t="n"/>
      <c r="K552" s="28" t="n"/>
    </row>
    <row r="553" ht="12.75" customHeight="1">
      <c r="A553" s="28" t="n"/>
      <c r="B553" s="28" t="n"/>
      <c r="C553" s="28" t="n"/>
      <c r="D553" s="28" t="n"/>
      <c r="E553" s="28" t="n"/>
      <c r="F553" s="28" t="n"/>
      <c r="G553" s="28" t="n"/>
      <c r="H553" s="28" t="n"/>
      <c r="I553" s="28" t="n"/>
      <c r="J553" s="28" t="n"/>
      <c r="K553" s="28" t="n"/>
    </row>
    <row r="554" ht="12.75" customHeight="1">
      <c r="A554" s="28" t="n"/>
      <c r="B554" s="28" t="n"/>
      <c r="C554" s="28" t="n"/>
      <c r="D554" s="28" t="n"/>
      <c r="E554" s="28" t="n"/>
      <c r="F554" s="28" t="n"/>
      <c r="G554" s="28" t="n"/>
      <c r="H554" s="28" t="n"/>
      <c r="I554" s="28" t="n"/>
      <c r="J554" s="28" t="n"/>
      <c r="K554" s="28" t="n"/>
    </row>
    <row r="555" ht="12.75" customHeight="1">
      <c r="A555" s="28" t="n"/>
      <c r="B555" s="28" t="n"/>
      <c r="C555" s="28" t="n"/>
      <c r="D555" s="28" t="n"/>
      <c r="E555" s="28" t="n"/>
      <c r="F555" s="28" t="n"/>
      <c r="G555" s="28" t="n"/>
      <c r="H555" s="28" t="n"/>
      <c r="I555" s="28" t="n"/>
      <c r="J555" s="28" t="n"/>
      <c r="K555" s="28" t="n"/>
    </row>
    <row r="556" ht="12.75" customHeight="1">
      <c r="A556" s="28" t="n"/>
      <c r="B556" s="28" t="n"/>
      <c r="C556" s="28" t="n"/>
      <c r="D556" s="28" t="n"/>
      <c r="E556" s="28" t="n"/>
      <c r="F556" s="28" t="n"/>
      <c r="G556" s="28" t="n"/>
      <c r="H556" s="28" t="n"/>
      <c r="I556" s="28" t="n"/>
      <c r="J556" s="28" t="n"/>
      <c r="K556" s="28" t="n"/>
    </row>
    <row r="557" ht="12.75" customHeight="1">
      <c r="A557" s="28" t="n"/>
      <c r="B557" s="28" t="n"/>
      <c r="C557" s="28" t="n"/>
      <c r="D557" s="28" t="n"/>
      <c r="E557" s="28" t="n"/>
      <c r="F557" s="28" t="n"/>
      <c r="G557" s="28" t="n"/>
      <c r="H557" s="28" t="n"/>
      <c r="I557" s="28" t="n"/>
      <c r="J557" s="28" t="n"/>
      <c r="K557" s="28" t="n"/>
    </row>
    <row r="558" ht="12.75" customHeight="1">
      <c r="A558" s="28" t="n"/>
      <c r="B558" s="28" t="n"/>
      <c r="C558" s="28" t="n"/>
      <c r="D558" s="28" t="n"/>
      <c r="E558" s="28" t="n"/>
      <c r="F558" s="28" t="n"/>
      <c r="G558" s="28" t="n"/>
      <c r="H558" s="28" t="n"/>
      <c r="I558" s="28" t="n"/>
      <c r="J558" s="28" t="n"/>
      <c r="K558" s="28" t="n"/>
    </row>
    <row r="559" ht="12.75" customHeight="1">
      <c r="A559" s="28" t="n"/>
      <c r="B559" s="28" t="n"/>
      <c r="C559" s="28" t="n"/>
      <c r="D559" s="28" t="n"/>
      <c r="E559" s="28" t="n"/>
      <c r="F559" s="28" t="n"/>
      <c r="G559" s="28" t="n"/>
      <c r="H559" s="28" t="n"/>
      <c r="I559" s="28" t="n"/>
      <c r="J559" s="28" t="n"/>
      <c r="K559" s="28" t="n"/>
    </row>
    <row r="560" ht="12.75" customHeight="1">
      <c r="A560" s="28" t="n"/>
      <c r="B560" s="28" t="n"/>
      <c r="C560" s="28" t="n"/>
      <c r="D560" s="28" t="n"/>
      <c r="E560" s="28" t="n"/>
      <c r="F560" s="28" t="n"/>
      <c r="G560" s="28" t="n"/>
      <c r="H560" s="28" t="n"/>
      <c r="I560" s="28" t="n"/>
      <c r="J560" s="28" t="n"/>
      <c r="K560" s="28" t="n"/>
    </row>
    <row r="561" ht="12.75" customHeight="1">
      <c r="A561" s="28" t="n"/>
      <c r="B561" s="28" t="n"/>
      <c r="C561" s="28" t="n"/>
      <c r="D561" s="28" t="n"/>
      <c r="E561" s="28" t="n"/>
      <c r="F561" s="28" t="n"/>
      <c r="G561" s="28" t="n"/>
      <c r="H561" s="28" t="n"/>
      <c r="I561" s="28" t="n"/>
      <c r="J561" s="28" t="n"/>
      <c r="K561" s="28" t="n"/>
    </row>
    <row r="562" ht="12.75" customHeight="1">
      <c r="A562" s="28" t="n"/>
      <c r="B562" s="28" t="n"/>
      <c r="C562" s="28" t="n"/>
      <c r="D562" s="28" t="n"/>
      <c r="E562" s="28" t="n"/>
      <c r="F562" s="28" t="n"/>
      <c r="G562" s="28" t="n"/>
      <c r="H562" s="28" t="n"/>
      <c r="I562" s="28" t="n"/>
      <c r="J562" s="28" t="n"/>
      <c r="K562" s="28" t="n"/>
    </row>
    <row r="563" ht="12.75" customHeight="1">
      <c r="A563" s="28" t="n"/>
      <c r="B563" s="28" t="n"/>
      <c r="C563" s="28" t="n"/>
      <c r="D563" s="28" t="n"/>
      <c r="E563" s="28" t="n"/>
      <c r="F563" s="28" t="n"/>
      <c r="G563" s="28" t="n"/>
      <c r="H563" s="28" t="n"/>
      <c r="I563" s="28" t="n"/>
      <c r="J563" s="28" t="n"/>
      <c r="K563" s="28" t="n"/>
    </row>
    <row r="564" ht="12.75" customHeight="1">
      <c r="A564" s="28" t="n"/>
      <c r="B564" s="28" t="n"/>
      <c r="C564" s="28" t="n"/>
      <c r="D564" s="28" t="n"/>
      <c r="E564" s="28" t="n"/>
      <c r="F564" s="28" t="n"/>
      <c r="G564" s="28" t="n"/>
      <c r="H564" s="28" t="n"/>
      <c r="I564" s="28" t="n"/>
      <c r="J564" s="28" t="n"/>
      <c r="K564" s="28" t="n"/>
    </row>
    <row r="565" ht="12.75" customHeight="1">
      <c r="A565" s="28" t="n"/>
      <c r="B565" s="28" t="n"/>
      <c r="C565" s="28" t="n"/>
      <c r="D565" s="28" t="n"/>
      <c r="E565" s="28" t="n"/>
      <c r="F565" s="28" t="n"/>
      <c r="G565" s="28" t="n"/>
      <c r="H565" s="28" t="n"/>
      <c r="I565" s="28" t="n"/>
      <c r="J565" s="28" t="n"/>
      <c r="K565" s="28" t="n"/>
    </row>
    <row r="566" ht="12.75" customHeight="1">
      <c r="A566" s="28" t="n"/>
      <c r="B566" s="28" t="n"/>
      <c r="C566" s="28" t="n"/>
      <c r="D566" s="28" t="n"/>
      <c r="E566" s="28" t="n"/>
      <c r="F566" s="28" t="n"/>
      <c r="G566" s="28" t="n"/>
      <c r="H566" s="28" t="n"/>
      <c r="I566" s="28" t="n"/>
      <c r="J566" s="28" t="n"/>
      <c r="K566" s="28" t="n"/>
    </row>
    <row r="567" ht="12.75" customHeight="1">
      <c r="A567" s="28" t="n"/>
      <c r="B567" s="28" t="n"/>
      <c r="C567" s="28" t="n"/>
      <c r="D567" s="28" t="n"/>
      <c r="E567" s="28" t="n"/>
      <c r="F567" s="28" t="n"/>
      <c r="G567" s="28" t="n"/>
      <c r="H567" s="28" t="n"/>
      <c r="I567" s="28" t="n"/>
      <c r="J567" s="28" t="n"/>
      <c r="K567" s="28" t="n"/>
    </row>
    <row r="568" ht="12.75" customHeight="1">
      <c r="A568" s="28" t="n"/>
      <c r="B568" s="28" t="n"/>
      <c r="C568" s="28" t="n"/>
      <c r="D568" s="28" t="n"/>
      <c r="E568" s="28" t="n"/>
      <c r="F568" s="28" t="n"/>
      <c r="G568" s="28" t="n"/>
      <c r="H568" s="28" t="n"/>
      <c r="I568" s="28" t="n"/>
      <c r="J568" s="28" t="n"/>
      <c r="K568" s="28" t="n"/>
    </row>
    <row r="569" ht="12.75" customHeight="1">
      <c r="A569" s="28" t="n"/>
      <c r="B569" s="28" t="n"/>
      <c r="C569" s="28" t="n"/>
      <c r="D569" s="28" t="n"/>
      <c r="E569" s="28" t="n"/>
      <c r="F569" s="28" t="n"/>
      <c r="G569" s="28" t="n"/>
      <c r="H569" s="28" t="n"/>
      <c r="I569" s="28" t="n"/>
      <c r="J569" s="28" t="n"/>
      <c r="K569" s="28" t="n"/>
    </row>
    <row r="570" ht="12.75" customHeight="1">
      <c r="A570" s="28" t="n"/>
      <c r="B570" s="28" t="n"/>
      <c r="C570" s="28" t="n"/>
      <c r="D570" s="28" t="n"/>
      <c r="E570" s="28" t="n"/>
      <c r="F570" s="28" t="n"/>
      <c r="G570" s="28" t="n"/>
      <c r="H570" s="28" t="n"/>
      <c r="I570" s="28" t="n"/>
      <c r="J570" s="28" t="n"/>
      <c r="K570" s="28" t="n"/>
    </row>
    <row r="571" ht="12.75" customHeight="1">
      <c r="A571" s="28" t="n"/>
      <c r="B571" s="28" t="n"/>
      <c r="C571" s="28" t="n"/>
      <c r="D571" s="28" t="n"/>
      <c r="E571" s="28" t="n"/>
      <c r="F571" s="28" t="n"/>
      <c r="G571" s="28" t="n"/>
      <c r="H571" s="28" t="n"/>
      <c r="I571" s="28" t="n"/>
      <c r="J571" s="28" t="n"/>
      <c r="K571" s="28" t="n"/>
    </row>
    <row r="572" ht="12.75" customHeight="1">
      <c r="A572" s="28" t="n"/>
      <c r="B572" s="28" t="n"/>
      <c r="C572" s="28" t="n"/>
      <c r="D572" s="28" t="n"/>
      <c r="E572" s="28" t="n"/>
      <c r="F572" s="28" t="n"/>
      <c r="G572" s="28" t="n"/>
      <c r="H572" s="28" t="n"/>
      <c r="I572" s="28" t="n"/>
      <c r="J572" s="28" t="n"/>
      <c r="K572" s="28" t="n"/>
    </row>
    <row r="573" ht="12.75" customHeight="1">
      <c r="A573" s="28" t="n"/>
      <c r="B573" s="28" t="n"/>
      <c r="C573" s="28" t="n"/>
      <c r="D573" s="28" t="n"/>
      <c r="E573" s="28" t="n"/>
      <c r="F573" s="28" t="n"/>
      <c r="G573" s="28" t="n"/>
      <c r="H573" s="28" t="n"/>
      <c r="I573" s="28" t="n"/>
      <c r="J573" s="28" t="n"/>
      <c r="K573" s="28" t="n"/>
    </row>
    <row r="574" ht="12.75" customHeight="1">
      <c r="A574" s="28" t="n"/>
      <c r="B574" s="28" t="n"/>
      <c r="C574" s="28" t="n"/>
      <c r="D574" s="28" t="n"/>
      <c r="E574" s="28" t="n"/>
      <c r="F574" s="28" t="n"/>
      <c r="G574" s="28" t="n"/>
      <c r="H574" s="28" t="n"/>
      <c r="I574" s="28" t="n"/>
      <c r="J574" s="28" t="n"/>
      <c r="K574" s="28" t="n"/>
    </row>
    <row r="575" ht="12.75" customHeight="1">
      <c r="A575" s="28" t="n"/>
      <c r="B575" s="28" t="n"/>
      <c r="C575" s="28" t="n"/>
      <c r="D575" s="28" t="n"/>
      <c r="E575" s="28" t="n"/>
      <c r="F575" s="28" t="n"/>
      <c r="G575" s="28" t="n"/>
      <c r="H575" s="28" t="n"/>
      <c r="I575" s="28" t="n"/>
      <c r="J575" s="28" t="n"/>
      <c r="K575" s="28" t="n"/>
    </row>
    <row r="576" ht="12.75" customHeight="1">
      <c r="A576" s="28" t="n"/>
      <c r="B576" s="28" t="n"/>
      <c r="C576" s="28" t="n"/>
      <c r="D576" s="28" t="n"/>
      <c r="E576" s="28" t="n"/>
      <c r="F576" s="28" t="n"/>
      <c r="G576" s="28" t="n"/>
      <c r="H576" s="28" t="n"/>
      <c r="I576" s="28" t="n"/>
      <c r="J576" s="28" t="n"/>
      <c r="K576" s="28" t="n"/>
    </row>
    <row r="577" ht="12.75" customHeight="1">
      <c r="A577" s="28" t="n"/>
      <c r="B577" s="28" t="n"/>
      <c r="C577" s="28" t="n"/>
      <c r="D577" s="28" t="n"/>
      <c r="E577" s="28" t="n"/>
      <c r="F577" s="28" t="n"/>
      <c r="G577" s="28" t="n"/>
      <c r="H577" s="28" t="n"/>
      <c r="I577" s="28" t="n"/>
      <c r="J577" s="28" t="n"/>
      <c r="K577" s="28" t="n"/>
    </row>
    <row r="578" ht="12.75" customHeight="1">
      <c r="A578" s="28" t="n"/>
      <c r="B578" s="28" t="n"/>
      <c r="C578" s="28" t="n"/>
      <c r="D578" s="28" t="n"/>
      <c r="E578" s="28" t="n"/>
      <c r="F578" s="28" t="n"/>
      <c r="G578" s="28" t="n"/>
      <c r="H578" s="28" t="n"/>
      <c r="I578" s="28" t="n"/>
      <c r="J578" s="28" t="n"/>
      <c r="K578" s="28" t="n"/>
    </row>
    <row r="579" ht="12.75" customHeight="1">
      <c r="A579" s="28" t="n"/>
      <c r="B579" s="28" t="n"/>
      <c r="C579" s="28" t="n"/>
      <c r="D579" s="28" t="n"/>
      <c r="E579" s="28" t="n"/>
      <c r="F579" s="28" t="n"/>
      <c r="G579" s="28" t="n"/>
      <c r="H579" s="28" t="n"/>
      <c r="I579" s="28" t="n"/>
      <c r="J579" s="28" t="n"/>
      <c r="K579" s="28" t="n"/>
    </row>
    <row r="580" ht="12.75" customHeight="1">
      <c r="A580" s="28" t="n"/>
      <c r="B580" s="28" t="n"/>
      <c r="C580" s="28" t="n"/>
      <c r="D580" s="28" t="n"/>
      <c r="E580" s="28" t="n"/>
      <c r="F580" s="28" t="n"/>
      <c r="G580" s="28" t="n"/>
      <c r="H580" s="28" t="n"/>
      <c r="I580" s="28" t="n"/>
      <c r="J580" s="28" t="n"/>
      <c r="K580" s="28" t="n"/>
    </row>
    <row r="581" ht="12.75" customHeight="1">
      <c r="A581" s="28" t="n"/>
      <c r="B581" s="28" t="n"/>
      <c r="C581" s="28" t="n"/>
      <c r="D581" s="28" t="n"/>
      <c r="E581" s="28" t="n"/>
      <c r="F581" s="28" t="n"/>
      <c r="G581" s="28" t="n"/>
      <c r="H581" s="28" t="n"/>
      <c r="I581" s="28" t="n"/>
      <c r="J581" s="28" t="n"/>
      <c r="K581" s="28" t="n"/>
    </row>
    <row r="582" ht="12.75" customHeight="1">
      <c r="A582" s="28" t="n"/>
      <c r="B582" s="28" t="n"/>
      <c r="C582" s="28" t="n"/>
      <c r="D582" s="28" t="n"/>
      <c r="E582" s="28" t="n"/>
      <c r="F582" s="28" t="n"/>
      <c r="G582" s="28" t="n"/>
      <c r="H582" s="28" t="n"/>
      <c r="I582" s="28" t="n"/>
      <c r="J582" s="28" t="n"/>
      <c r="K582" s="28" t="n"/>
    </row>
    <row r="583" ht="12.75" customHeight="1">
      <c r="A583" s="28" t="n"/>
      <c r="B583" s="28" t="n"/>
      <c r="C583" s="28" t="n"/>
      <c r="D583" s="28" t="n"/>
      <c r="E583" s="28" t="n"/>
      <c r="F583" s="28" t="n"/>
      <c r="G583" s="28" t="n"/>
      <c r="H583" s="28" t="n"/>
      <c r="I583" s="28" t="n"/>
      <c r="J583" s="28" t="n"/>
      <c r="K583" s="28" t="n"/>
    </row>
    <row r="584" ht="12.75" customHeight="1">
      <c r="A584" s="28" t="n"/>
      <c r="B584" s="28" t="n"/>
      <c r="C584" s="28" t="n"/>
      <c r="D584" s="28" t="n"/>
      <c r="E584" s="28" t="n"/>
      <c r="F584" s="28" t="n"/>
      <c r="G584" s="28" t="n"/>
      <c r="H584" s="28" t="n"/>
      <c r="I584" s="28" t="n"/>
      <c r="J584" s="28" t="n"/>
      <c r="K584" s="28" t="n"/>
    </row>
    <row r="585" ht="12.75" customHeight="1">
      <c r="A585" s="28" t="n"/>
      <c r="B585" s="28" t="n"/>
      <c r="C585" s="28" t="n"/>
      <c r="D585" s="28" t="n"/>
      <c r="E585" s="28" t="n"/>
      <c r="F585" s="28" t="n"/>
      <c r="G585" s="28" t="n"/>
      <c r="H585" s="28" t="n"/>
      <c r="I585" s="28" t="n"/>
      <c r="J585" s="28" t="n"/>
      <c r="K585" s="28" t="n"/>
    </row>
    <row r="586" ht="12.75" customHeight="1">
      <c r="A586" s="28" t="n"/>
      <c r="B586" s="28" t="n"/>
      <c r="C586" s="28" t="n"/>
      <c r="D586" s="28" t="n"/>
      <c r="E586" s="28" t="n"/>
      <c r="F586" s="28" t="n"/>
      <c r="G586" s="28" t="n"/>
      <c r="H586" s="28" t="n"/>
      <c r="I586" s="28" t="n"/>
      <c r="J586" s="28" t="n"/>
      <c r="K586" s="28" t="n"/>
    </row>
    <row r="587" ht="12.75" customHeight="1">
      <c r="A587" s="28" t="n"/>
      <c r="B587" s="28" t="n"/>
      <c r="C587" s="28" t="n"/>
      <c r="D587" s="28" t="n"/>
      <c r="E587" s="28" t="n"/>
      <c r="F587" s="28" t="n"/>
      <c r="G587" s="28" t="n"/>
      <c r="H587" s="28" t="n"/>
      <c r="I587" s="28" t="n"/>
      <c r="J587" s="28" t="n"/>
      <c r="K587" s="28" t="n"/>
    </row>
    <row r="588" ht="12.75" customHeight="1">
      <c r="A588" s="28" t="n"/>
      <c r="B588" s="28" t="n"/>
      <c r="C588" s="28" t="n"/>
      <c r="D588" s="28" t="n"/>
      <c r="E588" s="28" t="n"/>
      <c r="F588" s="28" t="n"/>
      <c r="G588" s="28" t="n"/>
      <c r="H588" s="28" t="n"/>
      <c r="I588" s="28" t="n"/>
      <c r="J588" s="28" t="n"/>
      <c r="K588" s="28" t="n"/>
    </row>
    <row r="589" ht="12.75" customHeight="1">
      <c r="A589" s="28" t="n"/>
      <c r="B589" s="28" t="n"/>
      <c r="C589" s="28" t="n"/>
      <c r="D589" s="28" t="n"/>
      <c r="E589" s="28" t="n"/>
      <c r="F589" s="28" t="n"/>
      <c r="G589" s="28" t="n"/>
      <c r="H589" s="28" t="n"/>
      <c r="I589" s="28" t="n"/>
      <c r="J589" s="28" t="n"/>
      <c r="K589" s="28" t="n"/>
    </row>
    <row r="590" ht="12.75" customHeight="1">
      <c r="A590" s="28" t="n"/>
      <c r="B590" s="28" t="n"/>
      <c r="C590" s="28" t="n"/>
      <c r="D590" s="28" t="n"/>
      <c r="E590" s="28" t="n"/>
      <c r="F590" s="28" t="n"/>
      <c r="G590" s="28" t="n"/>
      <c r="H590" s="28" t="n"/>
      <c r="I590" s="28" t="n"/>
      <c r="J590" s="28" t="n"/>
      <c r="K590" s="28" t="n"/>
    </row>
    <row r="591" ht="12.75" customHeight="1">
      <c r="A591" s="28" t="n"/>
      <c r="B591" s="28" t="n"/>
      <c r="C591" s="28" t="n"/>
      <c r="D591" s="28" t="n"/>
      <c r="E591" s="28" t="n"/>
      <c r="F591" s="28" t="n"/>
      <c r="G591" s="28" t="n"/>
      <c r="H591" s="28" t="n"/>
      <c r="I591" s="28" t="n"/>
      <c r="J591" s="28" t="n"/>
      <c r="K591" s="28" t="n"/>
    </row>
    <row r="592" ht="12.75" customHeight="1">
      <c r="A592" s="28" t="n"/>
      <c r="B592" s="28" t="n"/>
      <c r="C592" s="28" t="n"/>
      <c r="D592" s="28" t="n"/>
      <c r="E592" s="28" t="n"/>
      <c r="F592" s="28" t="n"/>
      <c r="G592" s="28" t="n"/>
      <c r="H592" s="28" t="n"/>
      <c r="I592" s="28" t="n"/>
      <c r="J592" s="28" t="n"/>
      <c r="K592" s="28" t="n"/>
    </row>
    <row r="593" ht="12.75" customHeight="1">
      <c r="A593" s="28" t="n"/>
      <c r="B593" s="28" t="n"/>
      <c r="C593" s="28" t="n"/>
      <c r="D593" s="28" t="n"/>
      <c r="E593" s="28" t="n"/>
      <c r="F593" s="28" t="n"/>
      <c r="G593" s="28" t="n"/>
      <c r="H593" s="28" t="n"/>
      <c r="I593" s="28" t="n"/>
      <c r="J593" s="28" t="n"/>
      <c r="K593" s="28" t="n"/>
    </row>
    <row r="594" ht="12.75" customHeight="1">
      <c r="A594" s="28" t="n"/>
      <c r="B594" s="28" t="n"/>
      <c r="C594" s="28" t="n"/>
      <c r="D594" s="28" t="n"/>
      <c r="E594" s="28" t="n"/>
      <c r="F594" s="28" t="n"/>
      <c r="G594" s="28" t="n"/>
      <c r="H594" s="28" t="n"/>
      <c r="I594" s="28" t="n"/>
      <c r="J594" s="28" t="n"/>
      <c r="K594" s="28" t="n"/>
    </row>
    <row r="595" ht="12.75" customHeight="1">
      <c r="A595" s="28" t="n"/>
      <c r="B595" s="28" t="n"/>
      <c r="C595" s="28" t="n"/>
      <c r="D595" s="28" t="n"/>
      <c r="E595" s="28" t="n"/>
      <c r="F595" s="28" t="n"/>
      <c r="G595" s="28" t="n"/>
      <c r="H595" s="28" t="n"/>
      <c r="I595" s="28" t="n"/>
      <c r="J595" s="28" t="n"/>
      <c r="K595" s="28" t="n"/>
    </row>
    <row r="596" ht="12.75" customHeight="1">
      <c r="A596" s="28" t="n"/>
      <c r="B596" s="28" t="n"/>
      <c r="C596" s="28" t="n"/>
      <c r="D596" s="28" t="n"/>
      <c r="E596" s="28" t="n"/>
      <c r="F596" s="28" t="n"/>
      <c r="G596" s="28" t="n"/>
      <c r="H596" s="28" t="n"/>
      <c r="I596" s="28" t="n"/>
      <c r="J596" s="28" t="n"/>
      <c r="K596" s="28" t="n"/>
    </row>
    <row r="597" ht="12.75" customHeight="1">
      <c r="A597" s="28" t="n"/>
      <c r="B597" s="28" t="n"/>
      <c r="C597" s="28" t="n"/>
      <c r="D597" s="28" t="n"/>
      <c r="E597" s="28" t="n"/>
      <c r="F597" s="28" t="n"/>
      <c r="G597" s="28" t="n"/>
      <c r="H597" s="28" t="n"/>
      <c r="I597" s="28" t="n"/>
      <c r="J597" s="28" t="n"/>
      <c r="K597" s="28" t="n"/>
    </row>
    <row r="598" ht="12.75" customHeight="1">
      <c r="A598" s="28" t="n"/>
      <c r="B598" s="28" t="n"/>
      <c r="C598" s="28" t="n"/>
      <c r="D598" s="28" t="n"/>
      <c r="E598" s="28" t="n"/>
      <c r="F598" s="28" t="n"/>
      <c r="G598" s="28" t="n"/>
      <c r="H598" s="28" t="n"/>
      <c r="I598" s="28" t="n"/>
      <c r="J598" s="28" t="n"/>
      <c r="K598" s="28" t="n"/>
    </row>
    <row r="599" ht="12.75" customHeight="1">
      <c r="A599" s="28" t="n"/>
      <c r="B599" s="28" t="n"/>
      <c r="C599" s="28" t="n"/>
      <c r="D599" s="28" t="n"/>
      <c r="E599" s="28" t="n"/>
      <c r="F599" s="28" t="n"/>
      <c r="G599" s="28" t="n"/>
      <c r="H599" s="28" t="n"/>
      <c r="I599" s="28" t="n"/>
      <c r="J599" s="28" t="n"/>
      <c r="K599" s="28" t="n"/>
    </row>
    <row r="600" ht="12.75" customHeight="1">
      <c r="A600" s="28" t="n"/>
      <c r="B600" s="28" t="n"/>
      <c r="C600" s="28" t="n"/>
      <c r="D600" s="28" t="n"/>
      <c r="E600" s="28" t="n"/>
      <c r="F600" s="28" t="n"/>
      <c r="G600" s="28" t="n"/>
      <c r="H600" s="28" t="n"/>
      <c r="I600" s="28" t="n"/>
      <c r="J600" s="28" t="n"/>
      <c r="K600" s="28" t="n"/>
    </row>
    <row r="601" ht="12.75" customHeight="1">
      <c r="A601" s="28" t="n"/>
      <c r="B601" s="28" t="n"/>
      <c r="C601" s="28" t="n"/>
      <c r="D601" s="28" t="n"/>
      <c r="E601" s="28" t="n"/>
      <c r="F601" s="28" t="n"/>
      <c r="G601" s="28" t="n"/>
      <c r="H601" s="28" t="n"/>
      <c r="I601" s="28" t="n"/>
      <c r="J601" s="28" t="n"/>
      <c r="K601" s="28" t="n"/>
    </row>
    <row r="602" ht="12.75" customHeight="1">
      <c r="A602" s="28" t="n"/>
      <c r="B602" s="28" t="n"/>
      <c r="C602" s="28" t="n"/>
      <c r="D602" s="28" t="n"/>
      <c r="E602" s="28" t="n"/>
      <c r="F602" s="28" t="n"/>
      <c r="G602" s="28" t="n"/>
      <c r="H602" s="28" t="n"/>
      <c r="I602" s="28" t="n"/>
      <c r="J602" s="28" t="n"/>
      <c r="K602" s="28" t="n"/>
    </row>
    <row r="603" ht="12.75" customHeight="1">
      <c r="A603" s="28" t="n"/>
      <c r="B603" s="28" t="n"/>
      <c r="C603" s="28" t="n"/>
      <c r="D603" s="28" t="n"/>
      <c r="E603" s="28" t="n"/>
      <c r="F603" s="28" t="n"/>
      <c r="G603" s="28" t="n"/>
      <c r="H603" s="28" t="n"/>
      <c r="I603" s="28" t="n"/>
      <c r="J603" s="28" t="n"/>
      <c r="K603" s="28" t="n"/>
    </row>
    <row r="604" ht="12.75" customHeight="1">
      <c r="A604" s="28" t="n"/>
      <c r="B604" s="28" t="n"/>
      <c r="C604" s="28" t="n"/>
      <c r="D604" s="28" t="n"/>
      <c r="E604" s="28" t="n"/>
      <c r="F604" s="28" t="n"/>
      <c r="G604" s="28" t="n"/>
      <c r="H604" s="28" t="n"/>
      <c r="I604" s="28" t="n"/>
      <c r="J604" s="28" t="n"/>
      <c r="K604" s="28" t="n"/>
    </row>
    <row r="605" ht="12.75" customHeight="1">
      <c r="A605" s="28" t="n"/>
      <c r="B605" s="28" t="n"/>
      <c r="C605" s="28" t="n"/>
      <c r="D605" s="28" t="n"/>
      <c r="E605" s="28" t="n"/>
      <c r="F605" s="28" t="n"/>
      <c r="G605" s="28" t="n"/>
      <c r="H605" s="28" t="n"/>
      <c r="I605" s="28" t="n"/>
      <c r="J605" s="28" t="n"/>
      <c r="K605" s="28" t="n"/>
    </row>
    <row r="606" ht="12.75" customHeight="1">
      <c r="A606" s="28" t="n"/>
      <c r="B606" s="28" t="n"/>
      <c r="C606" s="28" t="n"/>
      <c r="D606" s="28" t="n"/>
      <c r="E606" s="28" t="n"/>
      <c r="F606" s="28" t="n"/>
      <c r="G606" s="28" t="n"/>
      <c r="H606" s="28" t="n"/>
      <c r="I606" s="28" t="n"/>
      <c r="J606" s="28" t="n"/>
      <c r="K606" s="28" t="n"/>
    </row>
    <row r="607" ht="12.75" customHeight="1">
      <c r="A607" s="28" t="n"/>
      <c r="B607" s="28" t="n"/>
      <c r="C607" s="28" t="n"/>
      <c r="D607" s="28" t="n"/>
      <c r="E607" s="28" t="n"/>
      <c r="F607" s="28" t="n"/>
      <c r="G607" s="28" t="n"/>
      <c r="H607" s="28" t="n"/>
      <c r="I607" s="28" t="n"/>
      <c r="J607" s="28" t="n"/>
      <c r="K607" s="28" t="n"/>
    </row>
    <row r="608" ht="12.75" customHeight="1">
      <c r="A608" s="28" t="n"/>
      <c r="B608" s="28" t="n"/>
      <c r="C608" s="28" t="n"/>
      <c r="D608" s="28" t="n"/>
      <c r="E608" s="28" t="n"/>
      <c r="F608" s="28" t="n"/>
      <c r="G608" s="28" t="n"/>
      <c r="H608" s="28" t="n"/>
      <c r="I608" s="28" t="n"/>
      <c r="J608" s="28" t="n"/>
      <c r="K608" s="28" t="n"/>
    </row>
    <row r="609" ht="12.75" customHeight="1">
      <c r="A609" s="28" t="n"/>
      <c r="B609" s="28" t="n"/>
      <c r="C609" s="28" t="n"/>
      <c r="D609" s="28" t="n"/>
      <c r="E609" s="28" t="n"/>
      <c r="F609" s="28" t="n"/>
      <c r="G609" s="28" t="n"/>
      <c r="H609" s="28" t="n"/>
      <c r="I609" s="28" t="n"/>
      <c r="J609" s="28" t="n"/>
      <c r="K609" s="28" t="n"/>
    </row>
    <row r="610" ht="12.75" customHeight="1">
      <c r="A610" s="28" t="n"/>
      <c r="B610" s="28" t="n"/>
      <c r="C610" s="28" t="n"/>
      <c r="D610" s="28" t="n"/>
      <c r="E610" s="28" t="n"/>
      <c r="F610" s="28" t="n"/>
      <c r="G610" s="28" t="n"/>
      <c r="H610" s="28" t="n"/>
      <c r="I610" s="28" t="n"/>
      <c r="J610" s="28" t="n"/>
      <c r="K610" s="28" t="n"/>
    </row>
    <row r="611" ht="12.75" customHeight="1">
      <c r="A611" s="28" t="n"/>
      <c r="B611" s="28" t="n"/>
      <c r="C611" s="28" t="n"/>
      <c r="D611" s="28" t="n"/>
      <c r="E611" s="28" t="n"/>
      <c r="F611" s="28" t="n"/>
      <c r="G611" s="28" t="n"/>
      <c r="H611" s="28" t="n"/>
      <c r="I611" s="28" t="n"/>
      <c r="J611" s="28" t="n"/>
      <c r="K611" s="28" t="n"/>
    </row>
    <row r="612" ht="12.75" customHeight="1">
      <c r="A612" s="28" t="n"/>
      <c r="B612" s="28" t="n"/>
      <c r="C612" s="28" t="n"/>
      <c r="D612" s="28" t="n"/>
      <c r="E612" s="28" t="n"/>
      <c r="F612" s="28" t="n"/>
      <c r="G612" s="28" t="n"/>
      <c r="H612" s="28" t="n"/>
      <c r="I612" s="28" t="n"/>
      <c r="J612" s="28" t="n"/>
      <c r="K612" s="28" t="n"/>
    </row>
    <row r="613" ht="12.75" customHeight="1">
      <c r="A613" s="28" t="n"/>
      <c r="B613" s="28" t="n"/>
      <c r="C613" s="28" t="n"/>
      <c r="D613" s="28" t="n"/>
      <c r="E613" s="28" t="n"/>
      <c r="F613" s="28" t="n"/>
      <c r="G613" s="28" t="n"/>
      <c r="H613" s="28" t="n"/>
      <c r="I613" s="28" t="n"/>
      <c r="J613" s="28" t="n"/>
      <c r="K613" s="28" t="n"/>
    </row>
    <row r="614" ht="12.75" customHeight="1">
      <c r="A614" s="28" t="n"/>
      <c r="B614" s="28" t="n"/>
      <c r="C614" s="28" t="n"/>
      <c r="D614" s="28" t="n"/>
      <c r="E614" s="28" t="n"/>
      <c r="F614" s="28" t="n"/>
      <c r="G614" s="28" t="n"/>
      <c r="H614" s="28" t="n"/>
      <c r="I614" s="28" t="n"/>
      <c r="J614" s="28" t="n"/>
      <c r="K614" s="28" t="n"/>
    </row>
    <row r="615" ht="12.75" customHeight="1">
      <c r="A615" s="28" t="n"/>
      <c r="B615" s="28" t="n"/>
      <c r="C615" s="28" t="n"/>
      <c r="D615" s="28" t="n"/>
      <c r="E615" s="28" t="n"/>
      <c r="F615" s="28" t="n"/>
      <c r="G615" s="28" t="n"/>
      <c r="H615" s="28" t="n"/>
      <c r="I615" s="28" t="n"/>
      <c r="J615" s="28" t="n"/>
      <c r="K615" s="28" t="n"/>
    </row>
    <row r="616" ht="12.75" customHeight="1">
      <c r="A616" s="28" t="n"/>
      <c r="B616" s="28" t="n"/>
      <c r="C616" s="28" t="n"/>
      <c r="D616" s="28" t="n"/>
      <c r="E616" s="28" t="n"/>
      <c r="F616" s="28" t="n"/>
      <c r="G616" s="28" t="n"/>
      <c r="H616" s="28" t="n"/>
      <c r="I616" s="28" t="n"/>
      <c r="J616" s="28" t="n"/>
      <c r="K616" s="28" t="n"/>
    </row>
    <row r="617" ht="12.75" customHeight="1">
      <c r="A617" s="28" t="n"/>
      <c r="B617" s="28" t="n"/>
      <c r="C617" s="28" t="n"/>
      <c r="D617" s="28" t="n"/>
      <c r="E617" s="28" t="n"/>
      <c r="F617" s="28" t="n"/>
      <c r="G617" s="28" t="n"/>
      <c r="H617" s="28" t="n"/>
      <c r="I617" s="28" t="n"/>
      <c r="J617" s="28" t="n"/>
      <c r="K617" s="28" t="n"/>
    </row>
    <row r="618" ht="12.75" customHeight="1">
      <c r="A618" s="28" t="n"/>
      <c r="B618" s="28" t="n"/>
      <c r="C618" s="28" t="n"/>
      <c r="D618" s="28" t="n"/>
      <c r="E618" s="28" t="n"/>
      <c r="F618" s="28" t="n"/>
      <c r="G618" s="28" t="n"/>
      <c r="H618" s="28" t="n"/>
      <c r="I618" s="28" t="n"/>
      <c r="J618" s="28" t="n"/>
      <c r="K618" s="28" t="n"/>
    </row>
    <row r="619" ht="12.75" customHeight="1">
      <c r="A619" s="28" t="n"/>
      <c r="B619" s="28" t="n"/>
      <c r="C619" s="28" t="n"/>
      <c r="D619" s="28" t="n"/>
      <c r="E619" s="28" t="n"/>
      <c r="F619" s="28" t="n"/>
      <c r="G619" s="28" t="n"/>
      <c r="H619" s="28" t="n"/>
      <c r="I619" s="28" t="n"/>
      <c r="J619" s="28" t="n"/>
      <c r="K619" s="28" t="n"/>
    </row>
    <row r="620" ht="12.75" customHeight="1">
      <c r="A620" s="28" t="n"/>
      <c r="B620" s="28" t="n"/>
      <c r="C620" s="28" t="n"/>
      <c r="D620" s="28" t="n"/>
      <c r="E620" s="28" t="n"/>
      <c r="F620" s="28" t="n"/>
      <c r="G620" s="28" t="n"/>
      <c r="H620" s="28" t="n"/>
      <c r="I620" s="28" t="n"/>
      <c r="J620" s="28" t="n"/>
      <c r="K620" s="28" t="n"/>
    </row>
    <row r="621" ht="12.75" customHeight="1">
      <c r="A621" s="28" t="n"/>
      <c r="B621" s="28" t="n"/>
      <c r="C621" s="28" t="n"/>
      <c r="D621" s="28" t="n"/>
      <c r="E621" s="28" t="n"/>
      <c r="F621" s="28" t="n"/>
      <c r="G621" s="28" t="n"/>
      <c r="H621" s="28" t="n"/>
      <c r="I621" s="28" t="n"/>
      <c r="J621" s="28" t="n"/>
      <c r="K621" s="28" t="n"/>
    </row>
    <row r="622" ht="12.75" customHeight="1">
      <c r="A622" s="28" t="n"/>
      <c r="B622" s="28" t="n"/>
      <c r="C622" s="28" t="n"/>
      <c r="D622" s="28" t="n"/>
      <c r="E622" s="28" t="n"/>
      <c r="F622" s="28" t="n"/>
      <c r="G622" s="28" t="n"/>
      <c r="H622" s="28" t="n"/>
      <c r="I622" s="28" t="n"/>
      <c r="J622" s="28" t="n"/>
      <c r="K622" s="28" t="n"/>
    </row>
    <row r="623" ht="12.75" customHeight="1">
      <c r="A623" s="28" t="n"/>
      <c r="B623" s="28" t="n"/>
      <c r="C623" s="28" t="n"/>
      <c r="D623" s="28" t="n"/>
      <c r="E623" s="28" t="n"/>
      <c r="F623" s="28" t="n"/>
      <c r="G623" s="28" t="n"/>
      <c r="H623" s="28" t="n"/>
      <c r="I623" s="28" t="n"/>
      <c r="J623" s="28" t="n"/>
      <c r="K623" s="28" t="n"/>
    </row>
    <row r="624" ht="12.75" customHeight="1">
      <c r="A624" s="28" t="n"/>
      <c r="B624" s="28" t="n"/>
      <c r="C624" s="28" t="n"/>
      <c r="D624" s="28" t="n"/>
      <c r="E624" s="28" t="n"/>
      <c r="F624" s="28" t="n"/>
      <c r="G624" s="28" t="n"/>
      <c r="H624" s="28" t="n"/>
      <c r="I624" s="28" t="n"/>
      <c r="J624" s="28" t="n"/>
      <c r="K624" s="28" t="n"/>
    </row>
    <row r="625" ht="12.75" customHeight="1">
      <c r="A625" s="28" t="n"/>
      <c r="B625" s="28" t="n"/>
      <c r="C625" s="28" t="n"/>
      <c r="D625" s="28" t="n"/>
      <c r="E625" s="28" t="n"/>
      <c r="F625" s="28" t="n"/>
      <c r="G625" s="28" t="n"/>
      <c r="H625" s="28" t="n"/>
      <c r="I625" s="28" t="n"/>
      <c r="J625" s="28" t="n"/>
      <c r="K625" s="28" t="n"/>
    </row>
    <row r="626" ht="12.75" customHeight="1">
      <c r="A626" s="28" t="n"/>
      <c r="B626" s="28" t="n"/>
      <c r="C626" s="28" t="n"/>
      <c r="D626" s="28" t="n"/>
      <c r="E626" s="28" t="n"/>
      <c r="F626" s="28" t="n"/>
      <c r="G626" s="28" t="n"/>
      <c r="H626" s="28" t="n"/>
      <c r="I626" s="28" t="n"/>
      <c r="J626" s="28" t="n"/>
      <c r="K626" s="28" t="n"/>
    </row>
    <row r="627" ht="12.75" customHeight="1">
      <c r="A627" s="28" t="n"/>
      <c r="B627" s="28" t="n"/>
      <c r="C627" s="28" t="n"/>
      <c r="D627" s="28" t="n"/>
      <c r="E627" s="28" t="n"/>
      <c r="F627" s="28" t="n"/>
      <c r="G627" s="28" t="n"/>
      <c r="H627" s="28" t="n"/>
      <c r="I627" s="28" t="n"/>
      <c r="J627" s="28" t="n"/>
      <c r="K627" s="28" t="n"/>
    </row>
    <row r="628" ht="12.75" customHeight="1">
      <c r="A628" s="28" t="n"/>
      <c r="B628" s="28" t="n"/>
      <c r="C628" s="28" t="n"/>
      <c r="D628" s="28" t="n"/>
      <c r="E628" s="28" t="n"/>
      <c r="F628" s="28" t="n"/>
      <c r="G628" s="28" t="n"/>
      <c r="H628" s="28" t="n"/>
      <c r="I628" s="28" t="n"/>
      <c r="J628" s="28" t="n"/>
      <c r="K628" s="28" t="n"/>
    </row>
    <row r="629" ht="12.75" customHeight="1">
      <c r="A629" s="28" t="n"/>
      <c r="B629" s="28" t="n"/>
      <c r="C629" s="28" t="n"/>
      <c r="D629" s="28" t="n"/>
      <c r="E629" s="28" t="n"/>
      <c r="F629" s="28" t="n"/>
      <c r="G629" s="28" t="n"/>
      <c r="H629" s="28" t="n"/>
      <c r="I629" s="28" t="n"/>
      <c r="J629" s="28" t="n"/>
      <c r="K629" s="28" t="n"/>
    </row>
    <row r="630" ht="12.75" customHeight="1">
      <c r="A630" s="28" t="n"/>
      <c r="B630" s="28" t="n"/>
      <c r="C630" s="28" t="n"/>
      <c r="D630" s="28" t="n"/>
      <c r="E630" s="28" t="n"/>
      <c r="F630" s="28" t="n"/>
      <c r="G630" s="28" t="n"/>
      <c r="H630" s="28" t="n"/>
      <c r="I630" s="28" t="n"/>
      <c r="J630" s="28" t="n"/>
      <c r="K630" s="28" t="n"/>
    </row>
    <row r="631" ht="12.75" customHeight="1">
      <c r="A631" s="28" t="n"/>
      <c r="B631" s="28" t="n"/>
      <c r="C631" s="28" t="n"/>
      <c r="D631" s="28" t="n"/>
      <c r="E631" s="28" t="n"/>
      <c r="F631" s="28" t="n"/>
      <c r="G631" s="28" t="n"/>
      <c r="H631" s="28" t="n"/>
      <c r="I631" s="28" t="n"/>
      <c r="J631" s="28" t="n"/>
      <c r="K631" s="28" t="n"/>
    </row>
    <row r="632" ht="12.75" customHeight="1">
      <c r="A632" s="28" t="n"/>
      <c r="B632" s="28" t="n"/>
      <c r="C632" s="28" t="n"/>
      <c r="D632" s="28" t="n"/>
      <c r="E632" s="28" t="n"/>
      <c r="F632" s="28" t="n"/>
      <c r="G632" s="28" t="n"/>
      <c r="H632" s="28" t="n"/>
      <c r="I632" s="28" t="n"/>
      <c r="J632" s="28" t="n"/>
      <c r="K632" s="28" t="n"/>
    </row>
    <row r="633" ht="12.75" customHeight="1">
      <c r="A633" s="28" t="n"/>
      <c r="B633" s="28" t="n"/>
      <c r="C633" s="28" t="n"/>
      <c r="D633" s="28" t="n"/>
      <c r="E633" s="28" t="n"/>
      <c r="F633" s="28" t="n"/>
      <c r="G633" s="28" t="n"/>
      <c r="H633" s="28" t="n"/>
      <c r="I633" s="28" t="n"/>
      <c r="J633" s="28" t="n"/>
      <c r="K633" s="28" t="n"/>
    </row>
    <row r="634" ht="12.75" customHeight="1">
      <c r="A634" s="28" t="n"/>
      <c r="B634" s="28" t="n"/>
      <c r="C634" s="28" t="n"/>
      <c r="D634" s="28" t="n"/>
      <c r="E634" s="28" t="n"/>
      <c r="F634" s="28" t="n"/>
      <c r="G634" s="28" t="n"/>
      <c r="H634" s="28" t="n"/>
      <c r="I634" s="28" t="n"/>
      <c r="J634" s="28" t="n"/>
      <c r="K634" s="28" t="n"/>
    </row>
    <row r="635" ht="12.75" customHeight="1">
      <c r="A635" s="28" t="n"/>
      <c r="B635" s="28" t="n"/>
      <c r="C635" s="28" t="n"/>
      <c r="D635" s="28" t="n"/>
      <c r="E635" s="28" t="n"/>
      <c r="F635" s="28" t="n"/>
      <c r="G635" s="28" t="n"/>
      <c r="H635" s="28" t="n"/>
      <c r="I635" s="28" t="n"/>
      <c r="J635" s="28" t="n"/>
      <c r="K635" s="28" t="n"/>
    </row>
    <row r="636" ht="12.75" customHeight="1">
      <c r="A636" s="28" t="n"/>
      <c r="B636" s="28" t="n"/>
      <c r="C636" s="28" t="n"/>
      <c r="D636" s="28" t="n"/>
      <c r="E636" s="28" t="n"/>
      <c r="F636" s="28" t="n"/>
      <c r="G636" s="28" t="n"/>
      <c r="H636" s="28" t="n"/>
      <c r="I636" s="28" t="n"/>
      <c r="J636" s="28" t="n"/>
      <c r="K636" s="28" t="n"/>
    </row>
    <row r="637" ht="12.75" customHeight="1">
      <c r="A637" s="28" t="n"/>
      <c r="B637" s="28" t="n"/>
      <c r="C637" s="28" t="n"/>
      <c r="D637" s="28" t="n"/>
      <c r="E637" s="28" t="n"/>
      <c r="F637" s="28" t="n"/>
      <c r="G637" s="28" t="n"/>
      <c r="H637" s="28" t="n"/>
      <c r="I637" s="28" t="n"/>
      <c r="J637" s="28" t="n"/>
      <c r="K637" s="28" t="n"/>
    </row>
    <row r="638" ht="12.75" customHeight="1">
      <c r="A638" s="28" t="n"/>
      <c r="B638" s="28" t="n"/>
      <c r="C638" s="28" t="n"/>
      <c r="D638" s="28" t="n"/>
      <c r="E638" s="28" t="n"/>
      <c r="F638" s="28" t="n"/>
      <c r="G638" s="28" t="n"/>
      <c r="H638" s="28" t="n"/>
      <c r="I638" s="28" t="n"/>
      <c r="J638" s="28" t="n"/>
      <c r="K638" s="28" t="n"/>
    </row>
    <row r="639" ht="12.75" customHeight="1">
      <c r="A639" s="28" t="n"/>
      <c r="B639" s="28" t="n"/>
      <c r="C639" s="28" t="n"/>
      <c r="D639" s="28" t="n"/>
      <c r="E639" s="28" t="n"/>
      <c r="F639" s="28" t="n"/>
      <c r="G639" s="28" t="n"/>
      <c r="H639" s="28" t="n"/>
      <c r="I639" s="28" t="n"/>
      <c r="J639" s="28" t="n"/>
      <c r="K639" s="28" t="n"/>
    </row>
    <row r="640" ht="12.75" customHeight="1">
      <c r="A640" s="28" t="n"/>
      <c r="B640" s="28" t="n"/>
      <c r="C640" s="28" t="n"/>
      <c r="D640" s="28" t="n"/>
      <c r="E640" s="28" t="n"/>
      <c r="F640" s="28" t="n"/>
      <c r="G640" s="28" t="n"/>
      <c r="H640" s="28" t="n"/>
      <c r="I640" s="28" t="n"/>
      <c r="J640" s="28" t="n"/>
      <c r="K640" s="28" t="n"/>
    </row>
    <row r="641" ht="12.75" customHeight="1">
      <c r="A641" s="28" t="n"/>
      <c r="B641" s="28" t="n"/>
      <c r="C641" s="28" t="n"/>
      <c r="D641" s="28" t="n"/>
      <c r="E641" s="28" t="n"/>
      <c r="F641" s="28" t="n"/>
      <c r="G641" s="28" t="n"/>
      <c r="H641" s="28" t="n"/>
      <c r="I641" s="28" t="n"/>
      <c r="J641" s="28" t="n"/>
      <c r="K641" s="28" t="n"/>
    </row>
    <row r="642" ht="12.75" customHeight="1">
      <c r="A642" s="28" t="n"/>
      <c r="B642" s="28" t="n"/>
      <c r="C642" s="28" t="n"/>
      <c r="D642" s="28" t="n"/>
      <c r="E642" s="28" t="n"/>
      <c r="F642" s="28" t="n"/>
      <c r="G642" s="28" t="n"/>
      <c r="H642" s="28" t="n"/>
      <c r="I642" s="28" t="n"/>
      <c r="J642" s="28" t="n"/>
      <c r="K642" s="28" t="n"/>
    </row>
    <row r="643" ht="12.75" customHeight="1">
      <c r="A643" s="28" t="n"/>
      <c r="B643" s="28" t="n"/>
      <c r="C643" s="28" t="n"/>
      <c r="D643" s="28" t="n"/>
      <c r="E643" s="28" t="n"/>
      <c r="F643" s="28" t="n"/>
      <c r="G643" s="28" t="n"/>
      <c r="H643" s="28" t="n"/>
      <c r="I643" s="28" t="n"/>
      <c r="J643" s="28" t="n"/>
      <c r="K643" s="28" t="n"/>
    </row>
    <row r="644" ht="12.75" customHeight="1">
      <c r="A644" s="28" t="n"/>
      <c r="B644" s="28" t="n"/>
      <c r="C644" s="28" t="n"/>
      <c r="D644" s="28" t="n"/>
      <c r="E644" s="28" t="n"/>
      <c r="F644" s="28" t="n"/>
      <c r="G644" s="28" t="n"/>
      <c r="H644" s="28" t="n"/>
      <c r="I644" s="28" t="n"/>
      <c r="J644" s="28" t="n"/>
      <c r="K644" s="28" t="n"/>
    </row>
    <row r="645" ht="12.75" customHeight="1">
      <c r="A645" s="28" t="n"/>
      <c r="B645" s="28" t="n"/>
      <c r="C645" s="28" t="n"/>
      <c r="D645" s="28" t="n"/>
      <c r="E645" s="28" t="n"/>
      <c r="F645" s="28" t="n"/>
      <c r="G645" s="28" t="n"/>
      <c r="H645" s="28" t="n"/>
      <c r="I645" s="28" t="n"/>
      <c r="J645" s="28" t="n"/>
      <c r="K645" s="28" t="n"/>
    </row>
    <row r="646" ht="12.75" customHeight="1">
      <c r="A646" s="28" t="n"/>
      <c r="B646" s="28" t="n"/>
      <c r="C646" s="28" t="n"/>
      <c r="D646" s="28" t="n"/>
      <c r="E646" s="28" t="n"/>
      <c r="F646" s="28" t="n"/>
      <c r="G646" s="28" t="n"/>
      <c r="H646" s="28" t="n"/>
      <c r="I646" s="28" t="n"/>
      <c r="J646" s="28" t="n"/>
      <c r="K646" s="28" t="n"/>
    </row>
    <row r="647" ht="12.75" customHeight="1">
      <c r="A647" s="28" t="n"/>
      <c r="B647" s="28" t="n"/>
      <c r="C647" s="28" t="n"/>
      <c r="D647" s="28" t="n"/>
      <c r="E647" s="28" t="n"/>
      <c r="F647" s="28" t="n"/>
      <c r="G647" s="28" t="n"/>
      <c r="H647" s="28" t="n"/>
      <c r="I647" s="28" t="n"/>
      <c r="J647" s="28" t="n"/>
      <c r="K647" s="28" t="n"/>
    </row>
    <row r="648" ht="12.75" customHeight="1">
      <c r="A648" s="28" t="n"/>
      <c r="B648" s="28" t="n"/>
      <c r="C648" s="28" t="n"/>
      <c r="D648" s="28" t="n"/>
      <c r="E648" s="28" t="n"/>
      <c r="F648" s="28" t="n"/>
      <c r="G648" s="28" t="n"/>
      <c r="H648" s="28" t="n"/>
      <c r="I648" s="28" t="n"/>
      <c r="J648" s="28" t="n"/>
      <c r="K648" s="28" t="n"/>
    </row>
    <row r="649" ht="12.75" customHeight="1">
      <c r="A649" s="28" t="n"/>
      <c r="B649" s="28" t="n"/>
      <c r="C649" s="28" t="n"/>
      <c r="D649" s="28" t="n"/>
      <c r="E649" s="28" t="n"/>
      <c r="F649" s="28" t="n"/>
      <c r="G649" s="28" t="n"/>
      <c r="H649" s="28" t="n"/>
      <c r="I649" s="28" t="n"/>
      <c r="J649" s="28" t="n"/>
      <c r="K649" s="28" t="n"/>
    </row>
    <row r="650" ht="12.75" customHeight="1">
      <c r="A650" s="28" t="n"/>
      <c r="B650" s="28" t="n"/>
      <c r="C650" s="28" t="n"/>
      <c r="D650" s="28" t="n"/>
      <c r="E650" s="28" t="n"/>
      <c r="F650" s="28" t="n"/>
      <c r="G650" s="28" t="n"/>
      <c r="H650" s="28" t="n"/>
      <c r="I650" s="28" t="n"/>
      <c r="J650" s="28" t="n"/>
      <c r="K650" s="28" t="n"/>
    </row>
    <row r="651" ht="12.75" customHeight="1">
      <c r="A651" s="28" t="n"/>
      <c r="B651" s="28" t="n"/>
      <c r="C651" s="28" t="n"/>
      <c r="D651" s="28" t="n"/>
      <c r="E651" s="28" t="n"/>
      <c r="F651" s="28" t="n"/>
      <c r="G651" s="28" t="n"/>
      <c r="H651" s="28" t="n"/>
      <c r="I651" s="28" t="n"/>
      <c r="J651" s="28" t="n"/>
      <c r="K651" s="28" t="n"/>
    </row>
    <row r="652" ht="12.75" customHeight="1">
      <c r="A652" s="28" t="n"/>
      <c r="B652" s="28" t="n"/>
      <c r="C652" s="28" t="n"/>
      <c r="D652" s="28" t="n"/>
      <c r="E652" s="28" t="n"/>
      <c r="F652" s="28" t="n"/>
      <c r="G652" s="28" t="n"/>
      <c r="H652" s="28" t="n"/>
      <c r="I652" s="28" t="n"/>
      <c r="J652" s="28" t="n"/>
      <c r="K652" s="28" t="n"/>
    </row>
    <row r="653" ht="12.75" customHeight="1">
      <c r="A653" s="28" t="n"/>
      <c r="B653" s="28" t="n"/>
      <c r="C653" s="28" t="n"/>
      <c r="D653" s="28" t="n"/>
      <c r="E653" s="28" t="n"/>
      <c r="F653" s="28" t="n"/>
      <c r="G653" s="28" t="n"/>
      <c r="H653" s="28" t="n"/>
      <c r="I653" s="28" t="n"/>
      <c r="J653" s="28" t="n"/>
      <c r="K653" s="28" t="n"/>
    </row>
    <row r="654" ht="12.75" customHeight="1">
      <c r="A654" s="28" t="n"/>
      <c r="B654" s="28" t="n"/>
      <c r="C654" s="28" t="n"/>
      <c r="D654" s="28" t="n"/>
      <c r="E654" s="28" t="n"/>
      <c r="F654" s="28" t="n"/>
      <c r="G654" s="28" t="n"/>
      <c r="H654" s="28" t="n"/>
      <c r="I654" s="28" t="n"/>
      <c r="J654" s="28" t="n"/>
      <c r="K654" s="28" t="n"/>
    </row>
    <row r="655" ht="12.75" customHeight="1">
      <c r="A655" s="28" t="n"/>
      <c r="B655" s="28" t="n"/>
      <c r="C655" s="28" t="n"/>
      <c r="D655" s="28" t="n"/>
      <c r="E655" s="28" t="n"/>
      <c r="F655" s="28" t="n"/>
      <c r="G655" s="28" t="n"/>
      <c r="H655" s="28" t="n"/>
      <c r="I655" s="28" t="n"/>
      <c r="J655" s="28" t="n"/>
      <c r="K655" s="28" t="n"/>
    </row>
    <row r="656" ht="12.75" customHeight="1">
      <c r="A656" s="28" t="n"/>
      <c r="B656" s="28" t="n"/>
      <c r="C656" s="28" t="n"/>
      <c r="D656" s="28" t="n"/>
      <c r="E656" s="28" t="n"/>
      <c r="F656" s="28" t="n"/>
      <c r="G656" s="28" t="n"/>
      <c r="H656" s="28" t="n"/>
      <c r="I656" s="28" t="n"/>
      <c r="J656" s="28" t="n"/>
      <c r="K656" s="28" t="n"/>
    </row>
    <row r="657" ht="12.75" customHeight="1">
      <c r="A657" s="28" t="n"/>
      <c r="B657" s="28" t="n"/>
      <c r="C657" s="28" t="n"/>
      <c r="D657" s="28" t="n"/>
      <c r="E657" s="28" t="n"/>
      <c r="F657" s="28" t="n"/>
      <c r="G657" s="28" t="n"/>
      <c r="H657" s="28" t="n"/>
      <c r="I657" s="28" t="n"/>
      <c r="J657" s="28" t="n"/>
      <c r="K657" s="28" t="n"/>
    </row>
    <row r="658" ht="12.75" customHeight="1">
      <c r="A658" s="28" t="n"/>
      <c r="B658" s="28" t="n"/>
      <c r="C658" s="28" t="n"/>
      <c r="D658" s="28" t="n"/>
      <c r="E658" s="28" t="n"/>
      <c r="F658" s="28" t="n"/>
      <c r="G658" s="28" t="n"/>
      <c r="H658" s="28" t="n"/>
      <c r="I658" s="28" t="n"/>
      <c r="J658" s="28" t="n"/>
      <c r="K658" s="28" t="n"/>
    </row>
    <row r="659" ht="12.75" customHeight="1">
      <c r="A659" s="28" t="n"/>
      <c r="B659" s="28" t="n"/>
      <c r="C659" s="28" t="n"/>
      <c r="D659" s="28" t="n"/>
      <c r="E659" s="28" t="n"/>
      <c r="F659" s="28" t="n"/>
      <c r="G659" s="28" t="n"/>
      <c r="H659" s="28" t="n"/>
      <c r="I659" s="28" t="n"/>
      <c r="J659" s="28" t="n"/>
      <c r="K659" s="28" t="n"/>
    </row>
    <row r="660" ht="12.75" customHeight="1">
      <c r="A660" s="28" t="n"/>
      <c r="B660" s="28" t="n"/>
      <c r="C660" s="28" t="n"/>
      <c r="D660" s="28" t="n"/>
      <c r="E660" s="28" t="n"/>
      <c r="F660" s="28" t="n"/>
      <c r="G660" s="28" t="n"/>
      <c r="H660" s="28" t="n"/>
      <c r="I660" s="28" t="n"/>
      <c r="J660" s="28" t="n"/>
      <c r="K660" s="28" t="n"/>
    </row>
    <row r="661" ht="12.75" customHeight="1">
      <c r="A661" s="28" t="n"/>
      <c r="B661" s="28" t="n"/>
      <c r="C661" s="28" t="n"/>
      <c r="D661" s="28" t="n"/>
      <c r="E661" s="28" t="n"/>
      <c r="F661" s="28" t="n"/>
      <c r="G661" s="28" t="n"/>
      <c r="H661" s="28" t="n"/>
      <c r="I661" s="28" t="n"/>
      <c r="J661" s="28" t="n"/>
      <c r="K661" s="28" t="n"/>
    </row>
    <row r="662" ht="12.75" customHeight="1">
      <c r="A662" s="28" t="n"/>
      <c r="B662" s="28" t="n"/>
      <c r="C662" s="28" t="n"/>
      <c r="D662" s="28" t="n"/>
      <c r="E662" s="28" t="n"/>
      <c r="F662" s="28" t="n"/>
      <c r="G662" s="28" t="n"/>
      <c r="H662" s="28" t="n"/>
      <c r="I662" s="28" t="n"/>
      <c r="J662" s="28" t="n"/>
      <c r="K662" s="28" t="n"/>
    </row>
    <row r="663" ht="12.75" customHeight="1">
      <c r="A663" s="28" t="n"/>
      <c r="B663" s="28" t="n"/>
      <c r="C663" s="28" t="n"/>
      <c r="D663" s="28" t="n"/>
      <c r="E663" s="28" t="n"/>
      <c r="F663" s="28" t="n"/>
      <c r="G663" s="28" t="n"/>
      <c r="H663" s="28" t="n"/>
      <c r="I663" s="28" t="n"/>
      <c r="J663" s="28" t="n"/>
      <c r="K663" s="28" t="n"/>
    </row>
    <row r="664" ht="12.75" customHeight="1">
      <c r="A664" s="28" t="n"/>
      <c r="B664" s="28" t="n"/>
      <c r="C664" s="28" t="n"/>
      <c r="D664" s="28" t="n"/>
      <c r="E664" s="28" t="n"/>
      <c r="F664" s="28" t="n"/>
      <c r="G664" s="28" t="n"/>
      <c r="H664" s="28" t="n"/>
      <c r="I664" s="28" t="n"/>
      <c r="J664" s="28" t="n"/>
      <c r="K664" s="28" t="n"/>
    </row>
    <row r="665" ht="12.75" customHeight="1">
      <c r="A665" s="28" t="n"/>
      <c r="B665" s="28" t="n"/>
      <c r="C665" s="28" t="n"/>
      <c r="D665" s="28" t="n"/>
      <c r="E665" s="28" t="n"/>
      <c r="F665" s="28" t="n"/>
      <c r="G665" s="28" t="n"/>
      <c r="H665" s="28" t="n"/>
      <c r="I665" s="28" t="n"/>
      <c r="J665" s="28" t="n"/>
      <c r="K665" s="28" t="n"/>
    </row>
    <row r="666" ht="12.75" customHeight="1">
      <c r="A666" s="28" t="n"/>
      <c r="B666" s="28" t="n"/>
      <c r="C666" s="28" t="n"/>
      <c r="D666" s="28" t="n"/>
      <c r="E666" s="28" t="n"/>
      <c r="F666" s="28" t="n"/>
      <c r="G666" s="28" t="n"/>
      <c r="H666" s="28" t="n"/>
      <c r="I666" s="28" t="n"/>
      <c r="J666" s="28" t="n"/>
      <c r="K666" s="28" t="n"/>
    </row>
    <row r="667" ht="12.75" customHeight="1">
      <c r="A667" s="28" t="n"/>
      <c r="B667" s="28" t="n"/>
      <c r="C667" s="28" t="n"/>
      <c r="D667" s="28" t="n"/>
      <c r="E667" s="28" t="n"/>
      <c r="F667" s="28" t="n"/>
      <c r="G667" s="28" t="n"/>
      <c r="H667" s="28" t="n"/>
      <c r="I667" s="28" t="n"/>
      <c r="J667" s="28" t="n"/>
      <c r="K667" s="28" t="n"/>
    </row>
    <row r="668" ht="12.75" customHeight="1">
      <c r="A668" s="28" t="n"/>
      <c r="B668" s="28" t="n"/>
      <c r="C668" s="28" t="n"/>
      <c r="D668" s="28" t="n"/>
      <c r="E668" s="28" t="n"/>
      <c r="F668" s="28" t="n"/>
      <c r="G668" s="28" t="n"/>
      <c r="H668" s="28" t="n"/>
      <c r="I668" s="28" t="n"/>
      <c r="J668" s="28" t="n"/>
      <c r="K668" s="28" t="n"/>
    </row>
    <row r="669" ht="12.75" customHeight="1">
      <c r="A669" s="28" t="n"/>
      <c r="B669" s="28" t="n"/>
      <c r="C669" s="28" t="n"/>
      <c r="D669" s="28" t="n"/>
      <c r="E669" s="28" t="n"/>
      <c r="F669" s="28" t="n"/>
      <c r="G669" s="28" t="n"/>
      <c r="H669" s="28" t="n"/>
      <c r="I669" s="28" t="n"/>
      <c r="J669" s="28" t="n"/>
      <c r="K669" s="28" t="n"/>
    </row>
    <row r="670" ht="12.75" customHeight="1">
      <c r="A670" s="28" t="n"/>
      <c r="B670" s="28" t="n"/>
      <c r="C670" s="28" t="n"/>
      <c r="D670" s="28" t="n"/>
      <c r="E670" s="28" t="n"/>
      <c r="F670" s="28" t="n"/>
      <c r="G670" s="28" t="n"/>
      <c r="H670" s="28" t="n"/>
      <c r="I670" s="28" t="n"/>
      <c r="J670" s="28" t="n"/>
      <c r="K670" s="28" t="n"/>
    </row>
    <row r="671" ht="12.75" customHeight="1">
      <c r="A671" s="28" t="n"/>
      <c r="B671" s="28" t="n"/>
      <c r="C671" s="28" t="n"/>
      <c r="D671" s="28" t="n"/>
      <c r="E671" s="28" t="n"/>
      <c r="F671" s="28" t="n"/>
      <c r="G671" s="28" t="n"/>
      <c r="H671" s="28" t="n"/>
      <c r="I671" s="28" t="n"/>
      <c r="J671" s="28" t="n"/>
      <c r="K671" s="28" t="n"/>
    </row>
    <row r="672" ht="12.75" customHeight="1">
      <c r="A672" s="28" t="n"/>
      <c r="B672" s="28" t="n"/>
      <c r="C672" s="28" t="n"/>
      <c r="D672" s="28" t="n"/>
      <c r="E672" s="28" t="n"/>
      <c r="F672" s="28" t="n"/>
      <c r="G672" s="28" t="n"/>
      <c r="H672" s="28" t="n"/>
      <c r="I672" s="28" t="n"/>
      <c r="J672" s="28" t="n"/>
      <c r="K672" s="28" t="n"/>
    </row>
    <row r="673" ht="12.75" customHeight="1">
      <c r="A673" s="28" t="n"/>
      <c r="B673" s="28" t="n"/>
      <c r="C673" s="28" t="n"/>
      <c r="D673" s="28" t="n"/>
      <c r="E673" s="28" t="n"/>
      <c r="F673" s="28" t="n"/>
      <c r="G673" s="28" t="n"/>
      <c r="H673" s="28" t="n"/>
      <c r="I673" s="28" t="n"/>
      <c r="J673" s="28" t="n"/>
      <c r="K673" s="28" t="n"/>
    </row>
    <row r="674" ht="12.75" customHeight="1">
      <c r="A674" s="28" t="n"/>
      <c r="B674" s="28" t="n"/>
      <c r="C674" s="28" t="n"/>
      <c r="D674" s="28" t="n"/>
      <c r="E674" s="28" t="n"/>
      <c r="F674" s="28" t="n"/>
      <c r="G674" s="28" t="n"/>
      <c r="H674" s="28" t="n"/>
      <c r="I674" s="28" t="n"/>
      <c r="J674" s="28" t="n"/>
      <c r="K674" s="28" t="n"/>
    </row>
    <row r="675" ht="12.75" customHeight="1">
      <c r="A675" s="28" t="n"/>
      <c r="B675" s="28" t="n"/>
      <c r="C675" s="28" t="n"/>
      <c r="D675" s="28" t="n"/>
      <c r="E675" s="28" t="n"/>
      <c r="F675" s="28" t="n"/>
      <c r="G675" s="28" t="n"/>
      <c r="H675" s="28" t="n"/>
      <c r="I675" s="28" t="n"/>
      <c r="J675" s="28" t="n"/>
      <c r="K675" s="28" t="n"/>
    </row>
    <row r="676" ht="12.75" customHeight="1">
      <c r="A676" s="28" t="n"/>
      <c r="B676" s="28" t="n"/>
      <c r="C676" s="28" t="n"/>
      <c r="D676" s="28" t="n"/>
      <c r="E676" s="28" t="n"/>
      <c r="F676" s="28" t="n"/>
      <c r="G676" s="28" t="n"/>
      <c r="H676" s="28" t="n"/>
      <c r="I676" s="28" t="n"/>
      <c r="J676" s="28" t="n"/>
      <c r="K676" s="28" t="n"/>
    </row>
    <row r="677" ht="12.75" customHeight="1">
      <c r="A677" s="28" t="n"/>
      <c r="B677" s="28" t="n"/>
      <c r="C677" s="28" t="n"/>
      <c r="D677" s="28" t="n"/>
      <c r="E677" s="28" t="n"/>
      <c r="F677" s="28" t="n"/>
      <c r="G677" s="28" t="n"/>
      <c r="H677" s="28" t="n"/>
      <c r="I677" s="28" t="n"/>
      <c r="J677" s="28" t="n"/>
      <c r="K677" s="28" t="n"/>
    </row>
    <row r="678" ht="12.75" customHeight="1">
      <c r="A678" s="28" t="n"/>
      <c r="B678" s="28" t="n"/>
      <c r="C678" s="28" t="n"/>
      <c r="D678" s="28" t="n"/>
      <c r="E678" s="28" t="n"/>
      <c r="F678" s="28" t="n"/>
      <c r="G678" s="28" t="n"/>
      <c r="H678" s="28" t="n"/>
      <c r="I678" s="28" t="n"/>
      <c r="J678" s="28" t="n"/>
      <c r="K678" s="28" t="n"/>
    </row>
    <row r="679" ht="12.75" customHeight="1">
      <c r="A679" s="28" t="n"/>
      <c r="B679" s="28" t="n"/>
      <c r="C679" s="28" t="n"/>
      <c r="D679" s="28" t="n"/>
      <c r="E679" s="28" t="n"/>
      <c r="F679" s="28" t="n"/>
      <c r="G679" s="28" t="n"/>
      <c r="H679" s="28" t="n"/>
      <c r="I679" s="28" t="n"/>
      <c r="J679" s="28" t="n"/>
      <c r="K679" s="28" t="n"/>
    </row>
    <row r="680" ht="12.75" customHeight="1">
      <c r="A680" s="28" t="n"/>
      <c r="B680" s="28" t="n"/>
      <c r="C680" s="28" t="n"/>
      <c r="D680" s="28" t="n"/>
      <c r="E680" s="28" t="n"/>
      <c r="F680" s="28" t="n"/>
      <c r="G680" s="28" t="n"/>
      <c r="H680" s="28" t="n"/>
      <c r="I680" s="28" t="n"/>
      <c r="J680" s="28" t="n"/>
      <c r="K680" s="28" t="n"/>
    </row>
    <row r="681" ht="12.75" customHeight="1">
      <c r="A681" s="28" t="n"/>
      <c r="B681" s="28" t="n"/>
      <c r="C681" s="28" t="n"/>
      <c r="D681" s="28" t="n"/>
      <c r="E681" s="28" t="n"/>
      <c r="F681" s="28" t="n"/>
      <c r="G681" s="28" t="n"/>
      <c r="H681" s="28" t="n"/>
      <c r="I681" s="28" t="n"/>
      <c r="J681" s="28" t="n"/>
      <c r="K681" s="28" t="n"/>
    </row>
    <row r="682" ht="12.75" customHeight="1">
      <c r="A682" s="28" t="n"/>
      <c r="B682" s="28" t="n"/>
      <c r="C682" s="28" t="n"/>
      <c r="D682" s="28" t="n"/>
      <c r="E682" s="28" t="n"/>
      <c r="F682" s="28" t="n"/>
      <c r="G682" s="28" t="n"/>
      <c r="H682" s="28" t="n"/>
      <c r="I682" s="28" t="n"/>
      <c r="J682" s="28" t="n"/>
      <c r="K682" s="28" t="n"/>
    </row>
    <row r="683" ht="12.75" customHeight="1">
      <c r="A683" s="28" t="n"/>
      <c r="B683" s="28" t="n"/>
      <c r="C683" s="28" t="n"/>
      <c r="D683" s="28" t="n"/>
      <c r="E683" s="28" t="n"/>
      <c r="F683" s="28" t="n"/>
      <c r="G683" s="28" t="n"/>
      <c r="H683" s="28" t="n"/>
      <c r="I683" s="28" t="n"/>
      <c r="J683" s="28" t="n"/>
      <c r="K683" s="28" t="n"/>
    </row>
    <row r="684" ht="12.75" customHeight="1">
      <c r="A684" s="28" t="n"/>
      <c r="B684" s="28" t="n"/>
      <c r="C684" s="28" t="n"/>
      <c r="D684" s="28" t="n"/>
      <c r="E684" s="28" t="n"/>
      <c r="F684" s="28" t="n"/>
      <c r="G684" s="28" t="n"/>
      <c r="H684" s="28" t="n"/>
      <c r="I684" s="28" t="n"/>
      <c r="J684" s="28" t="n"/>
      <c r="K684" s="28" t="n"/>
    </row>
    <row r="685" ht="12.75" customHeight="1">
      <c r="A685" s="28" t="n"/>
      <c r="B685" s="28" t="n"/>
      <c r="C685" s="28" t="n"/>
      <c r="D685" s="28" t="n"/>
      <c r="E685" s="28" t="n"/>
      <c r="F685" s="28" t="n"/>
      <c r="G685" s="28" t="n"/>
      <c r="H685" s="28" t="n"/>
      <c r="I685" s="28" t="n"/>
      <c r="J685" s="28" t="n"/>
      <c r="K685" s="28" t="n"/>
    </row>
    <row r="686" ht="12.75" customHeight="1">
      <c r="A686" s="28" t="n"/>
      <c r="B686" s="28" t="n"/>
      <c r="C686" s="28" t="n"/>
      <c r="D686" s="28" t="n"/>
      <c r="E686" s="28" t="n"/>
      <c r="F686" s="28" t="n"/>
      <c r="G686" s="28" t="n"/>
      <c r="H686" s="28" t="n"/>
      <c r="I686" s="28" t="n"/>
      <c r="J686" s="28" t="n"/>
      <c r="K686" s="28" t="n"/>
    </row>
    <row r="687" ht="12.75" customHeight="1">
      <c r="A687" s="28" t="n"/>
      <c r="B687" s="28" t="n"/>
      <c r="C687" s="28" t="n"/>
      <c r="D687" s="28" t="n"/>
      <c r="E687" s="28" t="n"/>
      <c r="F687" s="28" t="n"/>
      <c r="G687" s="28" t="n"/>
      <c r="H687" s="28" t="n"/>
      <c r="I687" s="28" t="n"/>
      <c r="J687" s="28" t="n"/>
      <c r="K687" s="28" t="n"/>
    </row>
    <row r="688" ht="12.75" customHeight="1">
      <c r="A688" s="28" t="n"/>
      <c r="B688" s="28" t="n"/>
      <c r="C688" s="28" t="n"/>
      <c r="D688" s="28" t="n"/>
      <c r="E688" s="28" t="n"/>
      <c r="F688" s="28" t="n"/>
      <c r="G688" s="28" t="n"/>
      <c r="H688" s="28" t="n"/>
      <c r="I688" s="28" t="n"/>
      <c r="J688" s="28" t="n"/>
      <c r="K688" s="28" t="n"/>
    </row>
    <row r="689" ht="12.75" customHeight="1">
      <c r="A689" s="28" t="n"/>
      <c r="B689" s="28" t="n"/>
      <c r="C689" s="28" t="n"/>
      <c r="D689" s="28" t="n"/>
      <c r="E689" s="28" t="n"/>
      <c r="F689" s="28" t="n"/>
      <c r="G689" s="28" t="n"/>
      <c r="H689" s="28" t="n"/>
      <c r="I689" s="28" t="n"/>
      <c r="J689" s="28" t="n"/>
      <c r="K689" s="28" t="n"/>
    </row>
    <row r="690" ht="12.75" customHeight="1">
      <c r="A690" s="28" t="n"/>
      <c r="B690" s="28" t="n"/>
      <c r="C690" s="28" t="n"/>
      <c r="D690" s="28" t="n"/>
      <c r="E690" s="28" t="n"/>
      <c r="F690" s="28" t="n"/>
      <c r="G690" s="28" t="n"/>
      <c r="H690" s="28" t="n"/>
      <c r="I690" s="28" t="n"/>
      <c r="J690" s="28" t="n"/>
      <c r="K690" s="28" t="n"/>
    </row>
    <row r="691" ht="12.75" customHeight="1">
      <c r="A691" s="28" t="n"/>
      <c r="B691" s="28" t="n"/>
      <c r="C691" s="28" t="n"/>
      <c r="D691" s="28" t="n"/>
      <c r="E691" s="28" t="n"/>
      <c r="F691" s="28" t="n"/>
      <c r="G691" s="28" t="n"/>
      <c r="H691" s="28" t="n"/>
      <c r="I691" s="28" t="n"/>
      <c r="J691" s="28" t="n"/>
      <c r="K691" s="28" t="n"/>
    </row>
    <row r="692" ht="12.75" customHeight="1">
      <c r="A692" s="28" t="n"/>
      <c r="B692" s="28" t="n"/>
      <c r="C692" s="28" t="n"/>
      <c r="D692" s="28" t="n"/>
      <c r="E692" s="28" t="n"/>
      <c r="F692" s="28" t="n"/>
      <c r="G692" s="28" t="n"/>
      <c r="H692" s="28" t="n"/>
      <c r="I692" s="28" t="n"/>
      <c r="J692" s="28" t="n"/>
      <c r="K692" s="28" t="n"/>
    </row>
    <row r="693" ht="12.75" customHeight="1">
      <c r="A693" s="28" t="n"/>
      <c r="B693" s="28" t="n"/>
      <c r="C693" s="28" t="n"/>
      <c r="D693" s="28" t="n"/>
      <c r="E693" s="28" t="n"/>
      <c r="F693" s="28" t="n"/>
      <c r="G693" s="28" t="n"/>
      <c r="H693" s="28" t="n"/>
      <c r="I693" s="28" t="n"/>
      <c r="J693" s="28" t="n"/>
      <c r="K693" s="28" t="n"/>
    </row>
    <row r="694" ht="12.75" customHeight="1">
      <c r="A694" s="28" t="n"/>
      <c r="B694" s="28" t="n"/>
      <c r="C694" s="28" t="n"/>
      <c r="D694" s="28" t="n"/>
      <c r="E694" s="28" t="n"/>
      <c r="F694" s="28" t="n"/>
      <c r="G694" s="28" t="n"/>
      <c r="H694" s="28" t="n"/>
      <c r="I694" s="28" t="n"/>
      <c r="J694" s="28" t="n"/>
      <c r="K694" s="28" t="n"/>
    </row>
    <row r="695" ht="12.75" customHeight="1">
      <c r="A695" s="28" t="n"/>
      <c r="B695" s="28" t="n"/>
      <c r="C695" s="28" t="n"/>
      <c r="D695" s="28" t="n"/>
      <c r="E695" s="28" t="n"/>
      <c r="F695" s="28" t="n"/>
      <c r="G695" s="28" t="n"/>
      <c r="H695" s="28" t="n"/>
      <c r="I695" s="28" t="n"/>
      <c r="J695" s="28" t="n"/>
      <c r="K695" s="28" t="n"/>
    </row>
    <row r="696" ht="12.75" customHeight="1">
      <c r="A696" s="28" t="n"/>
      <c r="B696" s="28" t="n"/>
      <c r="C696" s="28" t="n"/>
      <c r="D696" s="28" t="n"/>
      <c r="E696" s="28" t="n"/>
      <c r="F696" s="28" t="n"/>
      <c r="G696" s="28" t="n"/>
      <c r="H696" s="28" t="n"/>
      <c r="I696" s="28" t="n"/>
      <c r="J696" s="28" t="n"/>
      <c r="K696" s="28" t="n"/>
    </row>
    <row r="697" ht="12.75" customHeight="1">
      <c r="A697" s="28" t="n"/>
      <c r="B697" s="28" t="n"/>
      <c r="C697" s="28" t="n"/>
      <c r="D697" s="28" t="n"/>
      <c r="E697" s="28" t="n"/>
      <c r="F697" s="28" t="n"/>
      <c r="G697" s="28" t="n"/>
      <c r="H697" s="28" t="n"/>
      <c r="I697" s="28" t="n"/>
      <c r="J697" s="28" t="n"/>
      <c r="K697" s="28" t="n"/>
    </row>
    <row r="698" ht="12.75" customHeight="1">
      <c r="A698" s="28" t="n"/>
      <c r="B698" s="28" t="n"/>
      <c r="C698" s="28" t="n"/>
      <c r="D698" s="28" t="n"/>
      <c r="E698" s="28" t="n"/>
      <c r="F698" s="28" t="n"/>
      <c r="G698" s="28" t="n"/>
      <c r="H698" s="28" t="n"/>
      <c r="I698" s="28" t="n"/>
      <c r="J698" s="28" t="n"/>
      <c r="K698" s="28" t="n"/>
    </row>
    <row r="699" ht="12.75" customHeight="1">
      <c r="A699" s="28" t="n"/>
      <c r="B699" s="28" t="n"/>
      <c r="C699" s="28" t="n"/>
      <c r="D699" s="28" t="n"/>
      <c r="E699" s="28" t="n"/>
      <c r="F699" s="28" t="n"/>
      <c r="G699" s="28" t="n"/>
      <c r="H699" s="28" t="n"/>
      <c r="I699" s="28" t="n"/>
      <c r="J699" s="28" t="n"/>
      <c r="K699" s="28" t="n"/>
    </row>
    <row r="700" ht="12.75" customHeight="1">
      <c r="A700" s="28" t="n"/>
      <c r="B700" s="28" t="n"/>
      <c r="C700" s="28" t="n"/>
      <c r="D700" s="28" t="n"/>
      <c r="E700" s="28" t="n"/>
      <c r="F700" s="28" t="n"/>
      <c r="G700" s="28" t="n"/>
      <c r="H700" s="28" t="n"/>
      <c r="I700" s="28" t="n"/>
      <c r="J700" s="28" t="n"/>
      <c r="K700" s="28" t="n"/>
    </row>
    <row r="701" ht="12.75" customHeight="1">
      <c r="A701" s="28" t="n"/>
      <c r="B701" s="28" t="n"/>
      <c r="C701" s="28" t="n"/>
      <c r="D701" s="28" t="n"/>
      <c r="E701" s="28" t="n"/>
      <c r="F701" s="28" t="n"/>
      <c r="G701" s="28" t="n"/>
      <c r="H701" s="28" t="n"/>
      <c r="I701" s="28" t="n"/>
      <c r="J701" s="28" t="n"/>
      <c r="K701" s="28" t="n"/>
    </row>
    <row r="702" ht="12.75" customHeight="1">
      <c r="A702" s="28" t="n"/>
      <c r="B702" s="28" t="n"/>
      <c r="C702" s="28" t="n"/>
      <c r="D702" s="28" t="n"/>
      <c r="E702" s="28" t="n"/>
      <c r="F702" s="28" t="n"/>
      <c r="G702" s="28" t="n"/>
      <c r="H702" s="28" t="n"/>
      <c r="I702" s="28" t="n"/>
      <c r="J702" s="28" t="n"/>
      <c r="K702" s="28" t="n"/>
    </row>
    <row r="703" ht="12.75" customHeight="1">
      <c r="A703" s="28" t="n"/>
      <c r="B703" s="28" t="n"/>
      <c r="C703" s="28" t="n"/>
      <c r="D703" s="28" t="n"/>
      <c r="E703" s="28" t="n"/>
      <c r="F703" s="28" t="n"/>
      <c r="G703" s="28" t="n"/>
      <c r="H703" s="28" t="n"/>
      <c r="I703" s="28" t="n"/>
      <c r="J703" s="28" t="n"/>
      <c r="K703" s="28" t="n"/>
    </row>
    <row r="704" ht="12.75" customHeight="1">
      <c r="A704" s="28" t="n"/>
      <c r="B704" s="28" t="n"/>
      <c r="C704" s="28" t="n"/>
      <c r="D704" s="28" t="n"/>
      <c r="E704" s="28" t="n"/>
      <c r="F704" s="28" t="n"/>
      <c r="G704" s="28" t="n"/>
      <c r="H704" s="28" t="n"/>
      <c r="I704" s="28" t="n"/>
      <c r="J704" s="28" t="n"/>
      <c r="K704" s="28" t="n"/>
    </row>
    <row r="705" ht="12.75" customHeight="1">
      <c r="A705" s="28" t="n"/>
      <c r="B705" s="28" t="n"/>
      <c r="C705" s="28" t="n"/>
      <c r="D705" s="28" t="n"/>
      <c r="E705" s="28" t="n"/>
      <c r="F705" s="28" t="n"/>
      <c r="G705" s="28" t="n"/>
      <c r="H705" s="28" t="n"/>
      <c r="I705" s="28" t="n"/>
      <c r="J705" s="28" t="n"/>
      <c r="K705" s="28" t="n"/>
    </row>
    <row r="706" ht="12.75" customHeight="1">
      <c r="A706" s="28" t="n"/>
      <c r="B706" s="28" t="n"/>
      <c r="C706" s="28" t="n"/>
      <c r="D706" s="28" t="n"/>
      <c r="E706" s="28" t="n"/>
      <c r="F706" s="28" t="n"/>
      <c r="G706" s="28" t="n"/>
      <c r="H706" s="28" t="n"/>
      <c r="I706" s="28" t="n"/>
      <c r="J706" s="28" t="n"/>
      <c r="K706" s="28" t="n"/>
    </row>
    <row r="707" ht="12.75" customHeight="1">
      <c r="A707" s="28" t="n"/>
      <c r="B707" s="28" t="n"/>
      <c r="C707" s="28" t="n"/>
      <c r="D707" s="28" t="n"/>
      <c r="E707" s="28" t="n"/>
      <c r="F707" s="28" t="n"/>
      <c r="G707" s="28" t="n"/>
      <c r="H707" s="28" t="n"/>
      <c r="I707" s="28" t="n"/>
      <c r="J707" s="28" t="n"/>
      <c r="K707" s="28" t="n"/>
    </row>
    <row r="708" ht="12.75" customHeight="1">
      <c r="A708" s="28" t="n"/>
      <c r="B708" s="28" t="n"/>
      <c r="C708" s="28" t="n"/>
      <c r="D708" s="28" t="n"/>
      <c r="E708" s="28" t="n"/>
      <c r="F708" s="28" t="n"/>
      <c r="G708" s="28" t="n"/>
      <c r="H708" s="28" t="n"/>
      <c r="I708" s="28" t="n"/>
      <c r="J708" s="28" t="n"/>
      <c r="K708" s="28" t="n"/>
    </row>
    <row r="709" ht="12.75" customHeight="1">
      <c r="A709" s="28" t="n"/>
      <c r="B709" s="28" t="n"/>
      <c r="C709" s="28" t="n"/>
      <c r="D709" s="28" t="n"/>
      <c r="E709" s="28" t="n"/>
      <c r="F709" s="28" t="n"/>
      <c r="G709" s="28" t="n"/>
      <c r="H709" s="28" t="n"/>
      <c r="I709" s="28" t="n"/>
      <c r="J709" s="28" t="n"/>
      <c r="K709" s="28" t="n"/>
    </row>
    <row r="710" ht="12.75" customHeight="1">
      <c r="A710" s="28" t="n"/>
      <c r="B710" s="28" t="n"/>
      <c r="C710" s="28" t="n"/>
      <c r="D710" s="28" t="n"/>
      <c r="E710" s="28" t="n"/>
      <c r="F710" s="28" t="n"/>
      <c r="G710" s="28" t="n"/>
      <c r="H710" s="28" t="n"/>
      <c r="I710" s="28" t="n"/>
      <c r="J710" s="28" t="n"/>
      <c r="K710" s="28" t="n"/>
    </row>
    <row r="711" ht="12.75" customHeight="1">
      <c r="A711" s="28" t="n"/>
      <c r="B711" s="28" t="n"/>
      <c r="C711" s="28" t="n"/>
      <c r="D711" s="28" t="n"/>
      <c r="E711" s="28" t="n"/>
      <c r="F711" s="28" t="n"/>
      <c r="G711" s="28" t="n"/>
      <c r="H711" s="28" t="n"/>
      <c r="I711" s="28" t="n"/>
      <c r="J711" s="28" t="n"/>
      <c r="K711" s="28" t="n"/>
    </row>
    <row r="712" ht="12.75" customHeight="1">
      <c r="A712" s="28" t="n"/>
      <c r="B712" s="28" t="n"/>
      <c r="C712" s="28" t="n"/>
      <c r="D712" s="28" t="n"/>
      <c r="E712" s="28" t="n"/>
      <c r="F712" s="28" t="n"/>
      <c r="G712" s="28" t="n"/>
      <c r="H712" s="28" t="n"/>
      <c r="I712" s="28" t="n"/>
      <c r="J712" s="28" t="n"/>
      <c r="K712" s="28" t="n"/>
    </row>
    <row r="713" ht="12.75" customHeight="1">
      <c r="A713" s="28" t="n"/>
      <c r="B713" s="28" t="n"/>
      <c r="C713" s="28" t="n"/>
      <c r="D713" s="28" t="n"/>
      <c r="E713" s="28" t="n"/>
      <c r="F713" s="28" t="n"/>
      <c r="G713" s="28" t="n"/>
      <c r="H713" s="28" t="n"/>
      <c r="I713" s="28" t="n"/>
      <c r="J713" s="28" t="n"/>
      <c r="K713" s="28" t="n"/>
    </row>
    <row r="714" ht="12.75" customHeight="1">
      <c r="A714" s="28" t="n"/>
      <c r="B714" s="28" t="n"/>
      <c r="C714" s="28" t="n"/>
      <c r="D714" s="28" t="n"/>
      <c r="E714" s="28" t="n"/>
      <c r="F714" s="28" t="n"/>
      <c r="G714" s="28" t="n"/>
      <c r="H714" s="28" t="n"/>
      <c r="I714" s="28" t="n"/>
      <c r="J714" s="28" t="n"/>
      <c r="K714" s="28" t="n"/>
    </row>
    <row r="715" ht="12.75" customHeight="1">
      <c r="A715" s="28" t="n"/>
      <c r="B715" s="28" t="n"/>
      <c r="C715" s="28" t="n"/>
      <c r="D715" s="28" t="n"/>
      <c r="E715" s="28" t="n"/>
      <c r="F715" s="28" t="n"/>
      <c r="G715" s="28" t="n"/>
      <c r="H715" s="28" t="n"/>
      <c r="I715" s="28" t="n"/>
      <c r="J715" s="28" t="n"/>
      <c r="K715" s="28" t="n"/>
    </row>
    <row r="716" ht="12.75" customHeight="1">
      <c r="A716" s="28" t="n"/>
      <c r="B716" s="28" t="n"/>
      <c r="C716" s="28" t="n"/>
      <c r="D716" s="28" t="n"/>
      <c r="E716" s="28" t="n"/>
      <c r="F716" s="28" t="n"/>
      <c r="G716" s="28" t="n"/>
      <c r="H716" s="28" t="n"/>
      <c r="I716" s="28" t="n"/>
      <c r="J716" s="28" t="n"/>
      <c r="K716" s="28" t="n"/>
    </row>
    <row r="717" ht="12.75" customHeight="1">
      <c r="A717" s="28" t="n"/>
      <c r="B717" s="28" t="n"/>
      <c r="C717" s="28" t="n"/>
      <c r="D717" s="28" t="n"/>
      <c r="E717" s="28" t="n"/>
      <c r="F717" s="28" t="n"/>
      <c r="G717" s="28" t="n"/>
      <c r="H717" s="28" t="n"/>
      <c r="I717" s="28" t="n"/>
      <c r="J717" s="28" t="n"/>
      <c r="K717" s="28" t="n"/>
    </row>
    <row r="718" ht="12.75" customHeight="1">
      <c r="A718" s="28" t="n"/>
      <c r="B718" s="28" t="n"/>
      <c r="C718" s="28" t="n"/>
      <c r="D718" s="28" t="n"/>
      <c r="E718" s="28" t="n"/>
      <c r="F718" s="28" t="n"/>
      <c r="G718" s="28" t="n"/>
      <c r="H718" s="28" t="n"/>
      <c r="I718" s="28" t="n"/>
      <c r="J718" s="28" t="n"/>
      <c r="K718" s="28" t="n"/>
    </row>
    <row r="719" ht="12.75" customHeight="1">
      <c r="A719" s="28" t="n"/>
      <c r="B719" s="28" t="n"/>
      <c r="C719" s="28" t="n"/>
      <c r="D719" s="28" t="n"/>
      <c r="E719" s="28" t="n"/>
      <c r="F719" s="28" t="n"/>
      <c r="G719" s="28" t="n"/>
      <c r="H719" s="28" t="n"/>
      <c r="I719" s="28" t="n"/>
      <c r="J719" s="28" t="n"/>
      <c r="K719" s="28" t="n"/>
    </row>
    <row r="720" ht="12.75" customHeight="1">
      <c r="A720" s="28" t="n"/>
      <c r="B720" s="28" t="n"/>
      <c r="C720" s="28" t="n"/>
      <c r="D720" s="28" t="n"/>
      <c r="E720" s="28" t="n"/>
      <c r="F720" s="28" t="n"/>
      <c r="G720" s="28" t="n"/>
      <c r="H720" s="28" t="n"/>
      <c r="I720" s="28" t="n"/>
      <c r="J720" s="28" t="n"/>
      <c r="K720" s="28" t="n"/>
    </row>
    <row r="721" ht="12.75" customHeight="1">
      <c r="A721" s="28" t="n"/>
      <c r="B721" s="28" t="n"/>
      <c r="C721" s="28" t="n"/>
      <c r="D721" s="28" t="n"/>
      <c r="E721" s="28" t="n"/>
      <c r="F721" s="28" t="n"/>
      <c r="G721" s="28" t="n"/>
      <c r="H721" s="28" t="n"/>
      <c r="I721" s="28" t="n"/>
      <c r="J721" s="28" t="n"/>
      <c r="K721" s="28" t="n"/>
    </row>
    <row r="722" ht="12.75" customHeight="1">
      <c r="A722" s="28" t="n"/>
      <c r="B722" s="28" t="n"/>
      <c r="C722" s="28" t="n"/>
      <c r="D722" s="28" t="n"/>
      <c r="E722" s="28" t="n"/>
      <c r="F722" s="28" t="n"/>
      <c r="G722" s="28" t="n"/>
      <c r="H722" s="28" t="n"/>
      <c r="I722" s="28" t="n"/>
      <c r="J722" s="28" t="n"/>
      <c r="K722" s="28" t="n"/>
    </row>
    <row r="723" ht="12.75" customHeight="1">
      <c r="A723" s="28" t="n"/>
      <c r="B723" s="28" t="n"/>
      <c r="C723" s="28" t="n"/>
      <c r="D723" s="28" t="n"/>
      <c r="E723" s="28" t="n"/>
      <c r="F723" s="28" t="n"/>
      <c r="G723" s="28" t="n"/>
      <c r="H723" s="28" t="n"/>
      <c r="I723" s="28" t="n"/>
      <c r="J723" s="28" t="n"/>
      <c r="K723" s="28" t="n"/>
    </row>
    <row r="724" ht="12.75" customHeight="1">
      <c r="A724" s="28" t="n"/>
      <c r="B724" s="28" t="n"/>
      <c r="C724" s="28" t="n"/>
      <c r="D724" s="28" t="n"/>
      <c r="E724" s="28" t="n"/>
      <c r="F724" s="28" t="n"/>
      <c r="G724" s="28" t="n"/>
      <c r="H724" s="28" t="n"/>
      <c r="I724" s="28" t="n"/>
      <c r="J724" s="28" t="n"/>
      <c r="K724" s="28" t="n"/>
    </row>
    <row r="725" ht="12.75" customHeight="1">
      <c r="A725" s="28" t="n"/>
      <c r="B725" s="28" t="n"/>
      <c r="C725" s="28" t="n"/>
      <c r="D725" s="28" t="n"/>
      <c r="E725" s="28" t="n"/>
      <c r="F725" s="28" t="n"/>
      <c r="G725" s="28" t="n"/>
      <c r="H725" s="28" t="n"/>
      <c r="I725" s="28" t="n"/>
      <c r="J725" s="28" t="n"/>
      <c r="K725" s="28" t="n"/>
    </row>
    <row r="726" ht="12.75" customHeight="1">
      <c r="A726" s="28" t="n"/>
      <c r="B726" s="28" t="n"/>
      <c r="C726" s="28" t="n"/>
      <c r="D726" s="28" t="n"/>
      <c r="E726" s="28" t="n"/>
      <c r="F726" s="28" t="n"/>
      <c r="G726" s="28" t="n"/>
      <c r="H726" s="28" t="n"/>
      <c r="I726" s="28" t="n"/>
      <c r="J726" s="28" t="n"/>
      <c r="K726" s="28" t="n"/>
    </row>
    <row r="727" ht="12.75" customHeight="1">
      <c r="A727" s="28" t="n"/>
      <c r="B727" s="28" t="n"/>
      <c r="C727" s="28" t="n"/>
      <c r="D727" s="28" t="n"/>
      <c r="E727" s="28" t="n"/>
      <c r="F727" s="28" t="n"/>
      <c r="G727" s="28" t="n"/>
      <c r="H727" s="28" t="n"/>
      <c r="I727" s="28" t="n"/>
      <c r="J727" s="28" t="n"/>
      <c r="K727" s="28" t="n"/>
    </row>
    <row r="728" ht="12.75" customHeight="1">
      <c r="A728" s="28" t="n"/>
      <c r="B728" s="28" t="n"/>
      <c r="C728" s="28" t="n"/>
      <c r="D728" s="28" t="n"/>
      <c r="E728" s="28" t="n"/>
      <c r="F728" s="28" t="n"/>
      <c r="G728" s="28" t="n"/>
      <c r="H728" s="28" t="n"/>
      <c r="I728" s="28" t="n"/>
      <c r="J728" s="28" t="n"/>
      <c r="K728" s="28" t="n"/>
    </row>
    <row r="729" ht="12.75" customHeight="1">
      <c r="A729" s="28" t="n"/>
      <c r="B729" s="28" t="n"/>
      <c r="C729" s="28" t="n"/>
      <c r="D729" s="28" t="n"/>
      <c r="E729" s="28" t="n"/>
      <c r="F729" s="28" t="n"/>
      <c r="G729" s="28" t="n"/>
      <c r="H729" s="28" t="n"/>
      <c r="I729" s="28" t="n"/>
      <c r="J729" s="28" t="n"/>
      <c r="K729" s="28" t="n"/>
    </row>
    <row r="730" ht="12.75" customHeight="1">
      <c r="A730" s="28" t="n"/>
      <c r="B730" s="28" t="n"/>
      <c r="C730" s="28" t="n"/>
      <c r="D730" s="28" t="n"/>
      <c r="E730" s="28" t="n"/>
      <c r="F730" s="28" t="n"/>
      <c r="G730" s="28" t="n"/>
      <c r="H730" s="28" t="n"/>
      <c r="I730" s="28" t="n"/>
      <c r="J730" s="28" t="n"/>
      <c r="K730" s="28" t="n"/>
    </row>
    <row r="731" ht="12.75" customHeight="1">
      <c r="A731" s="28" t="n"/>
      <c r="B731" s="28" t="n"/>
      <c r="C731" s="28" t="n"/>
      <c r="D731" s="28" t="n"/>
      <c r="E731" s="28" t="n"/>
      <c r="F731" s="28" t="n"/>
      <c r="G731" s="28" t="n"/>
      <c r="H731" s="28" t="n"/>
      <c r="I731" s="28" t="n"/>
      <c r="J731" s="28" t="n"/>
      <c r="K731" s="28" t="n"/>
    </row>
    <row r="732" ht="12.75" customHeight="1">
      <c r="A732" s="28" t="n"/>
      <c r="B732" s="28" t="n"/>
      <c r="C732" s="28" t="n"/>
      <c r="D732" s="28" t="n"/>
      <c r="E732" s="28" t="n"/>
      <c r="F732" s="28" t="n"/>
      <c r="G732" s="28" t="n"/>
      <c r="H732" s="28" t="n"/>
      <c r="I732" s="28" t="n"/>
      <c r="J732" s="28" t="n"/>
      <c r="K732" s="28" t="n"/>
    </row>
    <row r="733" ht="12.75" customHeight="1">
      <c r="A733" s="28" t="n"/>
      <c r="B733" s="28" t="n"/>
      <c r="C733" s="28" t="n"/>
      <c r="D733" s="28" t="n"/>
      <c r="E733" s="28" t="n"/>
      <c r="F733" s="28" t="n"/>
      <c r="G733" s="28" t="n"/>
      <c r="H733" s="28" t="n"/>
      <c r="I733" s="28" t="n"/>
      <c r="J733" s="28" t="n"/>
      <c r="K733" s="28" t="n"/>
    </row>
    <row r="734" ht="12.75" customHeight="1">
      <c r="A734" s="28" t="n"/>
      <c r="B734" s="28" t="n"/>
      <c r="C734" s="28" t="n"/>
      <c r="D734" s="28" t="n"/>
      <c r="E734" s="28" t="n"/>
      <c r="F734" s="28" t="n"/>
      <c r="G734" s="28" t="n"/>
      <c r="H734" s="28" t="n"/>
      <c r="I734" s="28" t="n"/>
      <c r="J734" s="28" t="n"/>
      <c r="K734" s="28" t="n"/>
    </row>
    <row r="735" ht="12.75" customHeight="1">
      <c r="A735" s="28" t="n"/>
      <c r="B735" s="28" t="n"/>
      <c r="C735" s="28" t="n"/>
      <c r="D735" s="28" t="n"/>
      <c r="E735" s="28" t="n"/>
      <c r="F735" s="28" t="n"/>
      <c r="G735" s="28" t="n"/>
      <c r="H735" s="28" t="n"/>
      <c r="I735" s="28" t="n"/>
      <c r="J735" s="28" t="n"/>
      <c r="K735" s="28" t="n"/>
    </row>
    <row r="736" ht="12.75" customHeight="1">
      <c r="A736" s="28" t="n"/>
      <c r="B736" s="28" t="n"/>
      <c r="C736" s="28" t="n"/>
      <c r="D736" s="28" t="n"/>
      <c r="E736" s="28" t="n"/>
      <c r="F736" s="28" t="n"/>
      <c r="G736" s="28" t="n"/>
      <c r="H736" s="28" t="n"/>
      <c r="I736" s="28" t="n"/>
      <c r="J736" s="28" t="n"/>
      <c r="K736" s="28" t="n"/>
    </row>
    <row r="737" ht="12.75" customHeight="1">
      <c r="A737" s="28" t="n"/>
      <c r="B737" s="28" t="n"/>
      <c r="C737" s="28" t="n"/>
      <c r="D737" s="28" t="n"/>
      <c r="E737" s="28" t="n"/>
      <c r="F737" s="28" t="n"/>
      <c r="G737" s="28" t="n"/>
      <c r="H737" s="28" t="n"/>
      <c r="I737" s="28" t="n"/>
      <c r="J737" s="28" t="n"/>
      <c r="K737" s="28" t="n"/>
    </row>
    <row r="738" ht="12.75" customHeight="1">
      <c r="A738" s="28" t="n"/>
      <c r="B738" s="28" t="n"/>
      <c r="C738" s="28" t="n"/>
      <c r="D738" s="28" t="n"/>
      <c r="E738" s="28" t="n"/>
      <c r="F738" s="28" t="n"/>
      <c r="G738" s="28" t="n"/>
      <c r="H738" s="28" t="n"/>
      <c r="I738" s="28" t="n"/>
      <c r="J738" s="28" t="n"/>
      <c r="K738" s="28" t="n"/>
    </row>
    <row r="739" ht="12.75" customHeight="1">
      <c r="A739" s="28" t="n"/>
      <c r="B739" s="28" t="n"/>
      <c r="C739" s="28" t="n"/>
      <c r="D739" s="28" t="n"/>
      <c r="E739" s="28" t="n"/>
      <c r="F739" s="28" t="n"/>
      <c r="G739" s="28" t="n"/>
      <c r="H739" s="28" t="n"/>
      <c r="I739" s="28" t="n"/>
      <c r="J739" s="28" t="n"/>
      <c r="K739" s="28" t="n"/>
    </row>
    <row r="740" ht="12.75" customHeight="1">
      <c r="A740" s="28" t="n"/>
      <c r="B740" s="28" t="n"/>
      <c r="C740" s="28" t="n"/>
      <c r="D740" s="28" t="n"/>
      <c r="E740" s="28" t="n"/>
      <c r="F740" s="28" t="n"/>
      <c r="G740" s="28" t="n"/>
      <c r="H740" s="28" t="n"/>
      <c r="I740" s="28" t="n"/>
      <c r="J740" s="28" t="n"/>
      <c r="K740" s="28" t="n"/>
    </row>
    <row r="741" ht="12.75" customHeight="1">
      <c r="A741" s="28" t="n"/>
      <c r="B741" s="28" t="n"/>
      <c r="C741" s="28" t="n"/>
      <c r="D741" s="28" t="n"/>
      <c r="E741" s="28" t="n"/>
      <c r="F741" s="28" t="n"/>
      <c r="G741" s="28" t="n"/>
      <c r="H741" s="28" t="n"/>
      <c r="I741" s="28" t="n"/>
      <c r="J741" s="28" t="n"/>
      <c r="K741" s="28" t="n"/>
    </row>
    <row r="742" ht="12.75" customHeight="1">
      <c r="A742" s="28" t="n"/>
      <c r="B742" s="28" t="n"/>
      <c r="C742" s="28" t="n"/>
      <c r="D742" s="28" t="n"/>
      <c r="E742" s="28" t="n"/>
      <c r="F742" s="28" t="n"/>
      <c r="G742" s="28" t="n"/>
      <c r="H742" s="28" t="n"/>
      <c r="I742" s="28" t="n"/>
      <c r="J742" s="28" t="n"/>
      <c r="K742" s="28" t="n"/>
    </row>
    <row r="743" ht="12.75" customHeight="1">
      <c r="A743" s="28" t="n"/>
      <c r="B743" s="28" t="n"/>
      <c r="C743" s="28" t="n"/>
      <c r="D743" s="28" t="n"/>
      <c r="E743" s="28" t="n"/>
      <c r="F743" s="28" t="n"/>
      <c r="G743" s="28" t="n"/>
      <c r="H743" s="28" t="n"/>
      <c r="I743" s="28" t="n"/>
      <c r="J743" s="28" t="n"/>
      <c r="K743" s="28" t="n"/>
    </row>
    <row r="744" ht="12.75" customHeight="1">
      <c r="A744" s="28" t="n"/>
      <c r="B744" s="28" t="n"/>
      <c r="C744" s="28" t="n"/>
      <c r="D744" s="28" t="n"/>
      <c r="E744" s="28" t="n"/>
      <c r="F744" s="28" t="n"/>
      <c r="G744" s="28" t="n"/>
      <c r="H744" s="28" t="n"/>
      <c r="I744" s="28" t="n"/>
      <c r="J744" s="28" t="n"/>
      <c r="K744" s="28" t="n"/>
    </row>
    <row r="745" ht="12.75" customHeight="1">
      <c r="A745" s="28" t="n"/>
      <c r="B745" s="28" t="n"/>
      <c r="C745" s="28" t="n"/>
      <c r="D745" s="28" t="n"/>
      <c r="E745" s="28" t="n"/>
      <c r="F745" s="28" t="n"/>
      <c r="G745" s="28" t="n"/>
      <c r="H745" s="28" t="n"/>
      <c r="I745" s="28" t="n"/>
      <c r="J745" s="28" t="n"/>
      <c r="K745" s="28" t="n"/>
    </row>
    <row r="746" ht="12.75" customHeight="1">
      <c r="A746" s="28" t="n"/>
      <c r="B746" s="28" t="n"/>
      <c r="C746" s="28" t="n"/>
      <c r="D746" s="28" t="n"/>
      <c r="E746" s="28" t="n"/>
      <c r="F746" s="28" t="n"/>
      <c r="G746" s="28" t="n"/>
      <c r="H746" s="28" t="n"/>
      <c r="I746" s="28" t="n"/>
      <c r="J746" s="28" t="n"/>
      <c r="K746" s="28" t="n"/>
    </row>
    <row r="747" ht="12.75" customHeight="1">
      <c r="A747" s="28" t="n"/>
      <c r="B747" s="28" t="n"/>
      <c r="C747" s="28" t="n"/>
      <c r="D747" s="28" t="n"/>
      <c r="E747" s="28" t="n"/>
      <c r="F747" s="28" t="n"/>
      <c r="G747" s="28" t="n"/>
      <c r="H747" s="28" t="n"/>
      <c r="I747" s="28" t="n"/>
      <c r="J747" s="28" t="n"/>
      <c r="K747" s="28" t="n"/>
    </row>
    <row r="748" ht="12.75" customHeight="1">
      <c r="A748" s="28" t="n"/>
      <c r="B748" s="28" t="n"/>
      <c r="C748" s="28" t="n"/>
      <c r="D748" s="28" t="n"/>
      <c r="E748" s="28" t="n"/>
      <c r="F748" s="28" t="n"/>
      <c r="G748" s="28" t="n"/>
      <c r="H748" s="28" t="n"/>
      <c r="I748" s="28" t="n"/>
      <c r="J748" s="28" t="n"/>
      <c r="K748" s="28" t="n"/>
    </row>
    <row r="749" ht="12.75" customHeight="1">
      <c r="A749" s="28" t="n"/>
      <c r="B749" s="28" t="n"/>
      <c r="C749" s="28" t="n"/>
      <c r="D749" s="28" t="n"/>
      <c r="E749" s="28" t="n"/>
      <c r="F749" s="28" t="n"/>
      <c r="G749" s="28" t="n"/>
      <c r="H749" s="28" t="n"/>
      <c r="I749" s="28" t="n"/>
      <c r="J749" s="28" t="n"/>
      <c r="K749" s="28" t="n"/>
    </row>
    <row r="750" ht="12.75" customHeight="1">
      <c r="A750" s="28" t="n"/>
      <c r="B750" s="28" t="n"/>
      <c r="C750" s="28" t="n"/>
      <c r="D750" s="28" t="n"/>
      <c r="E750" s="28" t="n"/>
      <c r="F750" s="28" t="n"/>
      <c r="G750" s="28" t="n"/>
      <c r="H750" s="28" t="n"/>
      <c r="I750" s="28" t="n"/>
      <c r="J750" s="28" t="n"/>
      <c r="K750" s="28" t="n"/>
    </row>
    <row r="751" ht="12.75" customHeight="1">
      <c r="A751" s="28" t="n"/>
      <c r="B751" s="28" t="n"/>
      <c r="C751" s="28" t="n"/>
      <c r="D751" s="28" t="n"/>
      <c r="E751" s="28" t="n"/>
      <c r="F751" s="28" t="n"/>
      <c r="G751" s="28" t="n"/>
      <c r="H751" s="28" t="n"/>
      <c r="I751" s="28" t="n"/>
      <c r="J751" s="28" t="n"/>
      <c r="K751" s="28" t="n"/>
    </row>
    <row r="752" ht="12.75" customHeight="1">
      <c r="A752" s="28" t="n"/>
      <c r="B752" s="28" t="n"/>
      <c r="C752" s="28" t="n"/>
      <c r="D752" s="28" t="n"/>
      <c r="E752" s="28" t="n"/>
      <c r="F752" s="28" t="n"/>
      <c r="G752" s="28" t="n"/>
      <c r="H752" s="28" t="n"/>
      <c r="I752" s="28" t="n"/>
      <c r="J752" s="28" t="n"/>
      <c r="K752" s="28" t="n"/>
    </row>
    <row r="753" ht="12.75" customHeight="1">
      <c r="A753" s="28" t="n"/>
      <c r="B753" s="28" t="n"/>
      <c r="C753" s="28" t="n"/>
      <c r="D753" s="28" t="n"/>
      <c r="E753" s="28" t="n"/>
      <c r="F753" s="28" t="n"/>
      <c r="G753" s="28" t="n"/>
      <c r="H753" s="28" t="n"/>
      <c r="I753" s="28" t="n"/>
      <c r="J753" s="28" t="n"/>
      <c r="K753" s="28" t="n"/>
    </row>
    <row r="754" ht="12.75" customHeight="1">
      <c r="A754" s="28" t="n"/>
      <c r="B754" s="28" t="n"/>
      <c r="C754" s="28" t="n"/>
      <c r="D754" s="28" t="n"/>
      <c r="E754" s="28" t="n"/>
      <c r="F754" s="28" t="n"/>
      <c r="G754" s="28" t="n"/>
      <c r="H754" s="28" t="n"/>
      <c r="I754" s="28" t="n"/>
      <c r="J754" s="28" t="n"/>
      <c r="K754" s="28" t="n"/>
    </row>
    <row r="755" ht="12.75" customHeight="1">
      <c r="A755" s="28" t="n"/>
      <c r="B755" s="28" t="n"/>
      <c r="C755" s="28" t="n"/>
      <c r="D755" s="28" t="n"/>
      <c r="E755" s="28" t="n"/>
      <c r="F755" s="28" t="n"/>
      <c r="G755" s="28" t="n"/>
      <c r="H755" s="28" t="n"/>
      <c r="I755" s="28" t="n"/>
      <c r="J755" s="28" t="n"/>
      <c r="K755" s="28" t="n"/>
    </row>
    <row r="756" ht="12.75" customHeight="1">
      <c r="A756" s="28" t="n"/>
      <c r="B756" s="28" t="n"/>
      <c r="C756" s="28" t="n"/>
      <c r="D756" s="28" t="n"/>
      <c r="E756" s="28" t="n"/>
      <c r="F756" s="28" t="n"/>
      <c r="G756" s="28" t="n"/>
      <c r="H756" s="28" t="n"/>
      <c r="I756" s="28" t="n"/>
      <c r="J756" s="28" t="n"/>
      <c r="K756" s="28" t="n"/>
    </row>
    <row r="757" ht="12.75" customHeight="1">
      <c r="A757" s="28" t="n"/>
      <c r="B757" s="28" t="n"/>
      <c r="C757" s="28" t="n"/>
      <c r="D757" s="28" t="n"/>
      <c r="E757" s="28" t="n"/>
      <c r="F757" s="28" t="n"/>
      <c r="G757" s="28" t="n"/>
      <c r="H757" s="28" t="n"/>
      <c r="I757" s="28" t="n"/>
      <c r="J757" s="28" t="n"/>
      <c r="K757" s="28" t="n"/>
    </row>
    <row r="758" ht="12.75" customHeight="1">
      <c r="A758" s="28" t="n"/>
      <c r="B758" s="28" t="n"/>
      <c r="C758" s="28" t="n"/>
      <c r="D758" s="28" t="n"/>
      <c r="E758" s="28" t="n"/>
      <c r="F758" s="28" t="n"/>
      <c r="G758" s="28" t="n"/>
      <c r="H758" s="28" t="n"/>
      <c r="I758" s="28" t="n"/>
      <c r="J758" s="28" t="n"/>
      <c r="K758" s="28" t="n"/>
    </row>
    <row r="759" ht="12.75" customHeight="1">
      <c r="A759" s="28" t="n"/>
      <c r="B759" s="28" t="n"/>
      <c r="C759" s="28" t="n"/>
      <c r="D759" s="28" t="n"/>
      <c r="E759" s="28" t="n"/>
      <c r="F759" s="28" t="n"/>
      <c r="G759" s="28" t="n"/>
      <c r="H759" s="28" t="n"/>
      <c r="I759" s="28" t="n"/>
      <c r="J759" s="28" t="n"/>
      <c r="K759" s="28" t="n"/>
    </row>
    <row r="760" ht="12.75" customHeight="1">
      <c r="A760" s="28" t="n"/>
      <c r="B760" s="28" t="n"/>
      <c r="C760" s="28" t="n"/>
      <c r="D760" s="28" t="n"/>
      <c r="E760" s="28" t="n"/>
      <c r="F760" s="28" t="n"/>
      <c r="G760" s="28" t="n"/>
      <c r="H760" s="28" t="n"/>
      <c r="I760" s="28" t="n"/>
      <c r="J760" s="28" t="n"/>
      <c r="K760" s="28" t="n"/>
    </row>
    <row r="761" ht="12.75" customHeight="1">
      <c r="A761" s="28" t="n"/>
      <c r="B761" s="28" t="n"/>
      <c r="C761" s="28" t="n"/>
      <c r="D761" s="28" t="n"/>
      <c r="E761" s="28" t="n"/>
      <c r="F761" s="28" t="n"/>
      <c r="G761" s="28" t="n"/>
      <c r="H761" s="28" t="n"/>
      <c r="I761" s="28" t="n"/>
      <c r="J761" s="28" t="n"/>
      <c r="K761" s="28" t="n"/>
    </row>
    <row r="762" ht="12.75" customHeight="1">
      <c r="A762" s="28" t="n"/>
      <c r="B762" s="28" t="n"/>
      <c r="C762" s="28" t="n"/>
      <c r="D762" s="28" t="n"/>
      <c r="E762" s="28" t="n"/>
      <c r="F762" s="28" t="n"/>
      <c r="G762" s="28" t="n"/>
      <c r="H762" s="28" t="n"/>
      <c r="I762" s="28" t="n"/>
      <c r="J762" s="28" t="n"/>
      <c r="K762" s="28" t="n"/>
    </row>
    <row r="763" ht="12.75" customHeight="1">
      <c r="A763" s="28" t="n"/>
      <c r="B763" s="28" t="n"/>
      <c r="C763" s="28" t="n"/>
      <c r="D763" s="28" t="n"/>
      <c r="E763" s="28" t="n"/>
      <c r="F763" s="28" t="n"/>
      <c r="G763" s="28" t="n"/>
      <c r="H763" s="28" t="n"/>
      <c r="I763" s="28" t="n"/>
      <c r="J763" s="28" t="n"/>
      <c r="K763" s="28" t="n"/>
    </row>
    <row r="764" ht="12.75" customHeight="1">
      <c r="A764" s="28" t="n"/>
      <c r="B764" s="28" t="n"/>
      <c r="C764" s="28" t="n"/>
      <c r="D764" s="28" t="n"/>
      <c r="E764" s="28" t="n"/>
      <c r="F764" s="28" t="n"/>
      <c r="G764" s="28" t="n"/>
      <c r="H764" s="28" t="n"/>
      <c r="I764" s="28" t="n"/>
      <c r="J764" s="28" t="n"/>
      <c r="K764" s="28" t="n"/>
    </row>
    <row r="765" ht="12.75" customHeight="1">
      <c r="A765" s="28" t="n"/>
      <c r="B765" s="28" t="n"/>
      <c r="C765" s="28" t="n"/>
      <c r="D765" s="28" t="n"/>
      <c r="E765" s="28" t="n"/>
      <c r="F765" s="28" t="n"/>
      <c r="G765" s="28" t="n"/>
      <c r="H765" s="28" t="n"/>
      <c r="I765" s="28" t="n"/>
      <c r="J765" s="28" t="n"/>
      <c r="K765" s="28" t="n"/>
    </row>
    <row r="766" ht="12.75" customHeight="1">
      <c r="A766" s="28" t="n"/>
      <c r="B766" s="28" t="n"/>
      <c r="C766" s="28" t="n"/>
      <c r="D766" s="28" t="n"/>
      <c r="E766" s="28" t="n"/>
      <c r="F766" s="28" t="n"/>
      <c r="G766" s="28" t="n"/>
      <c r="H766" s="28" t="n"/>
      <c r="I766" s="28" t="n"/>
      <c r="J766" s="28" t="n"/>
      <c r="K766" s="28" t="n"/>
    </row>
    <row r="767" ht="12.75" customHeight="1">
      <c r="A767" s="28" t="n"/>
      <c r="B767" s="28" t="n"/>
      <c r="C767" s="28" t="n"/>
      <c r="D767" s="28" t="n"/>
      <c r="E767" s="28" t="n"/>
      <c r="F767" s="28" t="n"/>
      <c r="G767" s="28" t="n"/>
      <c r="H767" s="28" t="n"/>
      <c r="I767" s="28" t="n"/>
      <c r="J767" s="28" t="n"/>
      <c r="K767" s="28" t="n"/>
    </row>
    <row r="768" ht="12.75" customHeight="1">
      <c r="A768" s="28" t="n"/>
      <c r="B768" s="28" t="n"/>
      <c r="C768" s="28" t="n"/>
      <c r="D768" s="28" t="n"/>
      <c r="E768" s="28" t="n"/>
      <c r="F768" s="28" t="n"/>
      <c r="G768" s="28" t="n"/>
      <c r="H768" s="28" t="n"/>
      <c r="I768" s="28" t="n"/>
      <c r="J768" s="28" t="n"/>
      <c r="K768" s="28" t="n"/>
    </row>
    <row r="769" ht="12.75" customHeight="1">
      <c r="A769" s="28" t="n"/>
      <c r="B769" s="28" t="n"/>
      <c r="C769" s="28" t="n"/>
      <c r="D769" s="28" t="n"/>
      <c r="E769" s="28" t="n"/>
      <c r="F769" s="28" t="n"/>
      <c r="G769" s="28" t="n"/>
      <c r="H769" s="28" t="n"/>
      <c r="I769" s="28" t="n"/>
      <c r="J769" s="28" t="n"/>
      <c r="K769" s="28" t="n"/>
    </row>
    <row r="770" ht="12.75" customHeight="1">
      <c r="A770" s="28" t="n"/>
      <c r="B770" s="28" t="n"/>
      <c r="C770" s="28" t="n"/>
      <c r="D770" s="28" t="n"/>
      <c r="E770" s="28" t="n"/>
      <c r="F770" s="28" t="n"/>
      <c r="G770" s="28" t="n"/>
      <c r="H770" s="28" t="n"/>
      <c r="I770" s="28" t="n"/>
      <c r="J770" s="28" t="n"/>
      <c r="K770" s="28" t="n"/>
    </row>
    <row r="771" ht="12.75" customHeight="1">
      <c r="A771" s="28" t="n"/>
      <c r="B771" s="28" t="n"/>
      <c r="C771" s="28" t="n"/>
      <c r="D771" s="28" t="n"/>
      <c r="E771" s="28" t="n"/>
      <c r="F771" s="28" t="n"/>
      <c r="G771" s="28" t="n"/>
      <c r="H771" s="28" t="n"/>
      <c r="I771" s="28" t="n"/>
      <c r="J771" s="28" t="n"/>
      <c r="K771" s="28" t="n"/>
    </row>
    <row r="772" ht="12.75" customHeight="1">
      <c r="A772" s="28" t="n"/>
      <c r="B772" s="28" t="n"/>
      <c r="C772" s="28" t="n"/>
      <c r="D772" s="28" t="n"/>
      <c r="E772" s="28" t="n"/>
      <c r="F772" s="28" t="n"/>
      <c r="G772" s="28" t="n"/>
      <c r="H772" s="28" t="n"/>
      <c r="I772" s="28" t="n"/>
      <c r="J772" s="28" t="n"/>
      <c r="K772" s="28" t="n"/>
    </row>
    <row r="773" ht="12.75" customHeight="1">
      <c r="A773" s="28" t="n"/>
      <c r="B773" s="28" t="n"/>
      <c r="C773" s="28" t="n"/>
      <c r="D773" s="28" t="n"/>
      <c r="E773" s="28" t="n"/>
      <c r="F773" s="28" t="n"/>
      <c r="G773" s="28" t="n"/>
      <c r="H773" s="28" t="n"/>
      <c r="I773" s="28" t="n"/>
      <c r="J773" s="28" t="n"/>
      <c r="K773" s="28" t="n"/>
    </row>
    <row r="774" ht="12.75" customHeight="1">
      <c r="A774" s="28" t="n"/>
      <c r="B774" s="28" t="n"/>
      <c r="C774" s="28" t="n"/>
      <c r="D774" s="28" t="n"/>
      <c r="E774" s="28" t="n"/>
      <c r="F774" s="28" t="n"/>
      <c r="G774" s="28" t="n"/>
      <c r="H774" s="28" t="n"/>
      <c r="I774" s="28" t="n"/>
      <c r="J774" s="28" t="n"/>
      <c r="K774" s="28" t="n"/>
    </row>
    <row r="775" ht="12.75" customHeight="1">
      <c r="A775" s="28" t="n"/>
      <c r="B775" s="28" t="n"/>
      <c r="C775" s="28" t="n"/>
      <c r="D775" s="28" t="n"/>
      <c r="E775" s="28" t="n"/>
      <c r="F775" s="28" t="n"/>
      <c r="G775" s="28" t="n"/>
      <c r="H775" s="28" t="n"/>
      <c r="I775" s="28" t="n"/>
      <c r="J775" s="28" t="n"/>
      <c r="K775" s="28" t="n"/>
    </row>
    <row r="776" ht="12.75" customHeight="1">
      <c r="A776" s="28" t="n"/>
      <c r="B776" s="28" t="n"/>
      <c r="C776" s="28" t="n"/>
      <c r="D776" s="28" t="n"/>
      <c r="E776" s="28" t="n"/>
      <c r="F776" s="28" t="n"/>
      <c r="G776" s="28" t="n"/>
      <c r="H776" s="28" t="n"/>
      <c r="I776" s="28" t="n"/>
      <c r="J776" s="28" t="n"/>
      <c r="K776" s="28" t="n"/>
    </row>
    <row r="777" ht="12.75" customHeight="1">
      <c r="A777" s="28" t="n"/>
      <c r="B777" s="28" t="n"/>
      <c r="C777" s="28" t="n"/>
      <c r="D777" s="28" t="n"/>
      <c r="E777" s="28" t="n"/>
      <c r="F777" s="28" t="n"/>
      <c r="G777" s="28" t="n"/>
      <c r="H777" s="28" t="n"/>
      <c r="I777" s="28" t="n"/>
      <c r="J777" s="28" t="n"/>
      <c r="K777" s="28" t="n"/>
    </row>
    <row r="778" ht="12.75" customHeight="1">
      <c r="A778" s="28" t="n"/>
      <c r="B778" s="28" t="n"/>
      <c r="C778" s="28" t="n"/>
      <c r="D778" s="28" t="n"/>
      <c r="E778" s="28" t="n"/>
      <c r="F778" s="28" t="n"/>
      <c r="G778" s="28" t="n"/>
      <c r="H778" s="28" t="n"/>
      <c r="I778" s="28" t="n"/>
      <c r="J778" s="28" t="n"/>
      <c r="K778" s="28" t="n"/>
    </row>
    <row r="779" ht="12.75" customHeight="1">
      <c r="A779" s="28" t="n"/>
      <c r="B779" s="28" t="n"/>
      <c r="C779" s="28" t="n"/>
      <c r="D779" s="28" t="n"/>
      <c r="E779" s="28" t="n"/>
      <c r="F779" s="28" t="n"/>
      <c r="G779" s="28" t="n"/>
      <c r="H779" s="28" t="n"/>
      <c r="I779" s="28" t="n"/>
      <c r="J779" s="28" t="n"/>
      <c r="K779" s="28" t="n"/>
    </row>
    <row r="780" ht="12.75" customHeight="1">
      <c r="A780" s="28" t="n"/>
      <c r="B780" s="28" t="n"/>
      <c r="C780" s="28" t="n"/>
      <c r="D780" s="28" t="n"/>
      <c r="E780" s="28" t="n"/>
      <c r="F780" s="28" t="n"/>
      <c r="G780" s="28" t="n"/>
      <c r="H780" s="28" t="n"/>
      <c r="I780" s="28" t="n"/>
      <c r="J780" s="28" t="n"/>
      <c r="K780" s="28" t="n"/>
    </row>
    <row r="781" ht="12.75" customHeight="1">
      <c r="A781" s="28" t="n"/>
      <c r="B781" s="28" t="n"/>
      <c r="C781" s="28" t="n"/>
      <c r="D781" s="28" t="n"/>
      <c r="E781" s="28" t="n"/>
      <c r="F781" s="28" t="n"/>
      <c r="G781" s="28" t="n"/>
      <c r="H781" s="28" t="n"/>
      <c r="I781" s="28" t="n"/>
      <c r="J781" s="28" t="n"/>
      <c r="K781" s="28" t="n"/>
    </row>
    <row r="782" ht="12.75" customHeight="1">
      <c r="A782" s="28" t="n"/>
      <c r="B782" s="28" t="n"/>
      <c r="C782" s="28" t="n"/>
      <c r="D782" s="28" t="n"/>
      <c r="E782" s="28" t="n"/>
      <c r="F782" s="28" t="n"/>
      <c r="G782" s="28" t="n"/>
      <c r="H782" s="28" t="n"/>
      <c r="I782" s="28" t="n"/>
      <c r="J782" s="28" t="n"/>
      <c r="K782" s="28" t="n"/>
    </row>
    <row r="783" ht="12.75" customHeight="1">
      <c r="A783" s="28" t="n"/>
      <c r="B783" s="28" t="n"/>
      <c r="C783" s="28" t="n"/>
      <c r="D783" s="28" t="n"/>
      <c r="E783" s="28" t="n"/>
      <c r="F783" s="28" t="n"/>
      <c r="G783" s="28" t="n"/>
      <c r="H783" s="28" t="n"/>
      <c r="I783" s="28" t="n"/>
      <c r="J783" s="28" t="n"/>
      <c r="K783" s="28" t="n"/>
    </row>
    <row r="784" ht="12.75" customHeight="1">
      <c r="A784" s="28" t="n"/>
      <c r="B784" s="28" t="n"/>
      <c r="C784" s="28" t="n"/>
      <c r="D784" s="28" t="n"/>
      <c r="E784" s="28" t="n"/>
      <c r="F784" s="28" t="n"/>
      <c r="G784" s="28" t="n"/>
      <c r="H784" s="28" t="n"/>
      <c r="I784" s="28" t="n"/>
      <c r="J784" s="28" t="n"/>
      <c r="K784" s="28" t="n"/>
    </row>
    <row r="785" ht="12.75" customHeight="1">
      <c r="A785" s="28" t="n"/>
      <c r="B785" s="28" t="n"/>
      <c r="C785" s="28" t="n"/>
      <c r="D785" s="28" t="n"/>
      <c r="E785" s="28" t="n"/>
      <c r="F785" s="28" t="n"/>
      <c r="G785" s="28" t="n"/>
      <c r="H785" s="28" t="n"/>
      <c r="I785" s="28" t="n"/>
      <c r="J785" s="28" t="n"/>
      <c r="K785" s="28" t="n"/>
    </row>
    <row r="786" ht="12.75" customHeight="1">
      <c r="A786" s="28" t="n"/>
      <c r="B786" s="28" t="n"/>
      <c r="C786" s="28" t="n"/>
      <c r="D786" s="28" t="n"/>
      <c r="E786" s="28" t="n"/>
      <c r="F786" s="28" t="n"/>
      <c r="G786" s="28" t="n"/>
      <c r="H786" s="28" t="n"/>
      <c r="I786" s="28" t="n"/>
      <c r="J786" s="28" t="n"/>
      <c r="K786" s="28" t="n"/>
    </row>
    <row r="787" ht="12.75" customHeight="1">
      <c r="A787" s="28" t="n"/>
      <c r="B787" s="28" t="n"/>
      <c r="C787" s="28" t="n"/>
      <c r="D787" s="28" t="n"/>
      <c r="E787" s="28" t="n"/>
      <c r="F787" s="28" t="n"/>
      <c r="G787" s="28" t="n"/>
      <c r="H787" s="28" t="n"/>
      <c r="I787" s="28" t="n"/>
      <c r="J787" s="28" t="n"/>
      <c r="K787" s="28" t="n"/>
    </row>
    <row r="788" ht="12.75" customHeight="1">
      <c r="A788" s="28" t="n"/>
      <c r="B788" s="28" t="n"/>
      <c r="C788" s="28" t="n"/>
      <c r="D788" s="28" t="n"/>
      <c r="E788" s="28" t="n"/>
      <c r="F788" s="28" t="n"/>
      <c r="G788" s="28" t="n"/>
      <c r="H788" s="28" t="n"/>
      <c r="I788" s="28" t="n"/>
      <c r="J788" s="28" t="n"/>
      <c r="K788" s="28" t="n"/>
    </row>
    <row r="789" ht="12.75" customHeight="1">
      <c r="A789" s="28" t="n"/>
      <c r="B789" s="28" t="n"/>
      <c r="C789" s="28" t="n"/>
      <c r="D789" s="28" t="n"/>
      <c r="E789" s="28" t="n"/>
      <c r="F789" s="28" t="n"/>
      <c r="G789" s="28" t="n"/>
      <c r="H789" s="28" t="n"/>
      <c r="I789" s="28" t="n"/>
      <c r="J789" s="28" t="n"/>
      <c r="K789" s="28" t="n"/>
    </row>
    <row r="790" ht="12.75" customHeight="1">
      <c r="A790" s="28" t="n"/>
      <c r="B790" s="28" t="n"/>
      <c r="C790" s="28" t="n"/>
      <c r="D790" s="28" t="n"/>
      <c r="E790" s="28" t="n"/>
      <c r="F790" s="28" t="n"/>
      <c r="G790" s="28" t="n"/>
      <c r="H790" s="28" t="n"/>
      <c r="I790" s="28" t="n"/>
      <c r="J790" s="28" t="n"/>
      <c r="K790" s="28" t="n"/>
    </row>
    <row r="791" ht="12.75" customHeight="1">
      <c r="A791" s="28" t="n"/>
      <c r="B791" s="28" t="n"/>
      <c r="C791" s="28" t="n"/>
      <c r="D791" s="28" t="n"/>
      <c r="E791" s="28" t="n"/>
      <c r="F791" s="28" t="n"/>
      <c r="G791" s="28" t="n"/>
      <c r="H791" s="28" t="n"/>
      <c r="I791" s="28" t="n"/>
      <c r="J791" s="28" t="n"/>
      <c r="K791" s="28" t="n"/>
    </row>
    <row r="792" ht="12.75" customHeight="1">
      <c r="A792" s="28" t="n"/>
      <c r="B792" s="28" t="n"/>
      <c r="C792" s="28" t="n"/>
      <c r="D792" s="28" t="n"/>
      <c r="E792" s="28" t="n"/>
      <c r="F792" s="28" t="n"/>
      <c r="G792" s="28" t="n"/>
      <c r="H792" s="28" t="n"/>
      <c r="I792" s="28" t="n"/>
      <c r="J792" s="28" t="n"/>
      <c r="K792" s="28" t="n"/>
    </row>
    <row r="793" ht="12.75" customHeight="1">
      <c r="A793" s="28" t="n"/>
      <c r="B793" s="28" t="n"/>
      <c r="C793" s="28" t="n"/>
      <c r="D793" s="28" t="n"/>
      <c r="E793" s="28" t="n"/>
      <c r="F793" s="28" t="n"/>
      <c r="G793" s="28" t="n"/>
      <c r="H793" s="28" t="n"/>
      <c r="I793" s="28" t="n"/>
      <c r="J793" s="28" t="n"/>
      <c r="K793" s="28" t="n"/>
    </row>
    <row r="794" ht="12.75" customHeight="1">
      <c r="A794" s="28" t="n"/>
      <c r="B794" s="28" t="n"/>
      <c r="C794" s="28" t="n"/>
      <c r="D794" s="28" t="n"/>
      <c r="E794" s="28" t="n"/>
      <c r="F794" s="28" t="n"/>
      <c r="G794" s="28" t="n"/>
      <c r="H794" s="28" t="n"/>
      <c r="I794" s="28" t="n"/>
      <c r="J794" s="28" t="n"/>
      <c r="K794" s="28" t="n"/>
    </row>
    <row r="795" ht="12.75" customHeight="1">
      <c r="A795" s="28" t="n"/>
      <c r="B795" s="28" t="n"/>
      <c r="C795" s="28" t="n"/>
      <c r="D795" s="28" t="n"/>
      <c r="E795" s="28" t="n"/>
      <c r="F795" s="28" t="n"/>
      <c r="G795" s="28" t="n"/>
      <c r="H795" s="28" t="n"/>
      <c r="I795" s="28" t="n"/>
      <c r="J795" s="28" t="n"/>
      <c r="K795" s="28" t="n"/>
    </row>
    <row r="796" ht="12.75" customHeight="1">
      <c r="A796" s="28" t="n"/>
      <c r="B796" s="28" t="n"/>
      <c r="C796" s="28" t="n"/>
      <c r="D796" s="28" t="n"/>
      <c r="E796" s="28" t="n"/>
      <c r="F796" s="28" t="n"/>
      <c r="G796" s="28" t="n"/>
      <c r="H796" s="28" t="n"/>
      <c r="I796" s="28" t="n"/>
      <c r="J796" s="28" t="n"/>
      <c r="K796" s="28" t="n"/>
    </row>
    <row r="797" ht="12.75" customHeight="1">
      <c r="A797" s="28" t="n"/>
      <c r="B797" s="28" t="n"/>
      <c r="C797" s="28" t="n"/>
      <c r="D797" s="28" t="n"/>
      <c r="E797" s="28" t="n"/>
      <c r="F797" s="28" t="n"/>
      <c r="G797" s="28" t="n"/>
      <c r="H797" s="28" t="n"/>
      <c r="I797" s="28" t="n"/>
      <c r="J797" s="28" t="n"/>
      <c r="K797" s="28" t="n"/>
    </row>
    <row r="798" ht="12.75" customHeight="1">
      <c r="A798" s="28" t="n"/>
      <c r="B798" s="28" t="n"/>
      <c r="C798" s="28" t="n"/>
      <c r="D798" s="28" t="n"/>
      <c r="E798" s="28" t="n"/>
      <c r="F798" s="28" t="n"/>
      <c r="G798" s="28" t="n"/>
      <c r="H798" s="28" t="n"/>
      <c r="I798" s="28" t="n"/>
      <c r="J798" s="28" t="n"/>
      <c r="K798" s="28" t="n"/>
    </row>
    <row r="799" ht="12.75" customHeight="1">
      <c r="A799" s="28" t="n"/>
      <c r="B799" s="28" t="n"/>
      <c r="C799" s="28" t="n"/>
      <c r="D799" s="28" t="n"/>
      <c r="E799" s="28" t="n"/>
      <c r="F799" s="28" t="n"/>
      <c r="G799" s="28" t="n"/>
      <c r="H799" s="28" t="n"/>
      <c r="I799" s="28" t="n"/>
      <c r="J799" s="28" t="n"/>
      <c r="K799" s="28" t="n"/>
    </row>
    <row r="800" ht="12.75" customHeight="1">
      <c r="A800" s="28" t="n"/>
      <c r="B800" s="28" t="n"/>
      <c r="C800" s="28" t="n"/>
      <c r="D800" s="28" t="n"/>
      <c r="E800" s="28" t="n"/>
      <c r="F800" s="28" t="n"/>
      <c r="G800" s="28" t="n"/>
      <c r="H800" s="28" t="n"/>
      <c r="I800" s="28" t="n"/>
      <c r="J800" s="28" t="n"/>
      <c r="K800" s="28" t="n"/>
    </row>
    <row r="801" ht="12.75" customHeight="1">
      <c r="A801" s="28" t="n"/>
      <c r="B801" s="28" t="n"/>
      <c r="C801" s="28" t="n"/>
      <c r="D801" s="28" t="n"/>
      <c r="E801" s="28" t="n"/>
      <c r="F801" s="28" t="n"/>
      <c r="G801" s="28" t="n"/>
      <c r="H801" s="28" t="n"/>
      <c r="I801" s="28" t="n"/>
      <c r="J801" s="28" t="n"/>
      <c r="K801" s="28" t="n"/>
    </row>
    <row r="802" ht="12.75" customHeight="1">
      <c r="A802" s="28" t="n"/>
      <c r="B802" s="28" t="n"/>
      <c r="C802" s="28" t="n"/>
      <c r="D802" s="28" t="n"/>
      <c r="E802" s="28" t="n"/>
      <c r="F802" s="28" t="n"/>
      <c r="G802" s="28" t="n"/>
      <c r="H802" s="28" t="n"/>
      <c r="I802" s="28" t="n"/>
      <c r="J802" s="28" t="n"/>
      <c r="K802" s="28" t="n"/>
    </row>
    <row r="803" ht="12.75" customHeight="1">
      <c r="A803" s="28" t="n"/>
      <c r="B803" s="28" t="n"/>
      <c r="C803" s="28" t="n"/>
      <c r="D803" s="28" t="n"/>
      <c r="E803" s="28" t="n"/>
      <c r="F803" s="28" t="n"/>
      <c r="G803" s="28" t="n"/>
      <c r="H803" s="28" t="n"/>
      <c r="I803" s="28" t="n"/>
      <c r="J803" s="28" t="n"/>
      <c r="K803" s="28" t="n"/>
    </row>
    <row r="804" ht="12.75" customHeight="1">
      <c r="A804" s="28" t="n"/>
      <c r="B804" s="28" t="n"/>
      <c r="C804" s="28" t="n"/>
      <c r="D804" s="28" t="n"/>
      <c r="E804" s="28" t="n"/>
      <c r="F804" s="28" t="n"/>
      <c r="G804" s="28" t="n"/>
      <c r="H804" s="28" t="n"/>
      <c r="I804" s="28" t="n"/>
      <c r="J804" s="28" t="n"/>
      <c r="K804" s="28" t="n"/>
    </row>
    <row r="805" ht="12.75" customHeight="1">
      <c r="A805" s="28" t="n"/>
      <c r="B805" s="28" t="n"/>
      <c r="C805" s="28" t="n"/>
      <c r="D805" s="28" t="n"/>
      <c r="E805" s="28" t="n"/>
      <c r="F805" s="28" t="n"/>
      <c r="G805" s="28" t="n"/>
      <c r="H805" s="28" t="n"/>
      <c r="I805" s="28" t="n"/>
      <c r="J805" s="28" t="n"/>
      <c r="K805" s="28" t="n"/>
    </row>
    <row r="806" ht="12.75" customHeight="1">
      <c r="A806" s="28" t="n"/>
      <c r="B806" s="28" t="n"/>
      <c r="C806" s="28" t="n"/>
      <c r="D806" s="28" t="n"/>
      <c r="E806" s="28" t="n"/>
      <c r="F806" s="28" t="n"/>
      <c r="G806" s="28" t="n"/>
      <c r="H806" s="28" t="n"/>
      <c r="I806" s="28" t="n"/>
      <c r="J806" s="28" t="n"/>
      <c r="K806" s="28" t="n"/>
    </row>
    <row r="807" ht="12.75" customHeight="1">
      <c r="A807" s="28" t="n"/>
      <c r="B807" s="28" t="n"/>
      <c r="C807" s="28" t="n"/>
      <c r="D807" s="28" t="n"/>
      <c r="E807" s="28" t="n"/>
      <c r="F807" s="28" t="n"/>
      <c r="G807" s="28" t="n"/>
      <c r="H807" s="28" t="n"/>
      <c r="I807" s="28" t="n"/>
      <c r="J807" s="28" t="n"/>
      <c r="K807" s="28" t="n"/>
    </row>
    <row r="808" ht="12.75" customHeight="1">
      <c r="A808" s="28" t="n"/>
      <c r="B808" s="28" t="n"/>
      <c r="C808" s="28" t="n"/>
      <c r="D808" s="28" t="n"/>
      <c r="E808" s="28" t="n"/>
      <c r="F808" s="28" t="n"/>
      <c r="G808" s="28" t="n"/>
      <c r="H808" s="28" t="n"/>
      <c r="I808" s="28" t="n"/>
      <c r="J808" s="28" t="n"/>
      <c r="K808" s="28" t="n"/>
    </row>
    <row r="809" ht="12.75" customHeight="1">
      <c r="A809" s="28" t="n"/>
      <c r="B809" s="28" t="n"/>
      <c r="C809" s="28" t="n"/>
      <c r="D809" s="28" t="n"/>
      <c r="E809" s="28" t="n"/>
      <c r="F809" s="28" t="n"/>
      <c r="G809" s="28" t="n"/>
      <c r="H809" s="28" t="n"/>
      <c r="I809" s="28" t="n"/>
      <c r="J809" s="28" t="n"/>
      <c r="K809" s="28" t="n"/>
    </row>
    <row r="810" ht="12.75" customHeight="1">
      <c r="A810" s="28" t="n"/>
      <c r="B810" s="28" t="n"/>
      <c r="C810" s="28" t="n"/>
      <c r="D810" s="28" t="n"/>
      <c r="E810" s="28" t="n"/>
      <c r="F810" s="28" t="n"/>
      <c r="G810" s="28" t="n"/>
      <c r="H810" s="28" t="n"/>
      <c r="I810" s="28" t="n"/>
      <c r="J810" s="28" t="n"/>
      <c r="K810" s="28" t="n"/>
    </row>
    <row r="811" ht="12.75" customHeight="1">
      <c r="A811" s="28" t="n"/>
      <c r="B811" s="28" t="n"/>
      <c r="C811" s="28" t="n"/>
      <c r="D811" s="28" t="n"/>
      <c r="E811" s="28" t="n"/>
      <c r="F811" s="28" t="n"/>
      <c r="G811" s="28" t="n"/>
      <c r="H811" s="28" t="n"/>
      <c r="I811" s="28" t="n"/>
      <c r="J811" s="28" t="n"/>
      <c r="K811" s="28" t="n"/>
    </row>
    <row r="812" ht="12.75" customHeight="1">
      <c r="A812" s="28" t="n"/>
      <c r="B812" s="28" t="n"/>
      <c r="C812" s="28" t="n"/>
      <c r="D812" s="28" t="n"/>
      <c r="E812" s="28" t="n"/>
      <c r="F812" s="28" t="n"/>
      <c r="G812" s="28" t="n"/>
      <c r="H812" s="28" t="n"/>
      <c r="I812" s="28" t="n"/>
      <c r="J812" s="28" t="n"/>
      <c r="K812" s="28" t="n"/>
    </row>
    <row r="813" ht="12.75" customHeight="1">
      <c r="A813" s="28" t="n"/>
      <c r="B813" s="28" t="n"/>
      <c r="C813" s="28" t="n"/>
      <c r="D813" s="28" t="n"/>
      <c r="E813" s="28" t="n"/>
      <c r="F813" s="28" t="n"/>
      <c r="G813" s="28" t="n"/>
      <c r="H813" s="28" t="n"/>
      <c r="I813" s="28" t="n"/>
      <c r="J813" s="28" t="n"/>
      <c r="K813" s="28" t="n"/>
    </row>
    <row r="814" ht="12.75" customHeight="1">
      <c r="A814" s="28" t="n"/>
      <c r="B814" s="28" t="n"/>
      <c r="C814" s="28" t="n"/>
      <c r="D814" s="28" t="n"/>
      <c r="E814" s="28" t="n"/>
      <c r="F814" s="28" t="n"/>
      <c r="G814" s="28" t="n"/>
      <c r="H814" s="28" t="n"/>
      <c r="I814" s="28" t="n"/>
      <c r="J814" s="28" t="n"/>
      <c r="K814" s="28" t="n"/>
    </row>
    <row r="815" ht="12.75" customHeight="1">
      <c r="A815" s="28" t="n"/>
      <c r="B815" s="28" t="n"/>
      <c r="C815" s="28" t="n"/>
      <c r="D815" s="28" t="n"/>
      <c r="E815" s="28" t="n"/>
      <c r="F815" s="28" t="n"/>
      <c r="G815" s="28" t="n"/>
      <c r="H815" s="28" t="n"/>
      <c r="I815" s="28" t="n"/>
      <c r="J815" s="28" t="n"/>
      <c r="K815" s="28" t="n"/>
    </row>
    <row r="816" ht="12.75" customHeight="1">
      <c r="A816" s="28" t="n"/>
      <c r="B816" s="28" t="n"/>
      <c r="C816" s="28" t="n"/>
      <c r="D816" s="28" t="n"/>
      <c r="E816" s="28" t="n"/>
      <c r="F816" s="28" t="n"/>
      <c r="G816" s="28" t="n"/>
      <c r="H816" s="28" t="n"/>
      <c r="I816" s="28" t="n"/>
      <c r="J816" s="28" t="n"/>
      <c r="K816" s="28" t="n"/>
    </row>
    <row r="817" ht="12.75" customHeight="1">
      <c r="A817" s="28" t="n"/>
      <c r="B817" s="28" t="n"/>
      <c r="C817" s="28" t="n"/>
      <c r="D817" s="28" t="n"/>
      <c r="E817" s="28" t="n"/>
      <c r="F817" s="28" t="n"/>
      <c r="G817" s="28" t="n"/>
      <c r="H817" s="28" t="n"/>
      <c r="I817" s="28" t="n"/>
      <c r="J817" s="28" t="n"/>
      <c r="K817" s="28" t="n"/>
    </row>
    <row r="818" ht="12.75" customHeight="1">
      <c r="A818" s="28" t="n"/>
      <c r="B818" s="28" t="n"/>
      <c r="C818" s="28" t="n"/>
      <c r="D818" s="28" t="n"/>
      <c r="E818" s="28" t="n"/>
      <c r="F818" s="28" t="n"/>
      <c r="G818" s="28" t="n"/>
      <c r="H818" s="28" t="n"/>
      <c r="I818" s="28" t="n"/>
      <c r="J818" s="28" t="n"/>
      <c r="K818" s="28" t="n"/>
    </row>
    <row r="819" ht="12.75" customHeight="1">
      <c r="A819" s="28" t="n"/>
      <c r="B819" s="28" t="n"/>
      <c r="C819" s="28" t="n"/>
      <c r="D819" s="28" t="n"/>
      <c r="E819" s="28" t="n"/>
      <c r="F819" s="28" t="n"/>
      <c r="G819" s="28" t="n"/>
      <c r="H819" s="28" t="n"/>
      <c r="I819" s="28" t="n"/>
      <c r="J819" s="28" t="n"/>
      <c r="K819" s="28" t="n"/>
    </row>
    <row r="820" ht="12.75" customHeight="1">
      <c r="A820" s="28" t="n"/>
      <c r="B820" s="28" t="n"/>
      <c r="C820" s="28" t="n"/>
      <c r="D820" s="28" t="n"/>
      <c r="E820" s="28" t="n"/>
      <c r="F820" s="28" t="n"/>
      <c r="G820" s="28" t="n"/>
      <c r="H820" s="28" t="n"/>
      <c r="I820" s="28" t="n"/>
      <c r="J820" s="28" t="n"/>
      <c r="K820" s="28" t="n"/>
    </row>
    <row r="821" ht="12.75" customHeight="1">
      <c r="A821" s="28" t="n"/>
      <c r="B821" s="28" t="n"/>
      <c r="C821" s="28" t="n"/>
      <c r="D821" s="28" t="n"/>
      <c r="E821" s="28" t="n"/>
      <c r="F821" s="28" t="n"/>
      <c r="G821" s="28" t="n"/>
      <c r="H821" s="28" t="n"/>
      <c r="I821" s="28" t="n"/>
      <c r="J821" s="28" t="n"/>
      <c r="K821" s="28" t="n"/>
    </row>
    <row r="822" ht="12.75" customHeight="1">
      <c r="A822" s="28" t="n"/>
      <c r="B822" s="28" t="n"/>
      <c r="C822" s="28" t="n"/>
      <c r="D822" s="28" t="n"/>
      <c r="E822" s="28" t="n"/>
      <c r="F822" s="28" t="n"/>
      <c r="G822" s="28" t="n"/>
      <c r="H822" s="28" t="n"/>
      <c r="I822" s="28" t="n"/>
      <c r="J822" s="28" t="n"/>
      <c r="K822" s="28" t="n"/>
    </row>
    <row r="823" ht="12.75" customHeight="1">
      <c r="A823" s="28" t="n"/>
      <c r="B823" s="28" t="n"/>
      <c r="C823" s="28" t="n"/>
      <c r="D823" s="28" t="n"/>
      <c r="E823" s="28" t="n"/>
      <c r="F823" s="28" t="n"/>
      <c r="G823" s="28" t="n"/>
      <c r="H823" s="28" t="n"/>
      <c r="I823" s="28" t="n"/>
      <c r="J823" s="28" t="n"/>
      <c r="K823" s="28" t="n"/>
    </row>
    <row r="824" ht="12.75" customHeight="1">
      <c r="A824" s="28" t="n"/>
      <c r="B824" s="28" t="n"/>
      <c r="C824" s="28" t="n"/>
      <c r="D824" s="28" t="n"/>
      <c r="E824" s="28" t="n"/>
      <c r="F824" s="28" t="n"/>
      <c r="G824" s="28" t="n"/>
      <c r="H824" s="28" t="n"/>
      <c r="I824" s="28" t="n"/>
      <c r="J824" s="28" t="n"/>
      <c r="K824" s="28" t="n"/>
    </row>
    <row r="825" ht="12.75" customHeight="1">
      <c r="A825" s="28" t="n"/>
      <c r="B825" s="28" t="n"/>
      <c r="C825" s="28" t="n"/>
      <c r="D825" s="28" t="n"/>
      <c r="E825" s="28" t="n"/>
      <c r="F825" s="28" t="n"/>
      <c r="G825" s="28" t="n"/>
      <c r="H825" s="28" t="n"/>
      <c r="I825" s="28" t="n"/>
      <c r="J825" s="28" t="n"/>
      <c r="K825" s="28" t="n"/>
    </row>
    <row r="826" ht="12.75" customHeight="1">
      <c r="A826" s="28" t="n"/>
      <c r="B826" s="28" t="n"/>
      <c r="C826" s="28" t="n"/>
      <c r="D826" s="28" t="n"/>
      <c r="E826" s="28" t="n"/>
      <c r="F826" s="28" t="n"/>
      <c r="G826" s="28" t="n"/>
      <c r="H826" s="28" t="n"/>
      <c r="I826" s="28" t="n"/>
      <c r="J826" s="28" t="n"/>
      <c r="K826" s="28" t="n"/>
    </row>
    <row r="827" ht="12.75" customHeight="1">
      <c r="A827" s="28" t="n"/>
      <c r="B827" s="28" t="n"/>
      <c r="C827" s="28" t="n"/>
      <c r="D827" s="28" t="n"/>
      <c r="E827" s="28" t="n"/>
      <c r="F827" s="28" t="n"/>
      <c r="G827" s="28" t="n"/>
      <c r="H827" s="28" t="n"/>
      <c r="I827" s="28" t="n"/>
      <c r="J827" s="28" t="n"/>
      <c r="K827" s="28" t="n"/>
    </row>
    <row r="828" ht="12.75" customHeight="1">
      <c r="A828" s="28" t="n"/>
      <c r="B828" s="28" t="n"/>
      <c r="C828" s="28" t="n"/>
      <c r="D828" s="28" t="n"/>
      <c r="E828" s="28" t="n"/>
      <c r="F828" s="28" t="n"/>
      <c r="G828" s="28" t="n"/>
      <c r="H828" s="28" t="n"/>
      <c r="I828" s="28" t="n"/>
      <c r="J828" s="28" t="n"/>
      <c r="K828" s="28" t="n"/>
    </row>
    <row r="829" ht="12.75" customHeight="1">
      <c r="A829" s="28" t="n"/>
      <c r="B829" s="28" t="n"/>
      <c r="C829" s="28" t="n"/>
      <c r="D829" s="28" t="n"/>
      <c r="E829" s="28" t="n"/>
      <c r="F829" s="28" t="n"/>
      <c r="G829" s="28" t="n"/>
      <c r="H829" s="28" t="n"/>
      <c r="I829" s="28" t="n"/>
      <c r="J829" s="28" t="n"/>
      <c r="K829" s="28" t="n"/>
    </row>
    <row r="830" ht="12.75" customHeight="1">
      <c r="A830" s="28" t="n"/>
      <c r="B830" s="28" t="n"/>
      <c r="C830" s="28" t="n"/>
      <c r="D830" s="28" t="n"/>
      <c r="E830" s="28" t="n"/>
      <c r="F830" s="28" t="n"/>
      <c r="G830" s="28" t="n"/>
      <c r="H830" s="28" t="n"/>
      <c r="I830" s="28" t="n"/>
      <c r="J830" s="28" t="n"/>
      <c r="K830" s="28" t="n"/>
    </row>
    <row r="831" ht="12.75" customHeight="1">
      <c r="A831" s="28" t="n"/>
      <c r="B831" s="28" t="n"/>
      <c r="C831" s="28" t="n"/>
      <c r="D831" s="28" t="n"/>
      <c r="E831" s="28" t="n"/>
      <c r="F831" s="28" t="n"/>
      <c r="G831" s="28" t="n"/>
      <c r="H831" s="28" t="n"/>
      <c r="I831" s="28" t="n"/>
      <c r="J831" s="28" t="n"/>
      <c r="K831" s="28" t="n"/>
    </row>
    <row r="832" ht="12.75" customHeight="1">
      <c r="A832" s="28" t="n"/>
      <c r="B832" s="28" t="n"/>
      <c r="C832" s="28" t="n"/>
      <c r="D832" s="28" t="n"/>
      <c r="E832" s="28" t="n"/>
      <c r="F832" s="28" t="n"/>
      <c r="G832" s="28" t="n"/>
      <c r="H832" s="28" t="n"/>
      <c r="I832" s="28" t="n"/>
      <c r="J832" s="28" t="n"/>
      <c r="K832" s="28" t="n"/>
    </row>
    <row r="833" ht="12.75" customHeight="1">
      <c r="A833" s="28" t="n"/>
      <c r="B833" s="28" t="n"/>
      <c r="C833" s="28" t="n"/>
      <c r="D833" s="28" t="n"/>
      <c r="E833" s="28" t="n"/>
      <c r="F833" s="28" t="n"/>
      <c r="G833" s="28" t="n"/>
      <c r="H833" s="28" t="n"/>
      <c r="I833" s="28" t="n"/>
      <c r="J833" s="28" t="n"/>
      <c r="K833" s="28" t="n"/>
    </row>
    <row r="834" ht="12.75" customHeight="1">
      <c r="A834" s="28" t="n"/>
      <c r="B834" s="28" t="n"/>
      <c r="C834" s="28" t="n"/>
      <c r="D834" s="28" t="n"/>
      <c r="E834" s="28" t="n"/>
      <c r="F834" s="28" t="n"/>
      <c r="G834" s="28" t="n"/>
      <c r="H834" s="28" t="n"/>
      <c r="I834" s="28" t="n"/>
      <c r="J834" s="28" t="n"/>
      <c r="K834" s="28" t="n"/>
    </row>
    <row r="835" ht="12.75" customHeight="1">
      <c r="A835" s="28" t="n"/>
      <c r="B835" s="28" t="n"/>
      <c r="C835" s="28" t="n"/>
      <c r="D835" s="28" t="n"/>
      <c r="E835" s="28" t="n"/>
      <c r="F835" s="28" t="n"/>
      <c r="G835" s="28" t="n"/>
      <c r="H835" s="28" t="n"/>
      <c r="I835" s="28" t="n"/>
      <c r="J835" s="28" t="n"/>
      <c r="K835" s="28" t="n"/>
    </row>
    <row r="836" ht="12.75" customHeight="1">
      <c r="A836" s="28" t="n"/>
      <c r="B836" s="28" t="n"/>
      <c r="C836" s="28" t="n"/>
      <c r="D836" s="28" t="n"/>
      <c r="E836" s="28" t="n"/>
      <c r="F836" s="28" t="n"/>
      <c r="G836" s="28" t="n"/>
      <c r="H836" s="28" t="n"/>
      <c r="I836" s="28" t="n"/>
      <c r="J836" s="28" t="n"/>
      <c r="K836" s="28" t="n"/>
    </row>
    <row r="837" ht="12.75" customHeight="1">
      <c r="A837" s="28" t="n"/>
      <c r="B837" s="28" t="n"/>
      <c r="C837" s="28" t="n"/>
      <c r="D837" s="28" t="n"/>
      <c r="E837" s="28" t="n"/>
      <c r="F837" s="28" t="n"/>
      <c r="G837" s="28" t="n"/>
      <c r="H837" s="28" t="n"/>
      <c r="I837" s="28" t="n"/>
      <c r="J837" s="28" t="n"/>
      <c r="K837" s="28" t="n"/>
    </row>
    <row r="838" ht="12.75" customHeight="1">
      <c r="A838" s="28" t="n"/>
      <c r="B838" s="28" t="n"/>
      <c r="C838" s="28" t="n"/>
      <c r="D838" s="28" t="n"/>
      <c r="E838" s="28" t="n"/>
      <c r="F838" s="28" t="n"/>
      <c r="G838" s="28" t="n"/>
      <c r="H838" s="28" t="n"/>
      <c r="I838" s="28" t="n"/>
      <c r="J838" s="28" t="n"/>
      <c r="K838" s="28" t="n"/>
    </row>
    <row r="839" ht="12.75" customHeight="1">
      <c r="A839" s="28" t="n"/>
      <c r="B839" s="28" t="n"/>
      <c r="C839" s="28" t="n"/>
      <c r="D839" s="28" t="n"/>
      <c r="E839" s="28" t="n"/>
      <c r="F839" s="28" t="n"/>
      <c r="G839" s="28" t="n"/>
      <c r="H839" s="28" t="n"/>
      <c r="I839" s="28" t="n"/>
      <c r="J839" s="28" t="n"/>
      <c r="K839" s="28" t="n"/>
    </row>
    <row r="840" ht="12.75" customHeight="1">
      <c r="A840" s="28" t="n"/>
      <c r="B840" s="28" t="n"/>
      <c r="C840" s="28" t="n"/>
      <c r="D840" s="28" t="n"/>
      <c r="E840" s="28" t="n"/>
      <c r="F840" s="28" t="n"/>
      <c r="G840" s="28" t="n"/>
      <c r="H840" s="28" t="n"/>
      <c r="I840" s="28" t="n"/>
      <c r="J840" s="28" t="n"/>
      <c r="K840" s="28" t="n"/>
    </row>
    <row r="841" ht="12.75" customHeight="1">
      <c r="A841" s="28" t="n"/>
      <c r="B841" s="28" t="n"/>
      <c r="C841" s="28" t="n"/>
      <c r="D841" s="28" t="n"/>
      <c r="E841" s="28" t="n"/>
      <c r="F841" s="28" t="n"/>
      <c r="G841" s="28" t="n"/>
      <c r="H841" s="28" t="n"/>
      <c r="I841" s="28" t="n"/>
      <c r="J841" s="28" t="n"/>
      <c r="K841" s="28" t="n"/>
    </row>
    <row r="842" ht="12.75" customHeight="1">
      <c r="A842" s="28" t="n"/>
      <c r="B842" s="28" t="n"/>
      <c r="C842" s="28" t="n"/>
      <c r="D842" s="28" t="n"/>
      <c r="E842" s="28" t="n"/>
      <c r="F842" s="28" t="n"/>
      <c r="G842" s="28" t="n"/>
      <c r="H842" s="28" t="n"/>
      <c r="I842" s="28" t="n"/>
      <c r="J842" s="28" t="n"/>
      <c r="K842" s="28" t="n"/>
    </row>
    <row r="843" ht="12.75" customHeight="1">
      <c r="A843" s="28" t="n"/>
      <c r="B843" s="28" t="n"/>
      <c r="C843" s="28" t="n"/>
      <c r="D843" s="28" t="n"/>
      <c r="E843" s="28" t="n"/>
      <c r="F843" s="28" t="n"/>
      <c r="G843" s="28" t="n"/>
      <c r="H843" s="28" t="n"/>
      <c r="I843" s="28" t="n"/>
      <c r="J843" s="28" t="n"/>
      <c r="K843" s="28" t="n"/>
    </row>
    <row r="844" ht="12.75" customHeight="1">
      <c r="A844" s="28" t="n"/>
      <c r="B844" s="28" t="n"/>
      <c r="C844" s="28" t="n"/>
      <c r="D844" s="28" t="n"/>
      <c r="E844" s="28" t="n"/>
      <c r="F844" s="28" t="n"/>
      <c r="G844" s="28" t="n"/>
      <c r="H844" s="28" t="n"/>
      <c r="I844" s="28" t="n"/>
      <c r="J844" s="28" t="n"/>
      <c r="K844" s="28" t="n"/>
    </row>
    <row r="845" ht="12.75" customHeight="1">
      <c r="A845" s="28" t="n"/>
      <c r="B845" s="28" t="n"/>
      <c r="C845" s="28" t="n"/>
      <c r="D845" s="28" t="n"/>
      <c r="E845" s="28" t="n"/>
      <c r="F845" s="28" t="n"/>
      <c r="G845" s="28" t="n"/>
      <c r="H845" s="28" t="n"/>
      <c r="I845" s="28" t="n"/>
      <c r="J845" s="28" t="n"/>
      <c r="K845" s="28" t="n"/>
    </row>
    <row r="846" ht="12.75" customHeight="1">
      <c r="A846" s="28" t="n"/>
      <c r="B846" s="28" t="n"/>
      <c r="C846" s="28" t="n"/>
      <c r="D846" s="28" t="n"/>
      <c r="E846" s="28" t="n"/>
      <c r="F846" s="28" t="n"/>
      <c r="G846" s="28" t="n"/>
      <c r="H846" s="28" t="n"/>
      <c r="I846" s="28" t="n"/>
      <c r="J846" s="28" t="n"/>
      <c r="K846" s="28" t="n"/>
    </row>
    <row r="847" ht="12.75" customHeight="1">
      <c r="A847" s="28" t="n"/>
      <c r="B847" s="28" t="n"/>
      <c r="C847" s="28" t="n"/>
      <c r="D847" s="28" t="n"/>
      <c r="E847" s="28" t="n"/>
      <c r="F847" s="28" t="n"/>
      <c r="G847" s="28" t="n"/>
      <c r="H847" s="28" t="n"/>
      <c r="I847" s="28" t="n"/>
      <c r="J847" s="28" t="n"/>
      <c r="K847" s="28" t="n"/>
    </row>
    <row r="848" ht="12.75" customHeight="1">
      <c r="A848" s="28" t="n"/>
      <c r="B848" s="28" t="n"/>
      <c r="C848" s="28" t="n"/>
      <c r="D848" s="28" t="n"/>
      <c r="E848" s="28" t="n"/>
      <c r="F848" s="28" t="n"/>
      <c r="G848" s="28" t="n"/>
      <c r="H848" s="28" t="n"/>
      <c r="I848" s="28" t="n"/>
      <c r="J848" s="28" t="n"/>
      <c r="K848" s="28" t="n"/>
    </row>
    <row r="849" ht="12.75" customHeight="1">
      <c r="A849" s="28" t="n"/>
      <c r="B849" s="28" t="n"/>
      <c r="C849" s="28" t="n"/>
      <c r="D849" s="28" t="n"/>
      <c r="E849" s="28" t="n"/>
      <c r="F849" s="28" t="n"/>
      <c r="G849" s="28" t="n"/>
      <c r="H849" s="28" t="n"/>
      <c r="I849" s="28" t="n"/>
      <c r="J849" s="28" t="n"/>
      <c r="K849" s="28" t="n"/>
    </row>
    <row r="850" ht="12.75" customHeight="1">
      <c r="A850" s="28" t="n"/>
      <c r="B850" s="28" t="n"/>
      <c r="C850" s="28" t="n"/>
      <c r="D850" s="28" t="n"/>
      <c r="E850" s="28" t="n"/>
      <c r="F850" s="28" t="n"/>
      <c r="G850" s="28" t="n"/>
      <c r="H850" s="28" t="n"/>
      <c r="I850" s="28" t="n"/>
      <c r="J850" s="28" t="n"/>
      <c r="K850" s="28" t="n"/>
    </row>
    <row r="851" ht="12.75" customHeight="1">
      <c r="A851" s="28" t="n"/>
      <c r="B851" s="28" t="n"/>
      <c r="C851" s="28" t="n"/>
      <c r="D851" s="28" t="n"/>
      <c r="E851" s="28" t="n"/>
      <c r="F851" s="28" t="n"/>
      <c r="G851" s="28" t="n"/>
      <c r="H851" s="28" t="n"/>
      <c r="I851" s="28" t="n"/>
      <c r="J851" s="28" t="n"/>
      <c r="K851" s="28" t="n"/>
    </row>
    <row r="852" ht="12.75" customHeight="1">
      <c r="A852" s="28" t="n"/>
      <c r="B852" s="28" t="n"/>
      <c r="C852" s="28" t="n"/>
      <c r="D852" s="28" t="n"/>
      <c r="E852" s="28" t="n"/>
      <c r="F852" s="28" t="n"/>
      <c r="G852" s="28" t="n"/>
      <c r="H852" s="28" t="n"/>
      <c r="I852" s="28" t="n"/>
      <c r="J852" s="28" t="n"/>
      <c r="K852" s="28" t="n"/>
    </row>
    <row r="853" ht="12.75" customHeight="1">
      <c r="A853" s="28" t="n"/>
      <c r="B853" s="28" t="n"/>
      <c r="C853" s="28" t="n"/>
      <c r="D853" s="28" t="n"/>
      <c r="E853" s="28" t="n"/>
      <c r="F853" s="28" t="n"/>
      <c r="G853" s="28" t="n"/>
      <c r="H853" s="28" t="n"/>
      <c r="I853" s="28" t="n"/>
      <c r="J853" s="28" t="n"/>
      <c r="K853" s="28" t="n"/>
    </row>
    <row r="854" ht="12.75" customHeight="1">
      <c r="A854" s="28" t="n"/>
      <c r="B854" s="28" t="n"/>
      <c r="C854" s="28" t="n"/>
      <c r="D854" s="28" t="n"/>
      <c r="E854" s="28" t="n"/>
      <c r="F854" s="28" t="n"/>
      <c r="G854" s="28" t="n"/>
      <c r="H854" s="28" t="n"/>
      <c r="I854" s="28" t="n"/>
      <c r="J854" s="28" t="n"/>
      <c r="K854" s="28" t="n"/>
    </row>
    <row r="855" ht="12.75" customHeight="1">
      <c r="A855" s="28" t="n"/>
      <c r="B855" s="28" t="n"/>
      <c r="C855" s="28" t="n"/>
      <c r="D855" s="28" t="n"/>
      <c r="E855" s="28" t="n"/>
      <c r="F855" s="28" t="n"/>
      <c r="G855" s="28" t="n"/>
      <c r="H855" s="28" t="n"/>
      <c r="I855" s="28" t="n"/>
      <c r="J855" s="28" t="n"/>
      <c r="K855" s="28" t="n"/>
    </row>
    <row r="856" ht="12.75" customHeight="1">
      <c r="A856" s="28" t="n"/>
      <c r="B856" s="28" t="n"/>
      <c r="C856" s="28" t="n"/>
      <c r="D856" s="28" t="n"/>
      <c r="E856" s="28" t="n"/>
      <c r="F856" s="28" t="n"/>
      <c r="G856" s="28" t="n"/>
      <c r="H856" s="28" t="n"/>
      <c r="I856" s="28" t="n"/>
      <c r="J856" s="28" t="n"/>
      <c r="K856" s="28" t="n"/>
    </row>
    <row r="857" ht="12.75" customHeight="1">
      <c r="A857" s="28" t="n"/>
      <c r="B857" s="28" t="n"/>
      <c r="C857" s="28" t="n"/>
      <c r="D857" s="28" t="n"/>
      <c r="E857" s="28" t="n"/>
      <c r="F857" s="28" t="n"/>
      <c r="G857" s="28" t="n"/>
      <c r="H857" s="28" t="n"/>
      <c r="I857" s="28" t="n"/>
      <c r="J857" s="28" t="n"/>
      <c r="K857" s="28" t="n"/>
    </row>
    <row r="858" ht="12.75" customHeight="1">
      <c r="A858" s="28" t="n"/>
      <c r="B858" s="28" t="n"/>
      <c r="C858" s="28" t="n"/>
      <c r="D858" s="28" t="n"/>
      <c r="E858" s="28" t="n"/>
      <c r="F858" s="28" t="n"/>
      <c r="G858" s="28" t="n"/>
      <c r="H858" s="28" t="n"/>
      <c r="I858" s="28" t="n"/>
      <c r="J858" s="28" t="n"/>
      <c r="K858" s="28" t="n"/>
    </row>
    <row r="859" ht="12.75" customHeight="1">
      <c r="A859" s="28" t="n"/>
      <c r="B859" s="28" t="n"/>
      <c r="C859" s="28" t="n"/>
      <c r="D859" s="28" t="n"/>
      <c r="E859" s="28" t="n"/>
      <c r="F859" s="28" t="n"/>
      <c r="G859" s="28" t="n"/>
      <c r="H859" s="28" t="n"/>
      <c r="I859" s="28" t="n"/>
      <c r="J859" s="28" t="n"/>
      <c r="K859" s="28" t="n"/>
    </row>
    <row r="860" ht="12.75" customHeight="1">
      <c r="A860" s="28" t="n"/>
      <c r="B860" s="28" t="n"/>
      <c r="C860" s="28" t="n"/>
      <c r="D860" s="28" t="n"/>
      <c r="E860" s="28" t="n"/>
      <c r="F860" s="28" t="n"/>
      <c r="G860" s="28" t="n"/>
      <c r="H860" s="28" t="n"/>
      <c r="I860" s="28" t="n"/>
      <c r="J860" s="28" t="n"/>
      <c r="K860" s="28" t="n"/>
    </row>
    <row r="861" ht="12.75" customHeight="1">
      <c r="A861" s="28" t="n"/>
      <c r="B861" s="28" t="n"/>
      <c r="C861" s="28" t="n"/>
      <c r="D861" s="28" t="n"/>
      <c r="E861" s="28" t="n"/>
      <c r="F861" s="28" t="n"/>
      <c r="G861" s="28" t="n"/>
      <c r="H861" s="28" t="n"/>
      <c r="I861" s="28" t="n"/>
      <c r="J861" s="28" t="n"/>
      <c r="K861" s="28" t="n"/>
    </row>
    <row r="862" ht="12.75" customHeight="1">
      <c r="A862" s="28" t="n"/>
      <c r="B862" s="28" t="n"/>
      <c r="C862" s="28" t="n"/>
      <c r="D862" s="28" t="n"/>
      <c r="E862" s="28" t="n"/>
      <c r="F862" s="28" t="n"/>
      <c r="G862" s="28" t="n"/>
      <c r="H862" s="28" t="n"/>
      <c r="I862" s="28" t="n"/>
      <c r="J862" s="28" t="n"/>
      <c r="K862" s="28" t="n"/>
    </row>
    <row r="863" ht="12.75" customHeight="1">
      <c r="A863" s="28" t="n"/>
      <c r="B863" s="28" t="n"/>
      <c r="C863" s="28" t="n"/>
      <c r="D863" s="28" t="n"/>
      <c r="E863" s="28" t="n"/>
      <c r="F863" s="28" t="n"/>
      <c r="G863" s="28" t="n"/>
      <c r="H863" s="28" t="n"/>
      <c r="I863" s="28" t="n"/>
      <c r="J863" s="28" t="n"/>
      <c r="K863" s="28" t="n"/>
    </row>
    <row r="864" ht="12.75" customHeight="1">
      <c r="A864" s="28" t="n"/>
      <c r="B864" s="28" t="n"/>
      <c r="C864" s="28" t="n"/>
      <c r="D864" s="28" t="n"/>
      <c r="E864" s="28" t="n"/>
      <c r="F864" s="28" t="n"/>
      <c r="G864" s="28" t="n"/>
      <c r="H864" s="28" t="n"/>
      <c r="I864" s="28" t="n"/>
      <c r="J864" s="28" t="n"/>
      <c r="K864" s="28" t="n"/>
    </row>
    <row r="865" ht="12.75" customHeight="1">
      <c r="A865" s="28" t="n"/>
      <c r="B865" s="28" t="n"/>
      <c r="C865" s="28" t="n"/>
      <c r="D865" s="28" t="n"/>
      <c r="E865" s="28" t="n"/>
      <c r="F865" s="28" t="n"/>
      <c r="G865" s="28" t="n"/>
      <c r="H865" s="28" t="n"/>
      <c r="I865" s="28" t="n"/>
      <c r="J865" s="28" t="n"/>
      <c r="K865" s="28" t="n"/>
    </row>
    <row r="866" ht="12.75" customHeight="1">
      <c r="A866" s="28" t="n"/>
      <c r="B866" s="28" t="n"/>
      <c r="C866" s="28" t="n"/>
      <c r="D866" s="28" t="n"/>
      <c r="E866" s="28" t="n"/>
      <c r="F866" s="28" t="n"/>
      <c r="G866" s="28" t="n"/>
      <c r="H866" s="28" t="n"/>
      <c r="I866" s="28" t="n"/>
      <c r="J866" s="28" t="n"/>
      <c r="K866" s="28" t="n"/>
    </row>
    <row r="867" ht="12.75" customHeight="1">
      <c r="A867" s="28" t="n"/>
      <c r="B867" s="28" t="n"/>
      <c r="C867" s="28" t="n"/>
      <c r="D867" s="28" t="n"/>
      <c r="E867" s="28" t="n"/>
      <c r="F867" s="28" t="n"/>
      <c r="G867" s="28" t="n"/>
      <c r="H867" s="28" t="n"/>
      <c r="I867" s="28" t="n"/>
      <c r="J867" s="28" t="n"/>
      <c r="K867" s="28" t="n"/>
    </row>
    <row r="868" ht="12.75" customHeight="1">
      <c r="A868" s="28" t="n"/>
      <c r="B868" s="28" t="n"/>
      <c r="C868" s="28" t="n"/>
      <c r="D868" s="28" t="n"/>
      <c r="E868" s="28" t="n"/>
      <c r="F868" s="28" t="n"/>
      <c r="G868" s="28" t="n"/>
      <c r="H868" s="28" t="n"/>
      <c r="I868" s="28" t="n"/>
      <c r="J868" s="28" t="n"/>
      <c r="K868" s="28" t="n"/>
    </row>
    <row r="869" ht="12.75" customHeight="1">
      <c r="A869" s="28" t="n"/>
      <c r="B869" s="28" t="n"/>
      <c r="C869" s="28" t="n"/>
      <c r="D869" s="28" t="n"/>
      <c r="E869" s="28" t="n"/>
      <c r="F869" s="28" t="n"/>
      <c r="G869" s="28" t="n"/>
      <c r="H869" s="28" t="n"/>
      <c r="I869" s="28" t="n"/>
      <c r="J869" s="28" t="n"/>
      <c r="K869" s="28" t="n"/>
    </row>
    <row r="870" ht="12.75" customHeight="1">
      <c r="A870" s="28" t="n"/>
      <c r="B870" s="28" t="n"/>
      <c r="C870" s="28" t="n"/>
      <c r="D870" s="28" t="n"/>
      <c r="E870" s="28" t="n"/>
      <c r="F870" s="28" t="n"/>
      <c r="G870" s="28" t="n"/>
      <c r="H870" s="28" t="n"/>
      <c r="I870" s="28" t="n"/>
      <c r="J870" s="28" t="n"/>
      <c r="K870" s="28" t="n"/>
    </row>
    <row r="871" ht="12.75" customHeight="1">
      <c r="A871" s="28" t="n"/>
      <c r="B871" s="28" t="n"/>
      <c r="C871" s="28" t="n"/>
      <c r="D871" s="28" t="n"/>
      <c r="E871" s="28" t="n"/>
      <c r="F871" s="28" t="n"/>
      <c r="G871" s="28" t="n"/>
      <c r="H871" s="28" t="n"/>
      <c r="I871" s="28" t="n"/>
      <c r="J871" s="28" t="n"/>
      <c r="K871" s="28" t="n"/>
    </row>
    <row r="872" ht="12.75" customHeight="1">
      <c r="A872" s="28" t="n"/>
      <c r="B872" s="28" t="n"/>
      <c r="C872" s="28" t="n"/>
      <c r="D872" s="28" t="n"/>
      <c r="E872" s="28" t="n"/>
      <c r="F872" s="28" t="n"/>
      <c r="G872" s="28" t="n"/>
      <c r="H872" s="28" t="n"/>
      <c r="I872" s="28" t="n"/>
      <c r="J872" s="28" t="n"/>
      <c r="K872" s="28" t="n"/>
    </row>
    <row r="873" ht="12.75" customHeight="1">
      <c r="A873" s="28" t="n"/>
      <c r="B873" s="28" t="n"/>
      <c r="C873" s="28" t="n"/>
      <c r="D873" s="28" t="n"/>
      <c r="E873" s="28" t="n"/>
      <c r="F873" s="28" t="n"/>
      <c r="G873" s="28" t="n"/>
      <c r="H873" s="28" t="n"/>
      <c r="I873" s="28" t="n"/>
      <c r="J873" s="28" t="n"/>
      <c r="K873" s="28" t="n"/>
    </row>
    <row r="874" ht="12.75" customHeight="1">
      <c r="A874" s="28" t="n"/>
      <c r="B874" s="28" t="n"/>
      <c r="C874" s="28" t="n"/>
      <c r="D874" s="28" t="n"/>
      <c r="E874" s="28" t="n"/>
      <c r="F874" s="28" t="n"/>
      <c r="G874" s="28" t="n"/>
      <c r="H874" s="28" t="n"/>
      <c r="I874" s="28" t="n"/>
      <c r="J874" s="28" t="n"/>
      <c r="K874" s="28" t="n"/>
    </row>
    <row r="875" ht="12.75" customHeight="1">
      <c r="A875" s="28" t="n"/>
      <c r="B875" s="28" t="n"/>
      <c r="C875" s="28" t="n"/>
      <c r="D875" s="28" t="n"/>
      <c r="E875" s="28" t="n"/>
      <c r="F875" s="28" t="n"/>
      <c r="G875" s="28" t="n"/>
      <c r="H875" s="28" t="n"/>
      <c r="I875" s="28" t="n"/>
      <c r="J875" s="28" t="n"/>
      <c r="K875" s="28" t="n"/>
    </row>
    <row r="876" ht="12.75" customHeight="1">
      <c r="A876" s="28" t="n"/>
      <c r="B876" s="28" t="n"/>
      <c r="C876" s="28" t="n"/>
      <c r="D876" s="28" t="n"/>
      <c r="E876" s="28" t="n"/>
      <c r="F876" s="28" t="n"/>
      <c r="G876" s="28" t="n"/>
      <c r="H876" s="28" t="n"/>
      <c r="I876" s="28" t="n"/>
      <c r="J876" s="28" t="n"/>
      <c r="K876" s="28" t="n"/>
    </row>
    <row r="877" ht="12.75" customHeight="1">
      <c r="A877" s="28" t="n"/>
      <c r="B877" s="28" t="n"/>
      <c r="C877" s="28" t="n"/>
      <c r="D877" s="28" t="n"/>
      <c r="E877" s="28" t="n"/>
      <c r="F877" s="28" t="n"/>
      <c r="G877" s="28" t="n"/>
      <c r="H877" s="28" t="n"/>
      <c r="I877" s="28" t="n"/>
      <c r="J877" s="28" t="n"/>
      <c r="K877" s="28" t="n"/>
    </row>
    <row r="878" ht="12.75" customHeight="1">
      <c r="A878" s="28" t="n"/>
      <c r="B878" s="28" t="n"/>
      <c r="C878" s="28" t="n"/>
      <c r="D878" s="28" t="n"/>
      <c r="E878" s="28" t="n"/>
      <c r="F878" s="28" t="n"/>
      <c r="G878" s="28" t="n"/>
      <c r="H878" s="28" t="n"/>
      <c r="I878" s="28" t="n"/>
      <c r="J878" s="28" t="n"/>
      <c r="K878" s="28" t="n"/>
    </row>
    <row r="879" ht="12.75" customHeight="1">
      <c r="A879" s="28" t="n"/>
      <c r="B879" s="28" t="n"/>
      <c r="C879" s="28" t="n"/>
      <c r="D879" s="28" t="n"/>
      <c r="E879" s="28" t="n"/>
      <c r="F879" s="28" t="n"/>
      <c r="G879" s="28" t="n"/>
      <c r="H879" s="28" t="n"/>
      <c r="I879" s="28" t="n"/>
      <c r="J879" s="28" t="n"/>
      <c r="K879" s="28" t="n"/>
    </row>
    <row r="880" ht="12.75" customHeight="1">
      <c r="A880" s="28" t="n"/>
      <c r="B880" s="28" t="n"/>
      <c r="C880" s="28" t="n"/>
      <c r="D880" s="28" t="n"/>
      <c r="E880" s="28" t="n"/>
      <c r="F880" s="28" t="n"/>
      <c r="G880" s="28" t="n"/>
      <c r="H880" s="28" t="n"/>
      <c r="I880" s="28" t="n"/>
      <c r="J880" s="28" t="n"/>
      <c r="K880" s="28" t="n"/>
    </row>
    <row r="881" ht="12.75" customHeight="1">
      <c r="A881" s="28" t="n"/>
      <c r="B881" s="28" t="n"/>
      <c r="C881" s="28" t="n"/>
      <c r="D881" s="28" t="n"/>
      <c r="E881" s="28" t="n"/>
      <c r="F881" s="28" t="n"/>
      <c r="G881" s="28" t="n"/>
      <c r="H881" s="28" t="n"/>
      <c r="I881" s="28" t="n"/>
      <c r="J881" s="28" t="n"/>
      <c r="K881" s="28" t="n"/>
    </row>
    <row r="882" ht="12.75" customHeight="1">
      <c r="A882" s="28" t="n"/>
      <c r="B882" s="28" t="n"/>
      <c r="C882" s="28" t="n"/>
      <c r="D882" s="28" t="n"/>
      <c r="E882" s="28" t="n"/>
      <c r="F882" s="28" t="n"/>
      <c r="G882" s="28" t="n"/>
      <c r="H882" s="28" t="n"/>
      <c r="I882" s="28" t="n"/>
      <c r="J882" s="28" t="n"/>
      <c r="K882" s="28" t="n"/>
    </row>
    <row r="883" ht="12.75" customHeight="1">
      <c r="A883" s="28" t="n"/>
      <c r="B883" s="28" t="n"/>
      <c r="C883" s="28" t="n"/>
      <c r="D883" s="28" t="n"/>
      <c r="E883" s="28" t="n"/>
      <c r="F883" s="28" t="n"/>
      <c r="G883" s="28" t="n"/>
      <c r="H883" s="28" t="n"/>
      <c r="I883" s="28" t="n"/>
      <c r="J883" s="28" t="n"/>
      <c r="K883" s="28" t="n"/>
    </row>
    <row r="884" ht="12.75" customHeight="1">
      <c r="A884" s="28" t="n"/>
      <c r="B884" s="28" t="n"/>
      <c r="C884" s="28" t="n"/>
      <c r="D884" s="28" t="n"/>
      <c r="E884" s="28" t="n"/>
      <c r="F884" s="28" t="n"/>
      <c r="G884" s="28" t="n"/>
      <c r="H884" s="28" t="n"/>
      <c r="I884" s="28" t="n"/>
      <c r="J884" s="28" t="n"/>
      <c r="K884" s="28" t="n"/>
    </row>
    <row r="885" ht="12.75" customHeight="1">
      <c r="A885" s="28" t="n"/>
      <c r="B885" s="28" t="n"/>
      <c r="C885" s="28" t="n"/>
      <c r="D885" s="28" t="n"/>
      <c r="E885" s="28" t="n"/>
      <c r="F885" s="28" t="n"/>
      <c r="G885" s="28" t="n"/>
      <c r="H885" s="28" t="n"/>
      <c r="I885" s="28" t="n"/>
      <c r="J885" s="28" t="n"/>
      <c r="K885" s="28" t="n"/>
    </row>
    <row r="886" ht="12.75" customHeight="1">
      <c r="A886" s="28" t="n"/>
      <c r="B886" s="28" t="n"/>
      <c r="C886" s="28" t="n"/>
      <c r="D886" s="28" t="n"/>
      <c r="E886" s="28" t="n"/>
      <c r="F886" s="28" t="n"/>
      <c r="G886" s="28" t="n"/>
      <c r="H886" s="28" t="n"/>
      <c r="I886" s="28" t="n"/>
      <c r="J886" s="28" t="n"/>
      <c r="K886" s="28" t="n"/>
    </row>
    <row r="887" ht="12.75" customHeight="1">
      <c r="A887" s="28" t="n"/>
      <c r="B887" s="28" t="n"/>
      <c r="C887" s="28" t="n"/>
      <c r="D887" s="28" t="n"/>
      <c r="E887" s="28" t="n"/>
      <c r="F887" s="28" t="n"/>
      <c r="G887" s="28" t="n"/>
      <c r="H887" s="28" t="n"/>
      <c r="I887" s="28" t="n"/>
      <c r="J887" s="28" t="n"/>
      <c r="K887" s="28" t="n"/>
    </row>
    <row r="888" ht="12.75" customHeight="1">
      <c r="A888" s="28" t="n"/>
      <c r="B888" s="28" t="n"/>
      <c r="C888" s="28" t="n"/>
      <c r="D888" s="28" t="n"/>
      <c r="E888" s="28" t="n"/>
      <c r="F888" s="28" t="n"/>
      <c r="G888" s="28" t="n"/>
      <c r="H888" s="28" t="n"/>
      <c r="I888" s="28" t="n"/>
      <c r="J888" s="28" t="n"/>
      <c r="K888" s="28" t="n"/>
    </row>
    <row r="889" ht="12.75" customHeight="1">
      <c r="A889" s="28" t="n"/>
      <c r="B889" s="28" t="n"/>
      <c r="C889" s="28" t="n"/>
      <c r="D889" s="28" t="n"/>
      <c r="E889" s="28" t="n"/>
      <c r="F889" s="28" t="n"/>
      <c r="G889" s="28" t="n"/>
      <c r="H889" s="28" t="n"/>
      <c r="I889" s="28" t="n"/>
      <c r="J889" s="28" t="n"/>
      <c r="K889" s="28" t="n"/>
    </row>
    <row r="890" ht="12.75" customHeight="1">
      <c r="A890" s="28" t="n"/>
      <c r="B890" s="28" t="n"/>
      <c r="C890" s="28" t="n"/>
      <c r="D890" s="28" t="n"/>
      <c r="E890" s="28" t="n"/>
      <c r="F890" s="28" t="n"/>
      <c r="G890" s="28" t="n"/>
      <c r="H890" s="28" t="n"/>
      <c r="I890" s="28" t="n"/>
      <c r="J890" s="28" t="n"/>
      <c r="K890" s="28" t="n"/>
    </row>
    <row r="891" ht="12.75" customHeight="1">
      <c r="A891" s="28" t="n"/>
      <c r="B891" s="28" t="n"/>
      <c r="C891" s="28" t="n"/>
      <c r="D891" s="28" t="n"/>
      <c r="E891" s="28" t="n"/>
      <c r="F891" s="28" t="n"/>
      <c r="G891" s="28" t="n"/>
      <c r="H891" s="28" t="n"/>
      <c r="I891" s="28" t="n"/>
      <c r="J891" s="28" t="n"/>
      <c r="K891" s="28" t="n"/>
    </row>
    <row r="892" ht="12.75" customHeight="1">
      <c r="A892" s="28" t="n"/>
      <c r="B892" s="28" t="n"/>
      <c r="C892" s="28" t="n"/>
      <c r="D892" s="28" t="n"/>
      <c r="E892" s="28" t="n"/>
      <c r="F892" s="28" t="n"/>
      <c r="G892" s="28" t="n"/>
      <c r="H892" s="28" t="n"/>
      <c r="I892" s="28" t="n"/>
      <c r="J892" s="28" t="n"/>
      <c r="K892" s="28" t="n"/>
    </row>
    <row r="893" ht="12.75" customHeight="1">
      <c r="A893" s="28" t="n"/>
      <c r="B893" s="28" t="n"/>
      <c r="C893" s="28" t="n"/>
      <c r="D893" s="28" t="n"/>
      <c r="E893" s="28" t="n"/>
      <c r="F893" s="28" t="n"/>
      <c r="G893" s="28" t="n"/>
      <c r="H893" s="28" t="n"/>
      <c r="I893" s="28" t="n"/>
      <c r="J893" s="28" t="n"/>
      <c r="K893" s="28" t="n"/>
    </row>
    <row r="894" ht="12.75" customHeight="1">
      <c r="A894" s="28" t="n"/>
      <c r="B894" s="28" t="n"/>
      <c r="C894" s="28" t="n"/>
      <c r="D894" s="28" t="n"/>
      <c r="E894" s="28" t="n"/>
      <c r="F894" s="28" t="n"/>
      <c r="G894" s="28" t="n"/>
      <c r="H894" s="28" t="n"/>
      <c r="I894" s="28" t="n"/>
      <c r="J894" s="28" t="n"/>
      <c r="K894" s="28" t="n"/>
    </row>
    <row r="895" ht="12.75" customHeight="1">
      <c r="A895" s="28" t="n"/>
      <c r="B895" s="28" t="n"/>
      <c r="C895" s="28" t="n"/>
      <c r="D895" s="28" t="n"/>
      <c r="E895" s="28" t="n"/>
      <c r="F895" s="28" t="n"/>
      <c r="G895" s="28" t="n"/>
      <c r="H895" s="28" t="n"/>
      <c r="I895" s="28" t="n"/>
      <c r="J895" s="28" t="n"/>
      <c r="K895" s="28" t="n"/>
    </row>
    <row r="896" ht="12.75" customHeight="1">
      <c r="A896" s="28" t="n"/>
      <c r="B896" s="28" t="n"/>
      <c r="C896" s="28" t="n"/>
      <c r="D896" s="28" t="n"/>
      <c r="E896" s="28" t="n"/>
      <c r="F896" s="28" t="n"/>
      <c r="G896" s="28" t="n"/>
      <c r="H896" s="28" t="n"/>
      <c r="I896" s="28" t="n"/>
      <c r="J896" s="28" t="n"/>
      <c r="K896" s="28" t="n"/>
    </row>
    <row r="897" ht="12.75" customHeight="1">
      <c r="A897" s="28" t="n"/>
      <c r="B897" s="28" t="n"/>
      <c r="C897" s="28" t="n"/>
      <c r="D897" s="28" t="n"/>
      <c r="E897" s="28" t="n"/>
      <c r="F897" s="28" t="n"/>
      <c r="G897" s="28" t="n"/>
      <c r="H897" s="28" t="n"/>
      <c r="I897" s="28" t="n"/>
      <c r="J897" s="28" t="n"/>
      <c r="K897" s="28" t="n"/>
    </row>
    <row r="898" ht="12.75" customHeight="1">
      <c r="A898" s="28" t="n"/>
      <c r="B898" s="28" t="n"/>
      <c r="C898" s="28" t="n"/>
      <c r="D898" s="28" t="n"/>
      <c r="E898" s="28" t="n"/>
      <c r="F898" s="28" t="n"/>
      <c r="G898" s="28" t="n"/>
      <c r="H898" s="28" t="n"/>
      <c r="I898" s="28" t="n"/>
      <c r="J898" s="28" t="n"/>
      <c r="K898" s="28" t="n"/>
    </row>
    <row r="899" ht="12.75" customHeight="1">
      <c r="A899" s="28" t="n"/>
      <c r="B899" s="28" t="n"/>
      <c r="C899" s="28" t="n"/>
      <c r="D899" s="28" t="n"/>
      <c r="E899" s="28" t="n"/>
      <c r="F899" s="28" t="n"/>
      <c r="G899" s="28" t="n"/>
      <c r="H899" s="28" t="n"/>
      <c r="I899" s="28" t="n"/>
      <c r="J899" s="28" t="n"/>
      <c r="K899" s="28" t="n"/>
    </row>
    <row r="900" ht="12.75" customHeight="1">
      <c r="A900" s="28" t="n"/>
      <c r="B900" s="28" t="n"/>
      <c r="C900" s="28" t="n"/>
      <c r="D900" s="28" t="n"/>
      <c r="E900" s="28" t="n"/>
      <c r="F900" s="28" t="n"/>
      <c r="G900" s="28" t="n"/>
      <c r="H900" s="28" t="n"/>
      <c r="I900" s="28" t="n"/>
      <c r="J900" s="28" t="n"/>
      <c r="K900" s="28" t="n"/>
    </row>
    <row r="901" ht="12.75" customHeight="1">
      <c r="A901" s="28" t="n"/>
      <c r="B901" s="28" t="n"/>
      <c r="C901" s="28" t="n"/>
      <c r="D901" s="28" t="n"/>
      <c r="E901" s="28" t="n"/>
      <c r="F901" s="28" t="n"/>
      <c r="G901" s="28" t="n"/>
      <c r="H901" s="28" t="n"/>
      <c r="I901" s="28" t="n"/>
      <c r="J901" s="28" t="n"/>
      <c r="K901" s="28" t="n"/>
    </row>
    <row r="902" ht="12.75" customHeight="1">
      <c r="A902" s="28" t="n"/>
      <c r="B902" s="28" t="n"/>
      <c r="C902" s="28" t="n"/>
      <c r="D902" s="28" t="n"/>
      <c r="E902" s="28" t="n"/>
      <c r="F902" s="28" t="n"/>
      <c r="G902" s="28" t="n"/>
      <c r="H902" s="28" t="n"/>
      <c r="I902" s="28" t="n"/>
      <c r="J902" s="28" t="n"/>
      <c r="K902" s="28" t="n"/>
    </row>
    <row r="903" ht="12.75" customHeight="1">
      <c r="A903" s="28" t="n"/>
      <c r="B903" s="28" t="n"/>
      <c r="C903" s="28" t="n"/>
      <c r="D903" s="28" t="n"/>
      <c r="E903" s="28" t="n"/>
      <c r="F903" s="28" t="n"/>
      <c r="G903" s="28" t="n"/>
      <c r="H903" s="28" t="n"/>
      <c r="I903" s="28" t="n"/>
      <c r="J903" s="28" t="n"/>
      <c r="K903" s="28" t="n"/>
    </row>
    <row r="904" ht="12.75" customHeight="1">
      <c r="A904" s="28" t="n"/>
      <c r="B904" s="28" t="n"/>
      <c r="C904" s="28" t="n"/>
      <c r="D904" s="28" t="n"/>
      <c r="E904" s="28" t="n"/>
      <c r="F904" s="28" t="n"/>
      <c r="G904" s="28" t="n"/>
      <c r="H904" s="28" t="n"/>
      <c r="I904" s="28" t="n"/>
      <c r="J904" s="28" t="n"/>
      <c r="K904" s="28" t="n"/>
    </row>
    <row r="905" ht="12.75" customHeight="1">
      <c r="A905" s="28" t="n"/>
      <c r="B905" s="28" t="n"/>
      <c r="C905" s="28" t="n"/>
      <c r="D905" s="28" t="n"/>
      <c r="E905" s="28" t="n"/>
      <c r="F905" s="28" t="n"/>
      <c r="G905" s="28" t="n"/>
      <c r="H905" s="28" t="n"/>
      <c r="I905" s="28" t="n"/>
      <c r="J905" s="28" t="n"/>
      <c r="K905" s="28" t="n"/>
    </row>
    <row r="906" ht="12.75" customHeight="1">
      <c r="A906" s="28" t="n"/>
      <c r="B906" s="28" t="n"/>
      <c r="C906" s="28" t="n"/>
      <c r="D906" s="28" t="n"/>
      <c r="E906" s="28" t="n"/>
      <c r="F906" s="28" t="n"/>
      <c r="G906" s="28" t="n"/>
      <c r="H906" s="28" t="n"/>
      <c r="I906" s="28" t="n"/>
      <c r="J906" s="28" t="n"/>
      <c r="K906" s="28" t="n"/>
    </row>
    <row r="907" ht="12.75" customHeight="1">
      <c r="A907" s="28" t="n"/>
      <c r="B907" s="28" t="n"/>
      <c r="C907" s="28" t="n"/>
      <c r="D907" s="28" t="n"/>
      <c r="E907" s="28" t="n"/>
      <c r="F907" s="28" t="n"/>
      <c r="G907" s="28" t="n"/>
      <c r="H907" s="28" t="n"/>
      <c r="I907" s="28" t="n"/>
      <c r="J907" s="28" t="n"/>
      <c r="K907" s="28" t="n"/>
    </row>
    <row r="908" ht="12.75" customHeight="1">
      <c r="A908" s="28" t="n"/>
      <c r="B908" s="28" t="n"/>
      <c r="C908" s="28" t="n"/>
      <c r="D908" s="28" t="n"/>
      <c r="E908" s="28" t="n"/>
      <c r="F908" s="28" t="n"/>
      <c r="G908" s="28" t="n"/>
      <c r="H908" s="28" t="n"/>
      <c r="I908" s="28" t="n"/>
      <c r="J908" s="28" t="n"/>
      <c r="K908" s="28" t="n"/>
    </row>
    <row r="909" ht="12.75" customHeight="1">
      <c r="A909" s="28" t="n"/>
      <c r="B909" s="28" t="n"/>
      <c r="C909" s="28" t="n"/>
      <c r="D909" s="28" t="n"/>
      <c r="E909" s="28" t="n"/>
      <c r="F909" s="28" t="n"/>
      <c r="G909" s="28" t="n"/>
      <c r="H909" s="28" t="n"/>
      <c r="I909" s="28" t="n"/>
      <c r="J909" s="28" t="n"/>
      <c r="K909" s="28" t="n"/>
    </row>
    <row r="910" ht="12.75" customHeight="1">
      <c r="A910" s="28" t="n"/>
      <c r="B910" s="28" t="n"/>
      <c r="C910" s="28" t="n"/>
      <c r="D910" s="28" t="n"/>
      <c r="E910" s="28" t="n"/>
      <c r="F910" s="28" t="n"/>
      <c r="G910" s="28" t="n"/>
      <c r="H910" s="28" t="n"/>
      <c r="I910" s="28" t="n"/>
      <c r="J910" s="28" t="n"/>
      <c r="K910" s="28" t="n"/>
    </row>
    <row r="911" ht="12.75" customHeight="1">
      <c r="A911" s="28" t="n"/>
      <c r="B911" s="28" t="n"/>
      <c r="C911" s="28" t="n"/>
      <c r="D911" s="28" t="n"/>
      <c r="E911" s="28" t="n"/>
      <c r="F911" s="28" t="n"/>
      <c r="G911" s="28" t="n"/>
      <c r="H911" s="28" t="n"/>
      <c r="I911" s="28" t="n"/>
      <c r="J911" s="28" t="n"/>
      <c r="K911" s="28" t="n"/>
    </row>
    <row r="912" ht="12.75" customHeight="1">
      <c r="A912" s="28" t="n"/>
      <c r="B912" s="28" t="n"/>
      <c r="C912" s="28" t="n"/>
      <c r="D912" s="28" t="n"/>
      <c r="E912" s="28" t="n"/>
      <c r="F912" s="28" t="n"/>
      <c r="G912" s="28" t="n"/>
      <c r="H912" s="28" t="n"/>
      <c r="I912" s="28" t="n"/>
      <c r="J912" s="28" t="n"/>
      <c r="K912" s="28" t="n"/>
    </row>
    <row r="913" ht="12.75" customHeight="1">
      <c r="A913" s="28" t="n"/>
      <c r="B913" s="28" t="n"/>
      <c r="C913" s="28" t="n"/>
      <c r="D913" s="28" t="n"/>
      <c r="E913" s="28" t="n"/>
      <c r="F913" s="28" t="n"/>
      <c r="G913" s="28" t="n"/>
      <c r="H913" s="28" t="n"/>
      <c r="I913" s="28" t="n"/>
      <c r="J913" s="28" t="n"/>
      <c r="K913" s="28" t="n"/>
    </row>
    <row r="914" ht="12.75" customHeight="1">
      <c r="A914" s="28" t="n"/>
      <c r="B914" s="28" t="n"/>
      <c r="C914" s="28" t="n"/>
      <c r="D914" s="28" t="n"/>
      <c r="E914" s="28" t="n"/>
      <c r="F914" s="28" t="n"/>
      <c r="G914" s="28" t="n"/>
      <c r="H914" s="28" t="n"/>
      <c r="I914" s="28" t="n"/>
      <c r="J914" s="28" t="n"/>
      <c r="K914" s="28" t="n"/>
    </row>
    <row r="915" ht="12.75" customHeight="1">
      <c r="A915" s="28" t="n"/>
      <c r="B915" s="28" t="n"/>
      <c r="C915" s="28" t="n"/>
      <c r="D915" s="28" t="n"/>
      <c r="E915" s="28" t="n"/>
      <c r="F915" s="28" t="n"/>
      <c r="G915" s="28" t="n"/>
      <c r="H915" s="28" t="n"/>
      <c r="I915" s="28" t="n"/>
      <c r="J915" s="28" t="n"/>
      <c r="K915" s="28" t="n"/>
    </row>
    <row r="916" ht="12.75" customHeight="1">
      <c r="A916" s="28" t="n"/>
      <c r="B916" s="28" t="n"/>
      <c r="C916" s="28" t="n"/>
      <c r="D916" s="28" t="n"/>
      <c r="E916" s="28" t="n"/>
      <c r="F916" s="28" t="n"/>
      <c r="G916" s="28" t="n"/>
      <c r="H916" s="28" t="n"/>
      <c r="I916" s="28" t="n"/>
      <c r="J916" s="28" t="n"/>
      <c r="K916" s="28" t="n"/>
    </row>
    <row r="917" ht="12.75" customHeight="1">
      <c r="A917" s="28" t="n"/>
      <c r="B917" s="28" t="n"/>
      <c r="C917" s="28" t="n"/>
      <c r="D917" s="28" t="n"/>
      <c r="E917" s="28" t="n"/>
      <c r="F917" s="28" t="n"/>
      <c r="G917" s="28" t="n"/>
      <c r="H917" s="28" t="n"/>
      <c r="I917" s="28" t="n"/>
      <c r="J917" s="28" t="n"/>
      <c r="K917" s="28" t="n"/>
    </row>
    <row r="918" ht="12.75" customHeight="1">
      <c r="A918" s="28" t="n"/>
      <c r="B918" s="28" t="n"/>
      <c r="C918" s="28" t="n"/>
      <c r="D918" s="28" t="n"/>
      <c r="E918" s="28" t="n"/>
      <c r="F918" s="28" t="n"/>
      <c r="G918" s="28" t="n"/>
      <c r="H918" s="28" t="n"/>
      <c r="I918" s="28" t="n"/>
      <c r="J918" s="28" t="n"/>
      <c r="K918" s="28" t="n"/>
    </row>
    <row r="919" ht="12.75" customHeight="1">
      <c r="A919" s="28" t="n"/>
      <c r="B919" s="28" t="n"/>
      <c r="C919" s="28" t="n"/>
      <c r="D919" s="28" t="n"/>
      <c r="E919" s="28" t="n"/>
      <c r="F919" s="28" t="n"/>
      <c r="G919" s="28" t="n"/>
      <c r="H919" s="28" t="n"/>
      <c r="I919" s="28" t="n"/>
      <c r="J919" s="28" t="n"/>
      <c r="K919" s="28" t="n"/>
    </row>
    <row r="920" ht="12.75" customHeight="1">
      <c r="A920" s="28" t="n"/>
      <c r="B920" s="28" t="n"/>
      <c r="C920" s="28" t="n"/>
      <c r="D920" s="28" t="n"/>
      <c r="E920" s="28" t="n"/>
      <c r="F920" s="28" t="n"/>
      <c r="G920" s="28" t="n"/>
      <c r="H920" s="28" t="n"/>
      <c r="I920" s="28" t="n"/>
      <c r="J920" s="28" t="n"/>
      <c r="K920" s="28" t="n"/>
    </row>
    <row r="921" ht="12.75" customHeight="1">
      <c r="A921" s="28" t="n"/>
      <c r="B921" s="28" t="n"/>
      <c r="C921" s="28" t="n"/>
      <c r="D921" s="28" t="n"/>
      <c r="E921" s="28" t="n"/>
      <c r="F921" s="28" t="n"/>
      <c r="G921" s="28" t="n"/>
      <c r="H921" s="28" t="n"/>
      <c r="I921" s="28" t="n"/>
      <c r="J921" s="28" t="n"/>
      <c r="K921" s="28" t="n"/>
    </row>
    <row r="922" ht="12.75" customHeight="1">
      <c r="A922" s="28" t="n"/>
      <c r="B922" s="28" t="n"/>
      <c r="C922" s="28" t="n"/>
      <c r="D922" s="28" t="n"/>
      <c r="E922" s="28" t="n"/>
      <c r="F922" s="28" t="n"/>
      <c r="G922" s="28" t="n"/>
      <c r="H922" s="28" t="n"/>
      <c r="I922" s="28" t="n"/>
      <c r="J922" s="28" t="n"/>
      <c r="K922" s="28" t="n"/>
    </row>
    <row r="923" ht="12.75" customHeight="1">
      <c r="A923" s="28" t="n"/>
      <c r="B923" s="28" t="n"/>
      <c r="C923" s="28" t="n"/>
      <c r="D923" s="28" t="n"/>
      <c r="E923" s="28" t="n"/>
      <c r="F923" s="28" t="n"/>
      <c r="G923" s="28" t="n"/>
      <c r="H923" s="28" t="n"/>
      <c r="I923" s="28" t="n"/>
      <c r="J923" s="28" t="n"/>
      <c r="K923" s="28" t="n"/>
    </row>
    <row r="924" ht="12.75" customHeight="1">
      <c r="A924" s="28" t="n"/>
      <c r="B924" s="28" t="n"/>
      <c r="C924" s="28" t="n"/>
      <c r="D924" s="28" t="n"/>
      <c r="E924" s="28" t="n"/>
      <c r="F924" s="28" t="n"/>
      <c r="G924" s="28" t="n"/>
      <c r="H924" s="28" t="n"/>
      <c r="I924" s="28" t="n"/>
      <c r="J924" s="28" t="n"/>
      <c r="K924" s="28" t="n"/>
    </row>
    <row r="925" ht="12.75" customHeight="1">
      <c r="A925" s="28" t="n"/>
      <c r="B925" s="28" t="n"/>
      <c r="C925" s="28" t="n"/>
      <c r="D925" s="28" t="n"/>
      <c r="E925" s="28" t="n"/>
      <c r="F925" s="28" t="n"/>
      <c r="G925" s="28" t="n"/>
      <c r="H925" s="28" t="n"/>
      <c r="I925" s="28" t="n"/>
      <c r="J925" s="28" t="n"/>
      <c r="K925" s="28" t="n"/>
    </row>
    <row r="926" ht="12.75" customHeight="1">
      <c r="A926" s="28" t="n"/>
      <c r="B926" s="28" t="n"/>
      <c r="C926" s="28" t="n"/>
      <c r="D926" s="28" t="n"/>
      <c r="E926" s="28" t="n"/>
      <c r="F926" s="28" t="n"/>
      <c r="G926" s="28" t="n"/>
      <c r="H926" s="28" t="n"/>
      <c r="I926" s="28" t="n"/>
      <c r="J926" s="28" t="n"/>
      <c r="K926" s="28" t="n"/>
    </row>
    <row r="927" ht="12.75" customHeight="1">
      <c r="A927" s="28" t="n"/>
      <c r="B927" s="28" t="n"/>
      <c r="C927" s="28" t="n"/>
      <c r="D927" s="28" t="n"/>
      <c r="E927" s="28" t="n"/>
      <c r="F927" s="28" t="n"/>
      <c r="G927" s="28" t="n"/>
      <c r="H927" s="28" t="n"/>
      <c r="I927" s="28" t="n"/>
      <c r="J927" s="28" t="n"/>
      <c r="K927" s="28" t="n"/>
    </row>
    <row r="928" ht="12.75" customHeight="1">
      <c r="A928" s="28" t="n"/>
      <c r="B928" s="28" t="n"/>
      <c r="C928" s="28" t="n"/>
      <c r="D928" s="28" t="n"/>
      <c r="E928" s="28" t="n"/>
      <c r="F928" s="28" t="n"/>
      <c r="G928" s="28" t="n"/>
      <c r="H928" s="28" t="n"/>
      <c r="I928" s="28" t="n"/>
      <c r="J928" s="28" t="n"/>
      <c r="K928" s="28" t="n"/>
    </row>
    <row r="929" ht="12.75" customHeight="1">
      <c r="A929" s="28" t="n"/>
      <c r="B929" s="28" t="n"/>
      <c r="C929" s="28" t="n"/>
      <c r="D929" s="28" t="n"/>
      <c r="E929" s="28" t="n"/>
      <c r="F929" s="28" t="n"/>
      <c r="G929" s="28" t="n"/>
      <c r="H929" s="28" t="n"/>
      <c r="I929" s="28" t="n"/>
      <c r="J929" s="28" t="n"/>
      <c r="K929" s="28" t="n"/>
    </row>
    <row r="930" ht="12.75" customHeight="1">
      <c r="A930" s="28" t="n"/>
      <c r="B930" s="28" t="n"/>
      <c r="C930" s="28" t="n"/>
      <c r="D930" s="28" t="n"/>
      <c r="E930" s="28" t="n"/>
      <c r="F930" s="28" t="n"/>
      <c r="G930" s="28" t="n"/>
      <c r="H930" s="28" t="n"/>
      <c r="I930" s="28" t="n"/>
      <c r="J930" s="28" t="n"/>
      <c r="K930" s="28" t="n"/>
    </row>
    <row r="931" ht="12.75" customHeight="1">
      <c r="A931" s="28" t="n"/>
      <c r="B931" s="28" t="n"/>
      <c r="C931" s="28" t="n"/>
      <c r="D931" s="28" t="n"/>
      <c r="E931" s="28" t="n"/>
      <c r="F931" s="28" t="n"/>
      <c r="G931" s="28" t="n"/>
      <c r="H931" s="28" t="n"/>
      <c r="I931" s="28" t="n"/>
      <c r="J931" s="28" t="n"/>
      <c r="K931" s="28" t="n"/>
    </row>
    <row r="932" ht="12.75" customHeight="1">
      <c r="A932" s="28" t="n"/>
      <c r="B932" s="28" t="n"/>
      <c r="C932" s="28" t="n"/>
      <c r="D932" s="28" t="n"/>
      <c r="E932" s="28" t="n"/>
      <c r="F932" s="28" t="n"/>
      <c r="G932" s="28" t="n"/>
      <c r="H932" s="28" t="n"/>
      <c r="I932" s="28" t="n"/>
      <c r="J932" s="28" t="n"/>
      <c r="K932" s="28" t="n"/>
    </row>
    <row r="933" ht="12.75" customHeight="1">
      <c r="A933" s="28" t="n"/>
      <c r="B933" s="28" t="n"/>
      <c r="C933" s="28" t="n"/>
      <c r="D933" s="28" t="n"/>
      <c r="E933" s="28" t="n"/>
      <c r="F933" s="28" t="n"/>
      <c r="G933" s="28" t="n"/>
      <c r="H933" s="28" t="n"/>
      <c r="I933" s="28" t="n"/>
      <c r="J933" s="28" t="n"/>
      <c r="K933" s="28" t="n"/>
    </row>
    <row r="934" ht="12.75" customHeight="1">
      <c r="A934" s="28" t="n"/>
      <c r="B934" s="28" t="n"/>
      <c r="C934" s="28" t="n"/>
      <c r="D934" s="28" t="n"/>
      <c r="E934" s="28" t="n"/>
      <c r="F934" s="28" t="n"/>
      <c r="G934" s="28" t="n"/>
      <c r="H934" s="28" t="n"/>
      <c r="I934" s="28" t="n"/>
      <c r="J934" s="28" t="n"/>
      <c r="K934" s="28" t="n"/>
    </row>
    <row r="935" ht="12.75" customHeight="1">
      <c r="A935" s="28" t="n"/>
      <c r="B935" s="28" t="n"/>
      <c r="C935" s="28" t="n"/>
      <c r="D935" s="28" t="n"/>
      <c r="E935" s="28" t="n"/>
      <c r="F935" s="28" t="n"/>
      <c r="G935" s="28" t="n"/>
      <c r="H935" s="28" t="n"/>
      <c r="I935" s="28" t="n"/>
      <c r="J935" s="28" t="n"/>
      <c r="K935" s="28" t="n"/>
    </row>
    <row r="936" ht="12.75" customHeight="1">
      <c r="A936" s="28" t="n"/>
      <c r="B936" s="28" t="n"/>
      <c r="C936" s="28" t="n"/>
      <c r="D936" s="28" t="n"/>
      <c r="E936" s="28" t="n"/>
      <c r="F936" s="28" t="n"/>
      <c r="G936" s="28" t="n"/>
      <c r="H936" s="28" t="n"/>
      <c r="I936" s="28" t="n"/>
      <c r="J936" s="28" t="n"/>
      <c r="K936" s="28" t="n"/>
    </row>
    <row r="937" ht="12.75" customHeight="1">
      <c r="A937" s="28" t="n"/>
      <c r="B937" s="28" t="n"/>
      <c r="C937" s="28" t="n"/>
      <c r="D937" s="28" t="n"/>
      <c r="E937" s="28" t="n"/>
      <c r="F937" s="28" t="n"/>
      <c r="G937" s="28" t="n"/>
      <c r="H937" s="28" t="n"/>
      <c r="I937" s="28" t="n"/>
      <c r="J937" s="28" t="n"/>
      <c r="K937" s="28" t="n"/>
    </row>
    <row r="938" ht="12.75" customHeight="1">
      <c r="A938" s="28" t="n"/>
      <c r="B938" s="28" t="n"/>
      <c r="C938" s="28" t="n"/>
      <c r="D938" s="28" t="n"/>
      <c r="E938" s="28" t="n"/>
      <c r="F938" s="28" t="n"/>
      <c r="G938" s="28" t="n"/>
      <c r="H938" s="28" t="n"/>
      <c r="I938" s="28" t="n"/>
      <c r="J938" s="28" t="n"/>
      <c r="K938" s="28" t="n"/>
    </row>
    <row r="939" ht="12.75" customHeight="1">
      <c r="A939" s="28" t="n"/>
      <c r="B939" s="28" t="n"/>
      <c r="C939" s="28" t="n"/>
      <c r="D939" s="28" t="n"/>
      <c r="E939" s="28" t="n"/>
      <c r="F939" s="28" t="n"/>
      <c r="G939" s="28" t="n"/>
      <c r="H939" s="28" t="n"/>
      <c r="I939" s="28" t="n"/>
      <c r="J939" s="28" t="n"/>
      <c r="K939" s="28" t="n"/>
    </row>
    <row r="940" ht="12.75" customHeight="1">
      <c r="A940" s="28" t="n"/>
      <c r="B940" s="28" t="n"/>
      <c r="C940" s="28" t="n"/>
      <c r="D940" s="28" t="n"/>
      <c r="E940" s="28" t="n"/>
      <c r="F940" s="28" t="n"/>
      <c r="G940" s="28" t="n"/>
      <c r="H940" s="28" t="n"/>
      <c r="I940" s="28" t="n"/>
      <c r="J940" s="28" t="n"/>
      <c r="K940" s="28" t="n"/>
    </row>
    <row r="941" ht="12.75" customHeight="1">
      <c r="A941" s="28" t="n"/>
      <c r="B941" s="28" t="n"/>
      <c r="C941" s="28" t="n"/>
      <c r="D941" s="28" t="n"/>
      <c r="E941" s="28" t="n"/>
      <c r="F941" s="28" t="n"/>
      <c r="G941" s="28" t="n"/>
      <c r="H941" s="28" t="n"/>
      <c r="I941" s="28" t="n"/>
      <c r="J941" s="28" t="n"/>
      <c r="K941" s="28" t="n"/>
    </row>
    <row r="942" ht="12.75" customHeight="1">
      <c r="A942" s="28" t="n"/>
      <c r="B942" s="28" t="n"/>
      <c r="C942" s="28" t="n"/>
      <c r="D942" s="28" t="n"/>
      <c r="E942" s="28" t="n"/>
      <c r="F942" s="28" t="n"/>
      <c r="G942" s="28" t="n"/>
      <c r="H942" s="28" t="n"/>
      <c r="I942" s="28" t="n"/>
      <c r="J942" s="28" t="n"/>
      <c r="K942" s="28" t="n"/>
    </row>
    <row r="943" ht="12.75" customHeight="1">
      <c r="A943" s="28" t="n"/>
      <c r="B943" s="28" t="n"/>
      <c r="C943" s="28" t="n"/>
      <c r="D943" s="28" t="n"/>
      <c r="E943" s="28" t="n"/>
      <c r="F943" s="28" t="n"/>
      <c r="G943" s="28" t="n"/>
      <c r="H943" s="28" t="n"/>
      <c r="I943" s="28" t="n"/>
      <c r="J943" s="28" t="n"/>
      <c r="K943" s="28" t="n"/>
    </row>
    <row r="944" ht="12.75" customHeight="1">
      <c r="A944" s="28" t="n"/>
      <c r="B944" s="28" t="n"/>
      <c r="C944" s="28" t="n"/>
      <c r="D944" s="28" t="n"/>
      <c r="E944" s="28" t="n"/>
      <c r="F944" s="28" t="n"/>
      <c r="G944" s="28" t="n"/>
      <c r="H944" s="28" t="n"/>
      <c r="I944" s="28" t="n"/>
      <c r="J944" s="28" t="n"/>
      <c r="K944" s="28" t="n"/>
    </row>
    <row r="945" ht="12.75" customHeight="1">
      <c r="A945" s="28" t="n"/>
      <c r="B945" s="28" t="n"/>
      <c r="C945" s="28" t="n"/>
      <c r="D945" s="28" t="n"/>
      <c r="E945" s="28" t="n"/>
      <c r="F945" s="28" t="n"/>
      <c r="G945" s="28" t="n"/>
      <c r="H945" s="28" t="n"/>
      <c r="I945" s="28" t="n"/>
      <c r="J945" s="28" t="n"/>
      <c r="K945" s="28" t="n"/>
    </row>
    <row r="946" ht="12.75" customHeight="1">
      <c r="A946" s="28" t="n"/>
      <c r="B946" s="28" t="n"/>
      <c r="C946" s="28" t="n"/>
      <c r="D946" s="28" t="n"/>
      <c r="E946" s="28" t="n"/>
      <c r="F946" s="28" t="n"/>
      <c r="G946" s="28" t="n"/>
      <c r="H946" s="28" t="n"/>
      <c r="I946" s="28" t="n"/>
      <c r="J946" s="28" t="n"/>
      <c r="K946" s="28" t="n"/>
    </row>
    <row r="947" ht="12.75" customHeight="1">
      <c r="A947" s="28" t="n"/>
      <c r="B947" s="28" t="n"/>
      <c r="C947" s="28" t="n"/>
      <c r="D947" s="28" t="n"/>
      <c r="E947" s="28" t="n"/>
      <c r="F947" s="28" t="n"/>
      <c r="G947" s="28" t="n"/>
      <c r="H947" s="28" t="n"/>
      <c r="I947" s="28" t="n"/>
      <c r="J947" s="28" t="n"/>
      <c r="K947" s="28" t="n"/>
    </row>
    <row r="948" ht="12.75" customHeight="1">
      <c r="A948" s="28" t="n"/>
      <c r="B948" s="28" t="n"/>
      <c r="C948" s="28" t="n"/>
      <c r="D948" s="28" t="n"/>
      <c r="E948" s="28" t="n"/>
      <c r="F948" s="28" t="n"/>
      <c r="G948" s="28" t="n"/>
      <c r="H948" s="28" t="n"/>
      <c r="I948" s="28" t="n"/>
      <c r="J948" s="28" t="n"/>
      <c r="K948" s="28" t="n"/>
    </row>
    <row r="949" ht="12.75" customHeight="1">
      <c r="A949" s="28" t="n"/>
      <c r="B949" s="28" t="n"/>
      <c r="C949" s="28" t="n"/>
      <c r="D949" s="28" t="n"/>
      <c r="E949" s="28" t="n"/>
      <c r="F949" s="28" t="n"/>
      <c r="G949" s="28" t="n"/>
      <c r="H949" s="28" t="n"/>
      <c r="I949" s="28" t="n"/>
      <c r="J949" s="28" t="n"/>
      <c r="K949" s="28" t="n"/>
    </row>
    <row r="950" ht="12.75" customHeight="1">
      <c r="A950" s="28" t="n"/>
      <c r="B950" s="28" t="n"/>
      <c r="C950" s="28" t="n"/>
      <c r="D950" s="28" t="n"/>
      <c r="E950" s="28" t="n"/>
      <c r="F950" s="28" t="n"/>
      <c r="G950" s="28" t="n"/>
      <c r="H950" s="28" t="n"/>
      <c r="I950" s="28" t="n"/>
      <c r="J950" s="28" t="n"/>
      <c r="K950" s="28" t="n"/>
    </row>
    <row r="951" ht="12.75" customHeight="1">
      <c r="A951" s="28" t="n"/>
      <c r="B951" s="28" t="n"/>
      <c r="C951" s="28" t="n"/>
      <c r="D951" s="28" t="n"/>
      <c r="E951" s="28" t="n"/>
      <c r="F951" s="28" t="n"/>
      <c r="G951" s="28" t="n"/>
      <c r="H951" s="28" t="n"/>
      <c r="I951" s="28" t="n"/>
      <c r="J951" s="28" t="n"/>
      <c r="K951" s="28" t="n"/>
    </row>
    <row r="952" ht="12.75" customHeight="1">
      <c r="A952" s="28" t="n"/>
      <c r="B952" s="28" t="n"/>
      <c r="C952" s="28" t="n"/>
      <c r="D952" s="28" t="n"/>
      <c r="E952" s="28" t="n"/>
      <c r="F952" s="28" t="n"/>
      <c r="G952" s="28" t="n"/>
      <c r="H952" s="28" t="n"/>
      <c r="I952" s="28" t="n"/>
      <c r="J952" s="28" t="n"/>
      <c r="K952" s="28" t="n"/>
    </row>
    <row r="953" ht="12.75" customHeight="1">
      <c r="A953" s="28" t="n"/>
      <c r="B953" s="28" t="n"/>
      <c r="C953" s="28" t="n"/>
      <c r="D953" s="28" t="n"/>
      <c r="E953" s="28" t="n"/>
      <c r="F953" s="28" t="n"/>
      <c r="G953" s="28" t="n"/>
      <c r="H953" s="28" t="n"/>
      <c r="I953" s="28" t="n"/>
      <c r="J953" s="28" t="n"/>
      <c r="K953" s="28" t="n"/>
    </row>
    <row r="954" ht="12.75" customHeight="1">
      <c r="A954" s="28" t="n"/>
      <c r="B954" s="28" t="n"/>
      <c r="C954" s="28" t="n"/>
      <c r="D954" s="28" t="n"/>
      <c r="E954" s="28" t="n"/>
      <c r="F954" s="28" t="n"/>
      <c r="G954" s="28" t="n"/>
      <c r="H954" s="28" t="n"/>
      <c r="I954" s="28" t="n"/>
      <c r="J954" s="28" t="n"/>
      <c r="K954" s="28" t="n"/>
    </row>
    <row r="955" ht="12.75" customHeight="1">
      <c r="A955" s="28" t="n"/>
      <c r="B955" s="28" t="n"/>
      <c r="C955" s="28" t="n"/>
      <c r="D955" s="28" t="n"/>
      <c r="E955" s="28" t="n"/>
      <c r="F955" s="28" t="n"/>
      <c r="G955" s="28" t="n"/>
      <c r="H955" s="28" t="n"/>
      <c r="I955" s="28" t="n"/>
      <c r="J955" s="28" t="n"/>
      <c r="K955" s="28" t="n"/>
    </row>
    <row r="956" ht="12.75" customHeight="1">
      <c r="A956" s="28" t="n"/>
      <c r="B956" s="28" t="n"/>
      <c r="C956" s="28" t="n"/>
      <c r="D956" s="28" t="n"/>
      <c r="E956" s="28" t="n"/>
      <c r="F956" s="28" t="n"/>
      <c r="G956" s="28" t="n"/>
      <c r="H956" s="28" t="n"/>
      <c r="I956" s="28" t="n"/>
      <c r="J956" s="28" t="n"/>
      <c r="K956" s="28" t="n"/>
    </row>
    <row r="957" ht="12.75" customHeight="1">
      <c r="A957" s="28" t="n"/>
      <c r="B957" s="28" t="n"/>
      <c r="C957" s="28" t="n"/>
      <c r="D957" s="28" t="n"/>
      <c r="E957" s="28" t="n"/>
      <c r="F957" s="28" t="n"/>
      <c r="G957" s="28" t="n"/>
      <c r="H957" s="28" t="n"/>
      <c r="I957" s="28" t="n"/>
      <c r="J957" s="28" t="n"/>
      <c r="K957" s="28" t="n"/>
    </row>
    <row r="958" ht="12.75" customHeight="1">
      <c r="A958" s="28" t="n"/>
      <c r="B958" s="28" t="n"/>
      <c r="C958" s="28" t="n"/>
      <c r="D958" s="28" t="n"/>
      <c r="E958" s="28" t="n"/>
      <c r="F958" s="28" t="n"/>
      <c r="G958" s="28" t="n"/>
      <c r="H958" s="28" t="n"/>
      <c r="I958" s="28" t="n"/>
      <c r="J958" s="28" t="n"/>
      <c r="K958" s="28" t="n"/>
    </row>
    <row r="959" ht="12.75" customHeight="1">
      <c r="A959" s="28" t="n"/>
      <c r="B959" s="28" t="n"/>
      <c r="C959" s="28" t="n"/>
      <c r="D959" s="28" t="n"/>
      <c r="E959" s="28" t="n"/>
      <c r="F959" s="28" t="n"/>
      <c r="G959" s="28" t="n"/>
      <c r="H959" s="28" t="n"/>
      <c r="I959" s="28" t="n"/>
      <c r="J959" s="28" t="n"/>
      <c r="K959" s="28" t="n"/>
    </row>
    <row r="960" ht="12.75" customHeight="1">
      <c r="A960" s="28" t="n"/>
      <c r="B960" s="28" t="n"/>
      <c r="C960" s="28" t="n"/>
      <c r="D960" s="28" t="n"/>
      <c r="E960" s="28" t="n"/>
      <c r="F960" s="28" t="n"/>
      <c r="G960" s="28" t="n"/>
      <c r="H960" s="28" t="n"/>
      <c r="I960" s="28" t="n"/>
      <c r="J960" s="28" t="n"/>
      <c r="K960" s="28" t="n"/>
    </row>
    <row r="961" ht="12.75" customHeight="1">
      <c r="A961" s="28" t="n"/>
      <c r="B961" s="28" t="n"/>
      <c r="C961" s="28" t="n"/>
      <c r="D961" s="28" t="n"/>
      <c r="E961" s="28" t="n"/>
      <c r="F961" s="28" t="n"/>
      <c r="G961" s="28" t="n"/>
      <c r="H961" s="28" t="n"/>
      <c r="I961" s="28" t="n"/>
      <c r="J961" s="28" t="n"/>
      <c r="K961" s="28" t="n"/>
    </row>
    <row r="962" ht="12.75" customHeight="1">
      <c r="A962" s="28" t="n"/>
      <c r="B962" s="28" t="n"/>
      <c r="C962" s="28" t="n"/>
      <c r="D962" s="28" t="n"/>
      <c r="E962" s="28" t="n"/>
      <c r="F962" s="28" t="n"/>
      <c r="G962" s="28" t="n"/>
      <c r="H962" s="28" t="n"/>
      <c r="I962" s="28" t="n"/>
      <c r="J962" s="28" t="n"/>
      <c r="K962" s="28" t="n"/>
    </row>
    <row r="963" ht="12.75" customHeight="1">
      <c r="A963" s="28" t="n"/>
      <c r="B963" s="28" t="n"/>
      <c r="C963" s="28" t="n"/>
      <c r="D963" s="28" t="n"/>
      <c r="E963" s="28" t="n"/>
      <c r="F963" s="28" t="n"/>
      <c r="G963" s="28" t="n"/>
      <c r="H963" s="28" t="n"/>
      <c r="I963" s="28" t="n"/>
      <c r="J963" s="28" t="n"/>
      <c r="K963" s="28" t="n"/>
    </row>
    <row r="964" ht="12.75" customHeight="1">
      <c r="A964" s="28" t="n"/>
      <c r="B964" s="28" t="n"/>
      <c r="C964" s="28" t="n"/>
      <c r="D964" s="28" t="n"/>
      <c r="E964" s="28" t="n"/>
      <c r="F964" s="28" t="n"/>
      <c r="G964" s="28" t="n"/>
      <c r="H964" s="28" t="n"/>
      <c r="I964" s="28" t="n"/>
      <c r="J964" s="28" t="n"/>
      <c r="K964" s="28" t="n"/>
    </row>
    <row r="965" ht="12.75" customHeight="1">
      <c r="A965" s="28" t="n"/>
      <c r="B965" s="28" t="n"/>
      <c r="C965" s="28" t="n"/>
      <c r="D965" s="28" t="n"/>
      <c r="E965" s="28" t="n"/>
      <c r="F965" s="28" t="n"/>
      <c r="G965" s="28" t="n"/>
      <c r="H965" s="28" t="n"/>
      <c r="I965" s="28" t="n"/>
      <c r="J965" s="28" t="n"/>
      <c r="K965" s="28" t="n"/>
    </row>
    <row r="966" ht="12.75" customHeight="1">
      <c r="A966" s="28" t="n"/>
      <c r="B966" s="28" t="n"/>
      <c r="C966" s="28" t="n"/>
      <c r="D966" s="28" t="n"/>
      <c r="E966" s="28" t="n"/>
      <c r="F966" s="28" t="n"/>
      <c r="G966" s="28" t="n"/>
      <c r="H966" s="28" t="n"/>
      <c r="I966" s="28" t="n"/>
      <c r="J966" s="28" t="n"/>
      <c r="K966" s="28" t="n"/>
    </row>
    <row r="967" ht="12.75" customHeight="1">
      <c r="A967" s="28" t="n"/>
      <c r="B967" s="28" t="n"/>
      <c r="C967" s="28" t="n"/>
      <c r="D967" s="28" t="n"/>
      <c r="E967" s="28" t="n"/>
      <c r="F967" s="28" t="n"/>
      <c r="G967" s="28" t="n"/>
      <c r="H967" s="28" t="n"/>
      <c r="I967" s="28" t="n"/>
      <c r="J967" s="28" t="n"/>
      <c r="K967" s="28" t="n"/>
    </row>
    <row r="968" ht="12.75" customHeight="1">
      <c r="A968" s="28" t="n"/>
      <c r="B968" s="28" t="n"/>
      <c r="C968" s="28" t="n"/>
      <c r="D968" s="28" t="n"/>
      <c r="E968" s="28" t="n"/>
      <c r="F968" s="28" t="n"/>
      <c r="G968" s="28" t="n"/>
      <c r="H968" s="28" t="n"/>
      <c r="I968" s="28" t="n"/>
      <c r="J968" s="28" t="n"/>
      <c r="K968" s="28" t="n"/>
    </row>
    <row r="969" ht="12.75" customHeight="1">
      <c r="A969" s="28" t="n"/>
      <c r="B969" s="28" t="n"/>
      <c r="C969" s="28" t="n"/>
      <c r="D969" s="28" t="n"/>
      <c r="E969" s="28" t="n"/>
      <c r="F969" s="28" t="n"/>
      <c r="G969" s="28" t="n"/>
      <c r="H969" s="28" t="n"/>
      <c r="I969" s="28" t="n"/>
      <c r="J969" s="28" t="n"/>
      <c r="K969" s="28" t="n"/>
    </row>
    <row r="970" ht="12.75" customHeight="1">
      <c r="A970" s="28" t="n"/>
      <c r="B970" s="28" t="n"/>
      <c r="C970" s="28" t="n"/>
      <c r="D970" s="28" t="n"/>
      <c r="E970" s="28" t="n"/>
      <c r="F970" s="28" t="n"/>
      <c r="G970" s="28" t="n"/>
      <c r="H970" s="28" t="n"/>
      <c r="I970" s="28" t="n"/>
      <c r="J970" s="28" t="n"/>
      <c r="K970" s="28" t="n"/>
    </row>
    <row r="971" ht="12.75" customHeight="1">
      <c r="A971" s="28" t="n"/>
      <c r="B971" s="28" t="n"/>
      <c r="C971" s="28" t="n"/>
      <c r="D971" s="28" t="n"/>
      <c r="E971" s="28" t="n"/>
      <c r="F971" s="28" t="n"/>
      <c r="G971" s="28" t="n"/>
      <c r="H971" s="28" t="n"/>
      <c r="I971" s="28" t="n"/>
      <c r="J971" s="28" t="n"/>
      <c r="K971" s="28" t="n"/>
    </row>
    <row r="972" ht="12.75" customHeight="1">
      <c r="A972" s="28" t="n"/>
      <c r="B972" s="28" t="n"/>
      <c r="C972" s="28" t="n"/>
      <c r="D972" s="28" t="n"/>
      <c r="E972" s="28" t="n"/>
      <c r="F972" s="28" t="n"/>
      <c r="G972" s="28" t="n"/>
      <c r="H972" s="28" t="n"/>
      <c r="I972" s="28" t="n"/>
      <c r="J972" s="28" t="n"/>
      <c r="K972" s="28" t="n"/>
    </row>
    <row r="973" ht="12.75" customHeight="1">
      <c r="A973" s="28" t="n"/>
      <c r="B973" s="28" t="n"/>
      <c r="C973" s="28" t="n"/>
      <c r="D973" s="28" t="n"/>
      <c r="E973" s="28" t="n"/>
      <c r="F973" s="28" t="n"/>
      <c r="G973" s="28" t="n"/>
      <c r="H973" s="28" t="n"/>
      <c r="I973" s="28" t="n"/>
      <c r="J973" s="28" t="n"/>
      <c r="K973" s="28" t="n"/>
    </row>
    <row r="974" ht="12.75" customHeight="1">
      <c r="A974" s="28" t="n"/>
      <c r="B974" s="28" t="n"/>
      <c r="C974" s="28" t="n"/>
      <c r="D974" s="28" t="n"/>
      <c r="E974" s="28" t="n"/>
      <c r="F974" s="28" t="n"/>
      <c r="G974" s="28" t="n"/>
      <c r="H974" s="28" t="n"/>
      <c r="I974" s="28" t="n"/>
      <c r="J974" s="28" t="n"/>
      <c r="K974" s="28" t="n"/>
    </row>
    <row r="975" ht="12.75" customHeight="1">
      <c r="A975" s="28" t="n"/>
      <c r="B975" s="28" t="n"/>
      <c r="C975" s="28" t="n"/>
      <c r="D975" s="28" t="n"/>
      <c r="E975" s="28" t="n"/>
      <c r="F975" s="28" t="n"/>
      <c r="G975" s="28" t="n"/>
      <c r="H975" s="28" t="n"/>
      <c r="I975" s="28" t="n"/>
      <c r="J975" s="28" t="n"/>
      <c r="K975" s="28" t="n"/>
    </row>
    <row r="976" ht="12.75" customHeight="1">
      <c r="A976" s="28" t="n"/>
      <c r="B976" s="28" t="n"/>
      <c r="C976" s="28" t="n"/>
      <c r="D976" s="28" t="n"/>
      <c r="E976" s="28" t="n"/>
      <c r="F976" s="28" t="n"/>
      <c r="G976" s="28" t="n"/>
      <c r="H976" s="28" t="n"/>
      <c r="I976" s="28" t="n"/>
      <c r="J976" s="28" t="n"/>
      <c r="K976" s="28" t="n"/>
    </row>
    <row r="977" ht="12.75" customHeight="1">
      <c r="A977" s="28" t="n"/>
      <c r="B977" s="28" t="n"/>
      <c r="C977" s="28" t="n"/>
      <c r="D977" s="28" t="n"/>
      <c r="E977" s="28" t="n"/>
      <c r="F977" s="28" t="n"/>
      <c r="G977" s="28" t="n"/>
      <c r="H977" s="28" t="n"/>
      <c r="I977" s="28" t="n"/>
      <c r="J977" s="28" t="n"/>
      <c r="K977" s="28" t="n"/>
    </row>
    <row r="978" ht="12.75" customHeight="1">
      <c r="A978" s="28" t="n"/>
      <c r="B978" s="28" t="n"/>
      <c r="C978" s="28" t="n"/>
      <c r="D978" s="28" t="n"/>
      <c r="E978" s="28" t="n"/>
      <c r="F978" s="28" t="n"/>
      <c r="G978" s="28" t="n"/>
      <c r="H978" s="28" t="n"/>
      <c r="I978" s="28" t="n"/>
      <c r="J978" s="28" t="n"/>
      <c r="K978" s="28" t="n"/>
    </row>
    <row r="979" ht="12.75" customHeight="1">
      <c r="A979" s="28" t="n"/>
      <c r="B979" s="28" t="n"/>
      <c r="C979" s="28" t="n"/>
      <c r="D979" s="28" t="n"/>
      <c r="E979" s="28" t="n"/>
      <c r="F979" s="28" t="n"/>
      <c r="G979" s="28" t="n"/>
      <c r="H979" s="28" t="n"/>
      <c r="I979" s="28" t="n"/>
      <c r="J979" s="28" t="n"/>
      <c r="K979" s="28" t="n"/>
    </row>
    <row r="980" ht="12.75" customHeight="1">
      <c r="A980" s="28" t="n"/>
      <c r="B980" s="28" t="n"/>
      <c r="C980" s="28" t="n"/>
      <c r="D980" s="28" t="n"/>
      <c r="E980" s="28" t="n"/>
      <c r="F980" s="28" t="n"/>
      <c r="G980" s="28" t="n"/>
      <c r="H980" s="28" t="n"/>
      <c r="I980" s="28" t="n"/>
      <c r="J980" s="28" t="n"/>
      <c r="K980" s="28" t="n"/>
    </row>
    <row r="981" ht="12.75" customHeight="1">
      <c r="A981" s="28" t="n"/>
      <c r="B981" s="28" t="n"/>
      <c r="C981" s="28" t="n"/>
      <c r="D981" s="28" t="n"/>
      <c r="E981" s="28" t="n"/>
      <c r="F981" s="28" t="n"/>
      <c r="G981" s="28" t="n"/>
      <c r="H981" s="28" t="n"/>
      <c r="I981" s="28" t="n"/>
      <c r="J981" s="28" t="n"/>
      <c r="K981" s="28" t="n"/>
    </row>
    <row r="982" ht="12.75" customHeight="1">
      <c r="A982" s="28" t="n"/>
      <c r="B982" s="28" t="n"/>
      <c r="C982" s="28" t="n"/>
      <c r="D982" s="28" t="n"/>
      <c r="E982" s="28" t="n"/>
      <c r="F982" s="28" t="n"/>
      <c r="G982" s="28" t="n"/>
      <c r="H982" s="28" t="n"/>
      <c r="I982" s="28" t="n"/>
      <c r="J982" s="28" t="n"/>
      <c r="K982" s="28" t="n"/>
    </row>
    <row r="983" ht="12.75" customHeight="1">
      <c r="A983" s="28" t="n"/>
      <c r="B983" s="28" t="n"/>
      <c r="C983" s="28" t="n"/>
      <c r="D983" s="28" t="n"/>
      <c r="E983" s="28" t="n"/>
      <c r="F983" s="28" t="n"/>
      <c r="G983" s="28" t="n"/>
      <c r="H983" s="28" t="n"/>
      <c r="I983" s="28" t="n"/>
      <c r="J983" s="28" t="n"/>
      <c r="K983" s="28" t="n"/>
    </row>
    <row r="984" ht="12.75" customHeight="1">
      <c r="A984" s="28" t="n"/>
      <c r="B984" s="28" t="n"/>
      <c r="C984" s="28" t="n"/>
      <c r="D984" s="28" t="n"/>
      <c r="E984" s="28" t="n"/>
      <c r="F984" s="28" t="n"/>
      <c r="G984" s="28" t="n"/>
      <c r="H984" s="28" t="n"/>
      <c r="I984" s="28" t="n"/>
      <c r="J984" s="28" t="n"/>
      <c r="K984" s="28" t="n"/>
    </row>
    <row r="985" ht="12.75" customHeight="1">
      <c r="A985" s="28" t="n"/>
      <c r="B985" s="28" t="n"/>
      <c r="C985" s="28" t="n"/>
      <c r="D985" s="28" t="n"/>
      <c r="E985" s="28" t="n"/>
      <c r="F985" s="28" t="n"/>
      <c r="G985" s="28" t="n"/>
      <c r="H985" s="28" t="n"/>
      <c r="I985" s="28" t="n"/>
      <c r="J985" s="28" t="n"/>
      <c r="K985" s="28" t="n"/>
    </row>
    <row r="986" ht="12.75" customHeight="1">
      <c r="A986" s="28" t="n"/>
      <c r="B986" s="28" t="n"/>
      <c r="C986" s="28" t="n"/>
      <c r="D986" s="28" t="n"/>
      <c r="E986" s="28" t="n"/>
      <c r="F986" s="28" t="n"/>
      <c r="G986" s="28" t="n"/>
      <c r="H986" s="28" t="n"/>
      <c r="I986" s="28" t="n"/>
      <c r="J986" s="28" t="n"/>
      <c r="K986" s="28" t="n"/>
    </row>
    <row r="987" ht="12.75" customHeight="1">
      <c r="A987" s="28" t="n"/>
      <c r="B987" s="28" t="n"/>
      <c r="C987" s="28" t="n"/>
      <c r="D987" s="28" t="n"/>
      <c r="E987" s="28" t="n"/>
      <c r="F987" s="28" t="n"/>
      <c r="G987" s="28" t="n"/>
      <c r="H987" s="28" t="n"/>
      <c r="I987" s="28" t="n"/>
      <c r="J987" s="28" t="n"/>
      <c r="K987" s="28" t="n"/>
    </row>
    <row r="988" ht="12.75" customHeight="1">
      <c r="A988" s="28" t="n"/>
      <c r="B988" s="28" t="n"/>
      <c r="C988" s="28" t="n"/>
      <c r="D988" s="28" t="n"/>
      <c r="E988" s="28" t="n"/>
      <c r="F988" s="28" t="n"/>
      <c r="G988" s="28" t="n"/>
      <c r="H988" s="28" t="n"/>
      <c r="I988" s="28" t="n"/>
      <c r="J988" s="28" t="n"/>
      <c r="K988" s="28" t="n"/>
    </row>
    <row r="989" ht="12.75" customHeight="1">
      <c r="A989" s="28" t="n"/>
      <c r="B989" s="28" t="n"/>
      <c r="C989" s="28" t="n"/>
      <c r="D989" s="28" t="n"/>
      <c r="E989" s="28" t="n"/>
      <c r="F989" s="28" t="n"/>
      <c r="G989" s="28" t="n"/>
      <c r="H989" s="28" t="n"/>
      <c r="I989" s="28" t="n"/>
      <c r="J989" s="28" t="n"/>
      <c r="K989" s="28" t="n"/>
    </row>
    <row r="990" ht="12.75" customHeight="1">
      <c r="A990" s="28" t="n"/>
      <c r="B990" s="28" t="n"/>
      <c r="C990" s="28" t="n"/>
      <c r="D990" s="28" t="n"/>
      <c r="E990" s="28" t="n"/>
      <c r="F990" s="28" t="n"/>
      <c r="G990" s="28" t="n"/>
      <c r="H990" s="28" t="n"/>
      <c r="I990" s="28" t="n"/>
      <c r="J990" s="28" t="n"/>
      <c r="K990" s="28" t="n"/>
    </row>
    <row r="991" ht="12.75" customHeight="1">
      <c r="A991" s="28" t="n"/>
      <c r="B991" s="28" t="n"/>
      <c r="C991" s="28" t="n"/>
      <c r="D991" s="28" t="n"/>
      <c r="E991" s="28" t="n"/>
      <c r="F991" s="28" t="n"/>
      <c r="G991" s="28" t="n"/>
      <c r="H991" s="28" t="n"/>
      <c r="I991" s="28" t="n"/>
      <c r="J991" s="28" t="n"/>
      <c r="K991" s="28" t="n"/>
    </row>
    <row r="992" ht="12.75" customHeight="1">
      <c r="A992" s="28" t="n"/>
      <c r="B992" s="28" t="n"/>
      <c r="C992" s="28" t="n"/>
      <c r="D992" s="28" t="n"/>
      <c r="E992" s="28" t="n"/>
      <c r="F992" s="28" t="n"/>
      <c r="G992" s="28" t="n"/>
      <c r="H992" s="28" t="n"/>
      <c r="I992" s="28" t="n"/>
      <c r="J992" s="28" t="n"/>
      <c r="K992" s="28" t="n"/>
    </row>
    <row r="993" ht="12.75" customHeight="1">
      <c r="A993" s="28" t="n"/>
      <c r="B993" s="28" t="n"/>
      <c r="C993" s="28" t="n"/>
      <c r="D993" s="28" t="n"/>
      <c r="E993" s="28" t="n"/>
      <c r="F993" s="28" t="n"/>
      <c r="G993" s="28" t="n"/>
      <c r="H993" s="28" t="n"/>
      <c r="I993" s="28" t="n"/>
      <c r="J993" s="28" t="n"/>
      <c r="K993" s="28" t="n"/>
    </row>
    <row r="994" ht="12.75" customHeight="1">
      <c r="A994" s="28" t="n"/>
      <c r="B994" s="28" t="n"/>
      <c r="C994" s="28" t="n"/>
      <c r="D994" s="28" t="n"/>
      <c r="E994" s="28" t="n"/>
      <c r="F994" s="28" t="n"/>
      <c r="G994" s="28" t="n"/>
      <c r="H994" s="28" t="n"/>
      <c r="I994" s="28" t="n"/>
      <c r="J994" s="28" t="n"/>
      <c r="K994" s="28" t="n"/>
    </row>
    <row r="995" ht="12.75" customHeight="1">
      <c r="A995" s="28" t="n"/>
      <c r="B995" s="28" t="n"/>
      <c r="C995" s="28" t="n"/>
      <c r="D995" s="28" t="n"/>
      <c r="E995" s="28" t="n"/>
      <c r="F995" s="28" t="n"/>
      <c r="G995" s="28" t="n"/>
      <c r="H995" s="28" t="n"/>
      <c r="I995" s="28" t="n"/>
      <c r="J995" s="28" t="n"/>
      <c r="K995" s="28" t="n"/>
    </row>
    <row r="996" ht="12.75" customHeight="1">
      <c r="A996" s="28" t="n"/>
      <c r="B996" s="28" t="n"/>
      <c r="C996" s="28" t="n"/>
      <c r="D996" s="28" t="n"/>
      <c r="E996" s="28" t="n"/>
      <c r="F996" s="28" t="n"/>
      <c r="G996" s="28" t="n"/>
      <c r="H996" s="28" t="n"/>
      <c r="I996" s="28" t="n"/>
      <c r="J996" s="28" t="n"/>
      <c r="K996" s="28" t="n"/>
    </row>
    <row r="997" ht="12.75" customHeight="1">
      <c r="A997" s="28" t="n"/>
      <c r="B997" s="28" t="n"/>
      <c r="C997" s="28" t="n"/>
      <c r="D997" s="28" t="n"/>
      <c r="E997" s="28" t="n"/>
      <c r="F997" s="28" t="n"/>
      <c r="G997" s="28" t="n"/>
      <c r="H997" s="28" t="n"/>
      <c r="I997" s="28" t="n"/>
      <c r="J997" s="28" t="n"/>
      <c r="K997" s="28" t="n"/>
    </row>
    <row r="998" ht="12.75" customHeight="1">
      <c r="A998" s="28" t="n"/>
      <c r="B998" s="28" t="n"/>
      <c r="C998" s="28" t="n"/>
      <c r="D998" s="28" t="n"/>
      <c r="E998" s="28" t="n"/>
      <c r="F998" s="28" t="n"/>
      <c r="G998" s="28" t="n"/>
      <c r="H998" s="28" t="n"/>
      <c r="I998" s="28" t="n"/>
      <c r="J998" s="28" t="n"/>
      <c r="K998" s="28" t="n"/>
    </row>
    <row r="999" ht="12.75" customHeight="1">
      <c r="A999" s="28" t="n"/>
      <c r="B999" s="28" t="n"/>
      <c r="C999" s="28" t="n"/>
      <c r="D999" s="28" t="n"/>
      <c r="E999" s="28" t="n"/>
      <c r="F999" s="28" t="n"/>
      <c r="G999" s="28" t="n"/>
      <c r="H999" s="28" t="n"/>
      <c r="I999" s="28" t="n"/>
      <c r="J999" s="28" t="n"/>
      <c r="K999" s="28" t="n"/>
    </row>
    <row r="1000" ht="12.75" customHeight="1">
      <c r="A1000" s="28" t="n"/>
      <c r="B1000" s="28" t="n"/>
      <c r="C1000" s="28" t="n"/>
      <c r="D1000" s="28" t="n"/>
      <c r="E1000" s="28" t="n"/>
      <c r="F1000" s="28" t="n"/>
      <c r="G1000" s="28" t="n"/>
      <c r="H1000" s="28" t="n"/>
      <c r="I1000" s="28" t="n"/>
      <c r="J1000" s="28" t="n"/>
      <c r="K1000" s="28" t="n"/>
    </row>
  </sheetData>
  <autoFilter ref="A1:K115"/>
  <printOptions horizontalCentered="1" gridLines="1"/>
  <pageMargins left="0.7" right="0.7" top="0.75" bottom="0.75" header="0" footer="0"/>
  <pageSetup orientation="landscape" paperSize="9" fitToHeight="0" pageOrder="overThenDown" cellComments="atEnd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1000"/>
  <sheetViews>
    <sheetView topLeftCell="E1" workbookViewId="0">
      <pane ySplit="1" topLeftCell="A68" activePane="bottomLeft" state="frozen"/>
      <selection pane="bottomLeft" activeCell="C25" sqref="A25:XFD25"/>
    </sheetView>
  </sheetViews>
  <sheetFormatPr baseColWidth="8" defaultColWidth="12.5703125" defaultRowHeight="15.75" customHeight="1"/>
  <cols>
    <col width="10.42578125" customWidth="1" min="1" max="1"/>
    <col width="22.85546875" customWidth="1" min="2" max="2"/>
    <col width="18.140625" customWidth="1" min="3" max="3"/>
    <col width="13.28515625" customWidth="1" min="4" max="4"/>
    <col width="57.140625" customWidth="1" min="5" max="5"/>
    <col width="18.140625" customWidth="1" min="6" max="6"/>
    <col width="61" customWidth="1" min="7" max="7"/>
    <col width="15.28515625" customWidth="1" min="8" max="8"/>
    <col width="31.42578125" customWidth="1" min="9" max="10"/>
    <col width="18.140625" customWidth="1" min="11" max="11"/>
    <col width="20.140625" customWidth="1" min="12" max="26"/>
  </cols>
  <sheetData>
    <row r="1" ht="28.5" customFormat="1" customHeight="1" s="33">
      <c r="A1" s="30" t="inlineStr">
        <is>
          <t>REGIÃO</t>
        </is>
      </c>
      <c r="B1" s="31" t="inlineStr">
        <is>
          <t>CIDADE</t>
        </is>
      </c>
      <c r="C1" s="31" t="inlineStr">
        <is>
          <t>NÚMERO DO TRECHO</t>
        </is>
      </c>
      <c r="D1" s="31" t="inlineStr">
        <is>
          <t>RODOVIA</t>
        </is>
      </c>
      <c r="E1" s="31" t="inlineStr">
        <is>
          <t>TRECHO</t>
        </is>
      </c>
      <c r="F1" s="31" t="inlineStr">
        <is>
          <t>SRE</t>
        </is>
      </c>
      <c r="G1" s="31" t="inlineStr">
        <is>
          <t>SEGMENTO</t>
        </is>
      </c>
      <c r="H1" s="31" t="inlineStr">
        <is>
          <t>SITUAÇÃO</t>
        </is>
      </c>
      <c r="I1" s="31" t="inlineStr">
        <is>
          <t>COORDENADA INICIAL</t>
        </is>
      </c>
      <c r="J1" s="31" t="inlineStr">
        <is>
          <t>COORDENADA FINAL</t>
        </is>
      </c>
      <c r="K1" s="32" t="inlineStr">
        <is>
          <t>EXTENSÃO REAL (km)</t>
        </is>
      </c>
    </row>
    <row r="2" ht="30" customHeight="1">
      <c r="A2" s="20" t="n">
        <v>3</v>
      </c>
      <c r="B2" s="21" t="inlineStr">
        <is>
          <t>ARAGUAÍNA II</t>
        </is>
      </c>
      <c r="C2" s="22" t="n">
        <v>67</v>
      </c>
      <c r="D2" s="18" t="inlineStr">
        <is>
          <t>TO-010</t>
        </is>
      </c>
      <c r="E2" s="21" t="inlineStr">
        <is>
          <t>RODOVIA TO-010 - TRECHO ENTR. BR-010 (ITACAJÁ) - PALMEIRANTE</t>
        </is>
      </c>
      <c r="F2" s="18" t="inlineStr">
        <is>
          <t>010ETO0250</t>
        </is>
      </c>
      <c r="G2" s="21" t="inlineStr">
        <is>
          <t>ENTR. BR-010 - ENTR. TO-226(POV. CAMPOS)</t>
        </is>
      </c>
      <c r="H2" s="18" t="inlineStr">
        <is>
          <t>LEN</t>
        </is>
      </c>
      <c r="I2" s="18" t="inlineStr">
        <is>
          <t>-47.743310178, -8.34099353348</t>
        </is>
      </c>
      <c r="J2" s="18" t="inlineStr">
        <is>
          <t>-47.806618, -7.944864</t>
        </is>
      </c>
      <c r="K2" s="19" t="n">
        <v>58.2480071009</v>
      </c>
    </row>
    <row r="3" ht="30" customHeight="1">
      <c r="A3" s="20" t="n">
        <v>3</v>
      </c>
      <c r="B3" s="21" t="inlineStr">
        <is>
          <t>ARAGUAÍNA II</t>
        </is>
      </c>
      <c r="C3" s="22" t="n">
        <v>67</v>
      </c>
      <c r="D3" s="18" t="inlineStr">
        <is>
          <t>TO-010</t>
        </is>
      </c>
      <c r="E3" s="21" t="inlineStr">
        <is>
          <t>RODOVIA TO-010 - TRECHO ENTR. BR-010 (ITACAJÁ) - PALMEIRANTE</t>
        </is>
      </c>
      <c r="F3" s="18" t="inlineStr">
        <is>
          <t>010ETO0290</t>
        </is>
      </c>
      <c r="G3" s="21" t="inlineStr">
        <is>
          <t>ENTR. TO-226(POV. CAMPOS) - RIO TOCANTINS(BALSA PALMEIRANTE)</t>
        </is>
      </c>
      <c r="H3" s="18" t="inlineStr">
        <is>
          <t>LEN</t>
        </is>
      </c>
      <c r="I3" s="18" t="inlineStr">
        <is>
          <t>-47.8066177351, -7.94486429229</t>
        </is>
      </c>
      <c r="J3" s="18" t="inlineStr">
        <is>
          <t>-47.9194950001, -7.861879</t>
        </is>
      </c>
      <c r="K3" s="19" t="n">
        <v>19.46380741</v>
      </c>
    </row>
    <row r="4" ht="30" customHeight="1">
      <c r="A4" s="20" t="n">
        <v>3</v>
      </c>
      <c r="B4" s="21" t="inlineStr">
        <is>
          <t>ARAGUAÍNA II</t>
        </is>
      </c>
      <c r="C4" s="22" t="n">
        <v>68</v>
      </c>
      <c r="D4" s="18" t="inlineStr">
        <is>
          <t>TO-010</t>
        </is>
      </c>
      <c r="E4" s="21" t="inlineStr">
        <is>
          <t>RODOVIA TO-010 - TRECHO PALMEIRANTE - ENTR. TO-222 (POVOADO BIELÂNDIA)</t>
        </is>
      </c>
      <c r="F4" s="18" t="inlineStr">
        <is>
          <t>010ETO0292</t>
        </is>
      </c>
      <c r="G4" s="21" t="inlineStr">
        <is>
          <t>RIO TOCANTINS(BALSA PALMEIRANTE) - INÍCIO PAVIMENTAÇÃO(PU PALMEIRANTE)</t>
        </is>
      </c>
      <c r="H4" s="18" t="inlineStr">
        <is>
          <t>LEN</t>
        </is>
      </c>
      <c r="I4" s="18" t="inlineStr">
        <is>
          <t>-47.9227636647, -7.85696359067</t>
        </is>
      </c>
      <c r="J4" s="18" t="inlineStr">
        <is>
          <t>-47.9222228365, -7.85813851311</t>
        </is>
      </c>
      <c r="K4" s="19" t="n">
        <v>0.143101705</v>
      </c>
    </row>
    <row r="5" ht="30" customHeight="1">
      <c r="A5" s="20" t="n">
        <v>3</v>
      </c>
      <c r="B5" s="21" t="inlineStr">
        <is>
          <t>ARAGUAÍNA II</t>
        </is>
      </c>
      <c r="C5" s="22" t="n">
        <v>68</v>
      </c>
      <c r="D5" s="18" t="inlineStr">
        <is>
          <t>TO-010</t>
        </is>
      </c>
      <c r="E5" s="21" t="inlineStr">
        <is>
          <t>RODOVIA TO-010 - TRECHO PALMEIRANTE - ENTR. TO-222 (POVOADO BIELÂNDIA)</t>
        </is>
      </c>
      <c r="F5" s="18" t="inlineStr">
        <is>
          <t>010ETO0293</t>
        </is>
      </c>
      <c r="G5" s="21" t="inlineStr">
        <is>
          <t>INÍCIO PAVIMENTAÇÃO(PU PALMEIRANTE) - INÍCIO DUPLICAÇÃO(PU PALMEIRANTE)</t>
        </is>
      </c>
      <c r="H5" s="18" t="inlineStr">
        <is>
          <t>PSU</t>
        </is>
      </c>
      <c r="I5" s="18" t="inlineStr">
        <is>
          <t>-47.9284597983, -7.85970837568</t>
        </is>
      </c>
      <c r="J5" s="18" t="inlineStr">
        <is>
          <t>-47.9227636647, -7.85696359067</t>
        </is>
      </c>
      <c r="K5" s="19" t="n">
        <v>0.698615054</v>
      </c>
    </row>
    <row r="6" ht="30" customHeight="1">
      <c r="A6" s="20" t="n">
        <v>3</v>
      </c>
      <c r="B6" s="21" t="inlineStr">
        <is>
          <t>ARAGUAÍNA II</t>
        </is>
      </c>
      <c r="C6" s="22" t="n">
        <v>68</v>
      </c>
      <c r="D6" s="18" t="inlineStr">
        <is>
          <t>TO-010</t>
        </is>
      </c>
      <c r="E6" s="21" t="inlineStr">
        <is>
          <t>RODOVIA TO-010 - TRECHO PALMEIRANTE - ENTR. TO-222 (POVOADO BIELÂNDIA)</t>
        </is>
      </c>
      <c r="F6" s="18" t="inlineStr">
        <is>
          <t>010ETO0295D</t>
        </is>
      </c>
      <c r="G6" s="21" t="inlineStr">
        <is>
          <t>INÍCIO DUPLICAÇÃO(PU PALMEIRANTE) - FIM DUPLICAÇÃO(PU PALMEIRANTE)</t>
        </is>
      </c>
      <c r="H6" s="18" t="inlineStr">
        <is>
          <t>PDU</t>
        </is>
      </c>
      <c r="I6" s="18" t="inlineStr">
        <is>
          <t>-47.9359380003, -7.86279899961</t>
        </is>
      </c>
      <c r="J6" s="18" t="inlineStr">
        <is>
          <t>-47.9284597983, -7.85970837568</t>
        </is>
      </c>
      <c r="K6" s="19" t="n">
        <v>0.903993694</v>
      </c>
    </row>
    <row r="7" ht="30" customHeight="1">
      <c r="A7" s="20" t="n">
        <v>3</v>
      </c>
      <c r="B7" s="21" t="inlineStr">
        <is>
          <t>ARAGUAÍNA II</t>
        </is>
      </c>
      <c r="C7" s="22" t="n">
        <v>68</v>
      </c>
      <c r="D7" s="18" t="inlineStr">
        <is>
          <t>TO-010</t>
        </is>
      </c>
      <c r="E7" s="21" t="inlineStr">
        <is>
          <t>RODOVIA TO-010 - TRECHO PALMEIRANTE - ENTR. TO-222 (POVOADO BIELÂNDIA)</t>
        </is>
      </c>
      <c r="F7" s="18" t="inlineStr">
        <is>
          <t>010ETO0295E</t>
        </is>
      </c>
      <c r="G7" s="21" t="inlineStr">
        <is>
          <t>INÍCIO DUPLICAÇÃO(PU PALMEIRANTE) - FIM DUPLICAÇÃO(PU PALMEIRANTE)</t>
        </is>
      </c>
      <c r="H7" s="18" t="inlineStr">
        <is>
          <t>PDU</t>
        </is>
      </c>
      <c r="I7" s="18" t="inlineStr">
        <is>
          <t>-47.9359380003, -7.86279899961</t>
        </is>
      </c>
      <c r="J7" s="18" t="inlineStr">
        <is>
          <t>-47.9284597983, -7.85970837568</t>
        </is>
      </c>
      <c r="K7" s="19" t="n">
        <v>0.894581178</v>
      </c>
    </row>
    <row r="8" ht="30" customHeight="1">
      <c r="A8" s="20" t="n">
        <v>3</v>
      </c>
      <c r="B8" s="21" t="inlineStr">
        <is>
          <t>ARAGUAÍNA II</t>
        </is>
      </c>
      <c r="C8" s="22" t="n">
        <v>68</v>
      </c>
      <c r="D8" s="18" t="inlineStr">
        <is>
          <t>TO-010</t>
        </is>
      </c>
      <c r="E8" s="21" t="inlineStr">
        <is>
          <t>RODOVIA TO-010 - TRECHO PALMEIRANTE - ENTR. TO-222 (POVOADO BIELÂNDIA)</t>
        </is>
      </c>
      <c r="F8" s="18" t="inlineStr">
        <is>
          <t>010ETO0297</t>
        </is>
      </c>
      <c r="G8" s="21" t="inlineStr">
        <is>
          <t>FIM DUPLICAÇÃO(PU PALMEIRANTE) - FIM PU PALMEIRANTE</t>
        </is>
      </c>
      <c r="H8" s="18" t="inlineStr">
        <is>
          <t>PSU</t>
        </is>
      </c>
      <c r="I8" s="18" t="inlineStr">
        <is>
          <t>-47.9359380003, -7.86279899961</t>
        </is>
      </c>
      <c r="J8" s="18" t="inlineStr">
        <is>
          <t>-47.939469, -7.86542700041</t>
        </is>
      </c>
      <c r="K8" s="19" t="n">
        <v>0.491719444</v>
      </c>
    </row>
    <row r="9" ht="30" customHeight="1">
      <c r="A9" s="20" t="n">
        <v>3</v>
      </c>
      <c r="B9" s="21" t="inlineStr">
        <is>
          <t>ARAGUAÍNA II</t>
        </is>
      </c>
      <c r="C9" s="22" t="n">
        <v>68</v>
      </c>
      <c r="D9" s="18" t="inlineStr">
        <is>
          <t>TO-010</t>
        </is>
      </c>
      <c r="E9" s="21" t="inlineStr">
        <is>
          <t>RODOVIA TO-010 - TRECHO PALMEIRANTE - ENTR. TO-222 (POVOADO BIELÂNDIA)</t>
        </is>
      </c>
      <c r="F9" s="18" t="inlineStr">
        <is>
          <t>010ETO0320</t>
        </is>
      </c>
      <c r="G9" s="21" t="inlineStr">
        <is>
          <t>FIM PU PALMEIRANTE - ENTR. TO-335</t>
        </is>
      </c>
      <c r="H9" s="18" t="inlineStr">
        <is>
          <t>PPS</t>
        </is>
      </c>
      <c r="I9" s="18" t="inlineStr">
        <is>
          <t>-47.939469, -7.86542700041</t>
        </is>
      </c>
      <c r="J9" s="18" t="inlineStr">
        <is>
          <t>-48.0196780004, -7.84706399994</t>
        </is>
      </c>
      <c r="K9" s="19" t="n">
        <v>10.50916225</v>
      </c>
    </row>
    <row r="10" ht="30" customHeight="1">
      <c r="A10" s="20" t="n">
        <v>3</v>
      </c>
      <c r="B10" s="21" t="inlineStr">
        <is>
          <t>ARAGUAÍNA II</t>
        </is>
      </c>
      <c r="C10" s="22" t="n">
        <v>68</v>
      </c>
      <c r="D10" s="18" t="inlineStr">
        <is>
          <t>TO-010</t>
        </is>
      </c>
      <c r="E10" s="21" t="inlineStr">
        <is>
          <t>RODOVIA TO-010 - TRECHO PALMEIRANTE - ENTR. TO-222 (POVOADO BIELÂNDIA)</t>
        </is>
      </c>
      <c r="F10" s="18" t="inlineStr">
        <is>
          <t>010ETO0330</t>
        </is>
      </c>
      <c r="G10" s="21" t="inlineStr">
        <is>
          <t>ENTR. TO-335 - ENTR. TO-226</t>
        </is>
      </c>
      <c r="H10" s="18" t="inlineStr">
        <is>
          <t>PPS</t>
        </is>
      </c>
      <c r="I10" s="18" t="inlineStr">
        <is>
          <t>-48.0196780004, -7.84706399994</t>
        </is>
      </c>
      <c r="J10" s="18" t="inlineStr">
        <is>
          <t>-48.0717219996, -7.78855100029</t>
        </is>
      </c>
      <c r="K10" s="19" t="n">
        <v>9.148209074</v>
      </c>
    </row>
    <row r="11" ht="30" customHeight="1">
      <c r="A11" s="20" t="n">
        <v>3</v>
      </c>
      <c r="B11" s="21" t="inlineStr">
        <is>
          <t>ARAGUAÍNA II</t>
        </is>
      </c>
      <c r="C11" s="22" t="n">
        <v>68</v>
      </c>
      <c r="D11" s="18" t="inlineStr">
        <is>
          <t>TO-010</t>
        </is>
      </c>
      <c r="E11" s="21" t="inlineStr">
        <is>
          <t>RODOVIA TO-010 - TRECHO PALMEIRANTE - ENTR. TO-222 (POVOADO BIELÂNDIA)</t>
        </is>
      </c>
      <c r="F11" s="18" t="inlineStr">
        <is>
          <t>010ETO0340</t>
        </is>
      </c>
      <c r="G11" s="21" t="inlineStr">
        <is>
          <t>ENTR. TO-226 - POV. CICILÃNDIA</t>
        </is>
      </c>
      <c r="H11" s="18" t="inlineStr">
        <is>
          <t>PPS</t>
        </is>
      </c>
      <c r="I11" s="18" t="inlineStr">
        <is>
          <t>-48.0717219996, -7.78855100029</t>
        </is>
      </c>
      <c r="J11" s="18" t="inlineStr">
        <is>
          <t>-48.0271119998, -7.69757199995</t>
        </is>
      </c>
      <c r="K11" s="19" t="n">
        <v>11.53236045</v>
      </c>
    </row>
    <row r="12" ht="30" customHeight="1">
      <c r="A12" s="20" t="n">
        <v>3</v>
      </c>
      <c r="B12" s="21" t="inlineStr">
        <is>
          <t>ARAGUAÍNA II</t>
        </is>
      </c>
      <c r="C12" s="22" t="n">
        <v>68</v>
      </c>
      <c r="D12" s="18" t="inlineStr">
        <is>
          <t>TO-010</t>
        </is>
      </c>
      <c r="E12" s="21" t="inlineStr">
        <is>
          <t>RODOVIA TO-010 - TRECHO PALMEIRANTE - ENTR. TO-222 (POVOADO BIELÂNDIA)</t>
        </is>
      </c>
      <c r="F12" s="18" t="inlineStr">
        <is>
          <t>010ETO0350</t>
        </is>
      </c>
      <c r="G12" s="21" t="inlineStr">
        <is>
          <t>POV. CICILÃNDIA - ENTR. TO-130</t>
        </is>
      </c>
      <c r="H12" s="18" t="inlineStr">
        <is>
          <t>PPS</t>
        </is>
      </c>
      <c r="I12" s="18" t="inlineStr">
        <is>
          <t>-48.0271119998, -7.69757199995</t>
        </is>
      </c>
      <c r="J12" s="18" t="inlineStr">
        <is>
          <t>-47.8423730002, -7.60451099992</t>
        </is>
      </c>
      <c r="K12" s="19" t="n">
        <v>25.88829737</v>
      </c>
    </row>
    <row r="13" ht="30" customHeight="1">
      <c r="A13" s="20" t="n">
        <v>3</v>
      </c>
      <c r="B13" s="21" t="inlineStr">
        <is>
          <t>ARAGUAÍNA II</t>
        </is>
      </c>
      <c r="C13" s="22" t="n">
        <v>68</v>
      </c>
      <c r="D13" s="18" t="inlineStr">
        <is>
          <t>TO-010</t>
        </is>
      </c>
      <c r="E13" s="21" t="inlineStr">
        <is>
          <t>RODOVIA TO-010 - TRECHO PALMEIRANTE - ENTR. TO-222 (POVOADO BIELÂNDIA)</t>
        </is>
      </c>
      <c r="F13" s="18" t="inlineStr">
        <is>
          <t>010ETO0360</t>
        </is>
      </c>
      <c r="G13" s="21" t="inlineStr">
        <is>
          <t>ENTR. TO-130(A) - INÍCIO DUPLICAÇÃO(PU BIELÂNDIA)</t>
        </is>
      </c>
      <c r="H13" s="18" t="inlineStr">
        <is>
          <t>PPS</t>
        </is>
      </c>
      <c r="I13" s="18" t="inlineStr">
        <is>
          <t>-47.8423730002, -7.60451099992</t>
        </is>
      </c>
      <c r="J13" s="18" t="inlineStr">
        <is>
          <t>-47.85927, -7.48596199995</t>
        </is>
      </c>
      <c r="K13" s="19" t="n">
        <v>14.53971132</v>
      </c>
    </row>
    <row r="14" ht="30" customHeight="1">
      <c r="A14" s="20" t="n">
        <v>3</v>
      </c>
      <c r="B14" s="21" t="inlineStr">
        <is>
          <t>ARAGUAÍNA II</t>
        </is>
      </c>
      <c r="C14" s="22" t="n">
        <v>68</v>
      </c>
      <c r="D14" s="18" t="inlineStr">
        <is>
          <t>TO-010</t>
        </is>
      </c>
      <c r="E14" s="21" t="inlineStr">
        <is>
          <t>RODOVIA TO-010 - TRECHO PALMEIRANTE - ENTR. TO-222 (POVOADO BIELÂNDIA)</t>
        </is>
      </c>
      <c r="F14" s="18" t="inlineStr">
        <is>
          <t>010ETO0362D</t>
        </is>
      </c>
      <c r="G14" s="21" t="inlineStr">
        <is>
          <t>INÍCIO DUPLICAÇÃO(PU BIELÂNDIA) - ENTR. TO-130(B)/222(A)(PU BIELÂNDIA)</t>
        </is>
      </c>
      <c r="H14" s="18" t="inlineStr">
        <is>
          <t>PDU</t>
        </is>
      </c>
      <c r="I14" s="18" t="inlineStr">
        <is>
          <t>-47.8619919998, -7.48501900016</t>
        </is>
      </c>
      <c r="J14" s="18" t="inlineStr">
        <is>
          <t>-47.85927, -7.48596199995</t>
        </is>
      </c>
      <c r="K14" s="19" t="n">
        <v>0.33367655</v>
      </c>
    </row>
    <row r="15" ht="30" customHeight="1">
      <c r="A15" s="20" t="n">
        <v>3</v>
      </c>
      <c r="B15" s="21" t="inlineStr">
        <is>
          <t>ARAGUAÍNA II</t>
        </is>
      </c>
      <c r="C15" s="22" t="n">
        <v>68</v>
      </c>
      <c r="D15" s="18" t="inlineStr">
        <is>
          <t>TO-010</t>
        </is>
      </c>
      <c r="E15" s="21" t="inlineStr">
        <is>
          <t>RODOVIA TO-010 - TRECHO PALMEIRANTE - ENTR. TO-222 (POVOADO BIELÂNDIA)</t>
        </is>
      </c>
      <c r="F15" s="18" t="inlineStr">
        <is>
          <t>010ETO0362E</t>
        </is>
      </c>
      <c r="G15" s="21" t="inlineStr">
        <is>
          <t>INÍCIO DUPLICAÇÃO(PU BIELÂNDIA) - ENTR. TO-130(B)/222(A)(PU BIELÂNDIA)</t>
        </is>
      </c>
      <c r="H15" s="18" t="inlineStr">
        <is>
          <t>PDU</t>
        </is>
      </c>
      <c r="I15" s="18" t="inlineStr">
        <is>
          <t>-47.85927, -7.48596199995</t>
        </is>
      </c>
      <c r="J15" s="18" t="inlineStr">
        <is>
          <t>-47.8619919998, -7.48501900016</t>
        </is>
      </c>
      <c r="K15" s="19" t="n">
        <v>0.318474218</v>
      </c>
    </row>
    <row r="16" ht="30" customHeight="1">
      <c r="A16" s="20" t="n">
        <v>3</v>
      </c>
      <c r="B16" s="21" t="inlineStr">
        <is>
          <t>ARAGUAÍNA II</t>
        </is>
      </c>
      <c r="C16" s="22" t="n">
        <v>68</v>
      </c>
      <c r="D16" s="18" t="inlineStr">
        <is>
          <t>TO-010</t>
        </is>
      </c>
      <c r="E16" s="21" t="inlineStr">
        <is>
          <t>RODOVIA TO-010 - TRECHO PALMEIRANTE - ENTR. TO-222 (POVOADO BIELÂNDIA)</t>
        </is>
      </c>
      <c r="F16" s="18" t="inlineStr">
        <is>
          <t>010ETO0363</t>
        </is>
      </c>
      <c r="G16" s="21" t="inlineStr">
        <is>
          <t>ENTR. TO-130(B)/222(A)(PU BIELÂNDIA) - FIM PU BIELÂNDIA</t>
        </is>
      </c>
      <c r="H16" s="18" t="inlineStr">
        <is>
          <t>PPS</t>
        </is>
      </c>
      <c r="I16" s="18" t="inlineStr">
        <is>
          <t>-47.8619919998, -7.48501900016</t>
        </is>
      </c>
      <c r="J16" s="18" t="inlineStr">
        <is>
          <t>-47.8643430003, -7.48634199963</t>
        </is>
      </c>
      <c r="K16" s="19" t="n">
        <v>0.299078557</v>
      </c>
    </row>
    <row r="17" ht="30" customHeight="1">
      <c r="A17" s="20" t="n">
        <v>3</v>
      </c>
      <c r="B17" s="21" t="inlineStr">
        <is>
          <t>ARAGUAÍNA II</t>
        </is>
      </c>
      <c r="C17" s="22" t="n">
        <v>74</v>
      </c>
      <c r="D17" s="18" t="inlineStr">
        <is>
          <t>TO-010</t>
        </is>
      </c>
      <c r="E17" s="21" t="inlineStr">
        <is>
          <t>RODOVIA TO-222 - TRECHO ARAGUAÍNA - FILADÉLFIA</t>
        </is>
      </c>
      <c r="F17" s="18" t="inlineStr">
        <is>
          <t>010ETO0370</t>
        </is>
      </c>
      <c r="G17" s="21" t="inlineStr">
        <is>
          <t>FIM PU BIELÂNDIA - ENTR. TO-222(B)(POV FARTURÃO)</t>
        </is>
      </c>
      <c r="H17" s="18" t="inlineStr">
        <is>
          <t>PPS</t>
        </is>
      </c>
      <c r="I17" s="18" t="inlineStr">
        <is>
          <t>-47.8643430003, -7.48634199963</t>
        </is>
      </c>
      <c r="J17" s="18" t="inlineStr">
        <is>
          <t>-48.0107990003, -7.36597499965</t>
        </is>
      </c>
      <c r="K17" s="19" t="n">
        <v>25.92609888</v>
      </c>
    </row>
    <row r="18" ht="30" customHeight="1">
      <c r="A18" s="20" t="n">
        <v>3</v>
      </c>
      <c r="B18" s="21" t="inlineStr">
        <is>
          <t>ARAGUAÍNA II</t>
        </is>
      </c>
      <c r="C18" s="22" t="n">
        <v>69</v>
      </c>
      <c r="D18" s="18" t="inlineStr">
        <is>
          <t>TO-010</t>
        </is>
      </c>
      <c r="E18" s="21" t="inlineStr">
        <is>
          <t>RODOVIA TO-010 - TRECHO ENTR. TO-222 (POVOADO FARTURÃO) - BABAÇULÂNDIA</t>
        </is>
      </c>
      <c r="F18" s="18" t="inlineStr">
        <is>
          <t>010ETO0380</t>
        </is>
      </c>
      <c r="G18" s="21" t="inlineStr">
        <is>
          <t>ENTR. TO-222(B)(POV FARTURÃO) - ENTR. TO-424</t>
        </is>
      </c>
      <c r="H18" s="18" t="inlineStr">
        <is>
          <t>LEN</t>
        </is>
      </c>
      <c r="I18" s="18" t="inlineStr">
        <is>
          <t>-48.0107990003, -7.36597499965</t>
        </is>
      </c>
      <c r="J18" s="18" t="inlineStr">
        <is>
          <t>-47.7757070001, -7.24664600027</t>
        </is>
      </c>
      <c r="K18" s="19" t="n">
        <v>34.0141302351</v>
      </c>
    </row>
    <row r="19" ht="30" customHeight="1">
      <c r="A19" s="20" t="n">
        <v>3</v>
      </c>
      <c r="B19" s="21" t="inlineStr">
        <is>
          <t>ARAGUAÍNA II</t>
        </is>
      </c>
      <c r="C19" s="22" t="n">
        <v>69</v>
      </c>
      <c r="D19" s="18" t="inlineStr">
        <is>
          <t>TO-010</t>
        </is>
      </c>
      <c r="E19" s="21" t="inlineStr">
        <is>
          <t>RODOVIA TO-010 - TRECHO ENTR. TO-222 (POVOADO FARTURÃO) - BABAÇULÂNDIA</t>
        </is>
      </c>
      <c r="F19" s="18" t="inlineStr">
        <is>
          <t>010ETO0400</t>
        </is>
      </c>
      <c r="G19" s="21" t="inlineStr">
        <is>
          <t>ENTR. TO-424 - INÍCIO PAVIMENTAÇÃO</t>
        </is>
      </c>
      <c r="H19" s="18" t="inlineStr">
        <is>
          <t>LEN</t>
        </is>
      </c>
      <c r="I19" s="18" t="inlineStr">
        <is>
          <t>-47.7757070001, -7.24664600027</t>
        </is>
      </c>
      <c r="J19" s="18" t="inlineStr">
        <is>
          <t>-47.7627979996, -7.2193439996</t>
        </is>
      </c>
      <c r="K19" s="19" t="n">
        <v>3.438244145</v>
      </c>
    </row>
    <row r="20" ht="30" customHeight="1">
      <c r="A20" s="20" t="n">
        <v>3</v>
      </c>
      <c r="B20" s="21" t="inlineStr">
        <is>
          <t>ARAGUAÍNA II</t>
        </is>
      </c>
      <c r="C20" s="22" t="n">
        <v>70</v>
      </c>
      <c r="D20" s="18" t="inlineStr">
        <is>
          <t>TO-010</t>
        </is>
      </c>
      <c r="E20" s="21" t="inlineStr">
        <is>
          <t>RODOVIA TO-010 - TRECHO BABAÇULÂNDIA - WANDERLÂNDIA</t>
        </is>
      </c>
      <c r="F20" s="18" t="inlineStr">
        <is>
          <t>010ETO0402</t>
        </is>
      </c>
      <c r="G20" s="21" t="inlineStr">
        <is>
          <t>INÍCIO PAVIMENTAÇÃO - INÍCIO PU BABAÇULÂNDIA</t>
        </is>
      </c>
      <c r="H20" s="18" t="inlineStr">
        <is>
          <t>PPS</t>
        </is>
      </c>
      <c r="I20" s="18" t="inlineStr">
        <is>
          <t>-47.7627979996, -7.2193439996</t>
        </is>
      </c>
      <c r="J20" s="18" t="inlineStr">
        <is>
          <t>-47.7550859998, -7.20999700022</t>
        </is>
      </c>
      <c r="K20" s="19" t="n">
        <v>1.393743718</v>
      </c>
    </row>
    <row r="21" ht="30" customHeight="1">
      <c r="A21" s="20" t="n">
        <v>3</v>
      </c>
      <c r="B21" s="21" t="inlineStr">
        <is>
          <t>ARAGUAÍNA II</t>
        </is>
      </c>
      <c r="C21" s="22" t="n">
        <v>70</v>
      </c>
      <c r="D21" s="18" t="inlineStr">
        <is>
          <t>TO-010</t>
        </is>
      </c>
      <c r="E21" s="21" t="inlineStr">
        <is>
          <t>RODOVIA TO-010 - TRECHO BABAÇULÂNDIA - WANDERLÂNDIA</t>
        </is>
      </c>
      <c r="F21" s="18" t="inlineStr">
        <is>
          <t>010ETO0403</t>
        </is>
      </c>
      <c r="G21" s="21" t="inlineStr">
        <is>
          <t>INÍCIO PU BABAÇULÂNDIA - ENTR. TO-424(FIM PU BABAÇULÂNDIA)</t>
        </is>
      </c>
      <c r="H21" s="18" t="inlineStr">
        <is>
          <t>PSU</t>
        </is>
      </c>
      <c r="I21" s="18" t="inlineStr">
        <is>
          <t>-47.7550859998, -7.20999700022</t>
        </is>
      </c>
      <c r="J21" s="18" t="inlineStr">
        <is>
          <t>-47.7848522041, -7.19105096454</t>
        </is>
      </c>
      <c r="K21" s="19" t="n">
        <v>4.279244642</v>
      </c>
    </row>
    <row r="22" ht="30" customHeight="1">
      <c r="A22" s="20" t="n">
        <v>3</v>
      </c>
      <c r="B22" s="21" t="inlineStr">
        <is>
          <t>ARAGUAÍNA II</t>
        </is>
      </c>
      <c r="C22" s="22" t="n">
        <v>70</v>
      </c>
      <c r="D22" s="18" t="inlineStr">
        <is>
          <t>TO-010</t>
        </is>
      </c>
      <c r="E22" s="21" t="inlineStr">
        <is>
          <t>RODOVIA TO-010 - TRECHO BABAÇULÂNDIA - WANDERLÂNDIA</t>
        </is>
      </c>
      <c r="F22" s="18" t="inlineStr">
        <is>
          <t>010ETO0420</t>
        </is>
      </c>
      <c r="G22" s="21" t="inlineStr">
        <is>
          <t>ENTR. TO-424(FIM PU BABAÇULÂNDIA) - INÍCIO PU WANDERLÂNDIA</t>
        </is>
      </c>
      <c r="H22" s="18" t="inlineStr">
        <is>
          <t>PPS</t>
        </is>
      </c>
      <c r="I22" s="18" t="inlineStr">
        <is>
          <t>-47.7848522041, -7.19105096454</t>
        </is>
      </c>
      <c r="J22" s="18" t="inlineStr">
        <is>
          <t>-47.9585359999, -6.8592109997</t>
        </is>
      </c>
      <c r="K22" s="19" t="n">
        <v>54.2160632453</v>
      </c>
    </row>
    <row r="23" ht="30" customHeight="1">
      <c r="A23" s="20" t="n">
        <v>3</v>
      </c>
      <c r="B23" s="21" t="inlineStr">
        <is>
          <t>ARAGUAÍNA II</t>
        </is>
      </c>
      <c r="C23" s="22" t="n">
        <v>70</v>
      </c>
      <c r="D23" s="18" t="inlineStr">
        <is>
          <t>TO-010</t>
        </is>
      </c>
      <c r="E23" s="21" t="inlineStr">
        <is>
          <t>RODOVIA TO-010 - TRECHO BABAÇULÂNDIA - WANDERLÂNDIA</t>
        </is>
      </c>
      <c r="F23" s="18" t="inlineStr">
        <is>
          <t>010ETO0422</t>
        </is>
      </c>
      <c r="G23" s="21" t="inlineStr">
        <is>
          <t>INÍCIO PU WANDERLÂNDIA - ENTR. BR-226(PU WANDERLÂNDIA)</t>
        </is>
      </c>
      <c r="H23" s="18" t="inlineStr">
        <is>
          <t>PSU</t>
        </is>
      </c>
      <c r="I23" s="18" t="inlineStr">
        <is>
          <t>-47.9585359999, -6.8592109997</t>
        </is>
      </c>
      <c r="J23" s="18" t="inlineStr">
        <is>
          <t>-47.9640798071, -6.84916663515</t>
        </is>
      </c>
      <c r="K23" s="19" t="n">
        <v>1.269838201</v>
      </c>
    </row>
    <row r="24" ht="30" customHeight="1">
      <c r="A24" s="20" t="n">
        <v>3</v>
      </c>
      <c r="B24" s="21" t="inlineStr">
        <is>
          <t>ARAGUAÍNA II</t>
        </is>
      </c>
      <c r="C24" s="22" t="n">
        <v>71</v>
      </c>
      <c r="D24" s="18" t="inlineStr">
        <is>
          <t>TO-020</t>
        </is>
      </c>
      <c r="E24" s="21" t="inlineStr">
        <is>
          <t>RODOVIA TO-020 - TRECHO RECURSOLÂNDIA - CAMPOS LINDOS</t>
        </is>
      </c>
      <c r="F24" s="18" t="inlineStr">
        <is>
          <t>020ETO0210</t>
        </is>
      </c>
      <c r="G24" s="21" t="inlineStr">
        <is>
          <t>ENTR. TO-428 (RANCHARIA) - INICIO PAVIMENTAÇÃO</t>
        </is>
      </c>
      <c r="H24" s="18" t="inlineStr">
        <is>
          <t>LEN</t>
        </is>
      </c>
      <c r="I24" s="18" t="inlineStr">
        <is>
          <t>-46.8477491159, -8.33227524588</t>
        </is>
      </c>
      <c r="J24" s="18" t="inlineStr">
        <is>
          <t>-46.728185, -8.155513</t>
        </is>
      </c>
      <c r="K24" s="19" t="n">
        <v>54.6208663064</v>
      </c>
    </row>
    <row r="25" ht="30" customHeight="1">
      <c r="A25" s="20" t="n">
        <v>3</v>
      </c>
      <c r="B25" s="21" t="inlineStr">
        <is>
          <t>ARAGUAÍNA II</t>
        </is>
      </c>
      <c r="C25" s="22" t="n">
        <v>71</v>
      </c>
      <c r="D25" s="18" t="inlineStr">
        <is>
          <t>TO-020</t>
        </is>
      </c>
      <c r="E25" s="21" t="inlineStr">
        <is>
          <t>RODOVIA TO-020 - TRECHO RECURSOLÂNDIA - CAMPOS LINDOS</t>
        </is>
      </c>
      <c r="F25" s="18" t="inlineStr">
        <is>
          <t>020ETO0212</t>
        </is>
      </c>
      <c r="G25" s="21" t="inlineStr">
        <is>
          <t>INÍCIO PAVIMENTAÇÃO - INÍCIO PU CAMPOS LINDOS</t>
        </is>
      </c>
      <c r="H25" s="18" t="inlineStr">
        <is>
          <t>PPS</t>
        </is>
      </c>
      <c r="I25" s="18" t="inlineStr">
        <is>
          <t>-46.7282652088, -8.15562471055</t>
        </is>
      </c>
      <c r="J25" s="18" t="inlineStr">
        <is>
          <t>-46.791937446, -7.98161616314</t>
        </is>
      </c>
      <c r="K25" s="19" t="n">
        <v>33.8287503671</v>
      </c>
    </row>
    <row r="26" ht="30" customHeight="1">
      <c r="A26" s="20" t="n">
        <v>3</v>
      </c>
      <c r="B26" s="21" t="inlineStr">
        <is>
          <t>ARAGUAÍNA II</t>
        </is>
      </c>
      <c r="C26" s="22" t="n">
        <v>71</v>
      </c>
      <c r="D26" s="18" t="inlineStr">
        <is>
          <t>TO-020</t>
        </is>
      </c>
      <c r="E26" s="21" t="inlineStr">
        <is>
          <t>RODOVIA TO-020 - TRECHO RECURSOLÂNDIA - CAMPOS LINDOS</t>
        </is>
      </c>
      <c r="F26" s="18" t="inlineStr">
        <is>
          <t>020ETO0215</t>
        </is>
      </c>
      <c r="G26" s="21" t="inlineStr">
        <is>
          <t>INÍCIO PU CAMPOS LINDOS - ENTR. TO-226(PU CAMPOS LINDOS)</t>
        </is>
      </c>
      <c r="H26" s="18" t="inlineStr">
        <is>
          <t>PSU</t>
        </is>
      </c>
      <c r="I26" s="18" t="inlineStr">
        <is>
          <t>-46.7919097046, -7.98164022541</t>
        </is>
      </c>
      <c r="J26" s="18" t="inlineStr">
        <is>
          <t>-46.8091439997, -7.9655610002</t>
        </is>
      </c>
      <c r="K26" s="19" t="n">
        <v>2.7637118718</v>
      </c>
    </row>
    <row r="27" ht="30" customHeight="1">
      <c r="A27" s="20" t="n">
        <v>3</v>
      </c>
      <c r="B27" s="21" t="inlineStr">
        <is>
          <t>ARAGUAÍNA II</t>
        </is>
      </c>
      <c r="C27" s="22" t="n">
        <v>72</v>
      </c>
      <c r="D27" s="18" t="inlineStr">
        <is>
          <t>TO-130</t>
        </is>
      </c>
      <c r="E27" s="21" t="inlineStr">
        <is>
          <t>RODOVIA TO-130 - TRECHO ENTR. TO-424 - TRECHO ENTR. TO-222</t>
        </is>
      </c>
      <c r="F27" s="18" t="inlineStr">
        <is>
          <t>130ETO0010</t>
        </is>
      </c>
      <c r="G27" s="21" t="inlineStr">
        <is>
          <t>ENTR. TO-424 - ENTR. TO-222(A)</t>
        </is>
      </c>
      <c r="H27" s="18" t="inlineStr">
        <is>
          <t>LEN</t>
        </is>
      </c>
      <c r="I27" s="18" t="inlineStr">
        <is>
          <t>-47.7158096555, -7.42749554832</t>
        </is>
      </c>
      <c r="J27" s="18" t="inlineStr">
        <is>
          <t>-47.6900519236, -7.31819531295</t>
        </is>
      </c>
      <c r="K27" s="19" t="n">
        <v>19.2398470392</v>
      </c>
    </row>
    <row r="28" ht="45" customHeight="1">
      <c r="A28" s="20" t="n">
        <v>3</v>
      </c>
      <c r="B28" s="21" t="inlineStr">
        <is>
          <t>ARAGUAÍNA II</t>
        </is>
      </c>
      <c r="C28" s="22" t="n">
        <v>73</v>
      </c>
      <c r="D28" s="18" t="inlineStr">
        <is>
          <t>TO-130</t>
        </is>
      </c>
      <c r="E28" s="21" t="inlineStr">
        <is>
          <t>RODOVIA TO-130 - TRECHO ENTR. TO-010 - TRECHO BARRA DO OURO - ENTR. BR-010 (POVOADO MORRO GRANDE)</t>
        </is>
      </c>
      <c r="F28" s="18" t="inlineStr">
        <is>
          <t>130ETO0015</t>
        </is>
      </c>
      <c r="G28" s="21" t="inlineStr">
        <is>
          <t>ENTR. TO-222(A) - INICIO PU BIELÂNDIA</t>
        </is>
      </c>
      <c r="H28" s="18" t="inlineStr">
        <is>
          <t>PPS</t>
        </is>
      </c>
      <c r="I28" s="18" t="inlineStr">
        <is>
          <t>-47.7158096555, -7.42749554832</t>
        </is>
      </c>
      <c r="J28" s="18" t="inlineStr">
        <is>
          <t>-47.8595369998, -7.4818029999</t>
        </is>
      </c>
      <c r="K28" s="19" t="n">
        <v>19.8619361057</v>
      </c>
    </row>
    <row r="29" ht="45" customHeight="1">
      <c r="A29" s="20" t="n">
        <v>3</v>
      </c>
      <c r="B29" s="21" t="inlineStr">
        <is>
          <t>ARAGUAÍNA II</t>
        </is>
      </c>
      <c r="C29" s="22" t="n">
        <v>73</v>
      </c>
      <c r="D29" s="18" t="inlineStr">
        <is>
          <t>TO-130</t>
        </is>
      </c>
      <c r="E29" s="21" t="inlineStr">
        <is>
          <t>RODOVIA TO-130 - TRECHO ENTR. TO-010 - TRECHO BARRA DO OURO - ENTR. BR-010 (POVOADO MORRO GRANDE)</t>
        </is>
      </c>
      <c r="F29" s="18" t="inlineStr">
        <is>
          <t>130ETO0017</t>
        </is>
      </c>
      <c r="G29" s="21" t="inlineStr">
        <is>
          <t>INICIO PU BIELÂNDIA - ENTR. TO-010(A)/222(B)(PU BIELÂNDIA)</t>
        </is>
      </c>
      <c r="H29" s="18" t="inlineStr">
        <is>
          <t>PSU</t>
        </is>
      </c>
      <c r="I29" s="18" t="inlineStr">
        <is>
          <t>-47.8595369998, -7.4818029999</t>
        </is>
      </c>
      <c r="J29" s="18" t="inlineStr">
        <is>
          <t>-47.8619919998, -7.48501900016</t>
        </is>
      </c>
      <c r="K29" s="19" t="n">
        <v>0.447934038</v>
      </c>
    </row>
    <row r="30" ht="45" customHeight="1">
      <c r="A30" s="20" t="n">
        <v>3</v>
      </c>
      <c r="B30" s="21" t="inlineStr">
        <is>
          <t>ARAGUAÍNA II</t>
        </is>
      </c>
      <c r="C30" s="22" t="n">
        <v>73</v>
      </c>
      <c r="D30" s="18" t="inlineStr">
        <is>
          <t>TO-130</t>
        </is>
      </c>
      <c r="E30" s="21" t="inlineStr">
        <is>
          <t>RODOVIA TO-130 - TRECHO ENTR. TO-010 - TRECHO BARRA DO OURO - ENTR. BR-010 (POVOADO MORRO GRANDE)</t>
        </is>
      </c>
      <c r="F30" s="18" t="inlineStr">
        <is>
          <t>130ETO0040</t>
        </is>
      </c>
      <c r="G30" s="21" t="inlineStr">
        <is>
          <t>ENTR. TO-010(B) - INÍCIO PU BARRA DO OURO</t>
        </is>
      </c>
      <c r="H30" s="18" t="inlineStr">
        <is>
          <t>PPS</t>
        </is>
      </c>
      <c r="I30" s="18" t="inlineStr">
        <is>
          <t>-47.6795380003, -7.70854200017</t>
        </is>
      </c>
      <c r="J30" s="18" t="inlineStr">
        <is>
          <t>-47.8423730002, -7.60451099992</t>
        </is>
      </c>
      <c r="K30" s="19" t="n">
        <v>24.3750150502</v>
      </c>
    </row>
    <row r="31" ht="45" customHeight="1">
      <c r="A31" s="20" t="n">
        <v>3</v>
      </c>
      <c r="B31" s="21" t="inlineStr">
        <is>
          <t>ARAGUAÍNA II</t>
        </is>
      </c>
      <c r="C31" s="22" t="n">
        <v>73</v>
      </c>
      <c r="D31" s="18" t="inlineStr">
        <is>
          <t>TO-130</t>
        </is>
      </c>
      <c r="E31" s="21" t="inlineStr">
        <is>
          <t>RODOVIA TO-130 - TRECHO ENTR. TO-010 - TRECHO BARRA DO OURO - ENTR. BR-010 (POVOADO MORRO GRANDE)</t>
        </is>
      </c>
      <c r="F31" s="18" t="inlineStr">
        <is>
          <t>130ETO0042</t>
        </is>
      </c>
      <c r="G31" s="21" t="inlineStr">
        <is>
          <t>INÍCIO PU BARRA DO OURO - FIM PU BARRA DO OURO</t>
        </is>
      </c>
      <c r="H31" s="18" t="inlineStr">
        <is>
          <t>PSU</t>
        </is>
      </c>
      <c r="I31" s="18" t="inlineStr">
        <is>
          <t>-47.6592100002, -7.71337199995</t>
        </is>
      </c>
      <c r="J31" s="18" t="inlineStr">
        <is>
          <t>-47.6795380003, -7.70854200017</t>
        </is>
      </c>
      <c r="K31" s="19" t="n">
        <v>2.415455514</v>
      </c>
    </row>
    <row r="32" ht="45" customHeight="1">
      <c r="A32" s="20" t="n">
        <v>3</v>
      </c>
      <c r="B32" s="21" t="inlineStr">
        <is>
          <t>ARAGUAÍNA II</t>
        </is>
      </c>
      <c r="C32" s="22" t="n">
        <v>73</v>
      </c>
      <c r="D32" s="18" t="inlineStr">
        <is>
          <t>TO-130</t>
        </is>
      </c>
      <c r="E32" s="21" t="inlineStr">
        <is>
          <t>RODOVIA TO-130 - TRECHO ENTR. TO-010 - TRECHO BARRA DO OURO - ENTR. BR-010 (POVOADO MORRO GRANDE)</t>
        </is>
      </c>
      <c r="F32" s="18" t="inlineStr">
        <is>
          <t>130ETO0060</t>
        </is>
      </c>
      <c r="G32" s="21" t="inlineStr">
        <is>
          <t>FIM PU BARRA DO OURO - ENTR. TO-425</t>
        </is>
      </c>
      <c r="H32" s="18" t="inlineStr">
        <is>
          <t>PPS</t>
        </is>
      </c>
      <c r="I32" s="18" t="inlineStr">
        <is>
          <t>-47.6419079996, -7.71986599976</t>
        </is>
      </c>
      <c r="J32" s="18" t="inlineStr">
        <is>
          <t>-47.6592100002, -7.71337199995</t>
        </is>
      </c>
      <c r="K32" s="19" t="n">
        <v>2.182333699</v>
      </c>
    </row>
    <row r="33" ht="45" customHeight="1">
      <c r="A33" s="20" t="n">
        <v>3</v>
      </c>
      <c r="B33" s="21" t="inlineStr">
        <is>
          <t>ARAGUAÍNA II</t>
        </is>
      </c>
      <c r="C33" s="22" t="n">
        <v>73</v>
      </c>
      <c r="D33" s="18" t="inlineStr">
        <is>
          <t>TO-130</t>
        </is>
      </c>
      <c r="E33" s="21" t="inlineStr">
        <is>
          <t>RODOVIA TO-130 - TRECHO ENTR. TO-010 - TRECHO BARRA DO OURO - ENTR. BR-010 (POVOADO MORRO GRANDE)</t>
        </is>
      </c>
      <c r="F33" s="18" t="inlineStr">
        <is>
          <t>130ETO0070</t>
        </is>
      </c>
      <c r="G33" s="21" t="inlineStr">
        <is>
          <t>ENTR. TO-425 - INÍCIO PU MORRO GRANDE</t>
        </is>
      </c>
      <c r="H33" s="18" t="inlineStr">
        <is>
          <t>PPS</t>
        </is>
      </c>
      <c r="I33" s="18" t="inlineStr">
        <is>
          <t>-47.5441279996, -7.84723299971</t>
        </is>
      </c>
      <c r="J33" s="18" t="inlineStr">
        <is>
          <t>-47.6419079996, -7.71986599976</t>
        </is>
      </c>
      <c r="K33" s="19" t="n">
        <v>19.4155215493</v>
      </c>
    </row>
    <row r="34" ht="45" customHeight="1">
      <c r="A34" s="20" t="n">
        <v>3</v>
      </c>
      <c r="B34" s="21" t="inlineStr">
        <is>
          <t>ARAGUAÍNA II</t>
        </is>
      </c>
      <c r="C34" s="22" t="n">
        <v>73</v>
      </c>
      <c r="D34" s="18" t="inlineStr">
        <is>
          <t>TO-130</t>
        </is>
      </c>
      <c r="E34" s="21" t="inlineStr">
        <is>
          <t>RODOVIA TO-130 - TRECHO ENTR. TO-010 - TRECHO BARRA DO OURO - ENTR. BR-010 (POVOADO MORRO GRANDE)</t>
        </is>
      </c>
      <c r="F34" s="18" t="inlineStr">
        <is>
          <t>130ETO0072</t>
        </is>
      </c>
      <c r="G34" s="21" t="inlineStr">
        <is>
          <t>INÍCIO PU MORRO GRANDE - ENTR. BR-010(PU MORRO GRANDE)</t>
        </is>
      </c>
      <c r="H34" s="18" t="inlineStr">
        <is>
          <t>PSU</t>
        </is>
      </c>
      <c r="I34" s="18" t="inlineStr">
        <is>
          <t>-47.5338905001, -7.84980546016</t>
        </is>
      </c>
      <c r="J34" s="18" t="inlineStr">
        <is>
          <t>-47.5441279996, -7.84723299971</t>
        </is>
      </c>
      <c r="K34" s="19" t="n">
        <v>1.705731369</v>
      </c>
    </row>
    <row r="35" ht="30" customHeight="1">
      <c r="A35" s="20" t="n">
        <v>3</v>
      </c>
      <c r="B35" s="21" t="inlineStr">
        <is>
          <t>ARAGUAÍNA II</t>
        </is>
      </c>
      <c r="C35" s="22" t="n">
        <v>74</v>
      </c>
      <c r="D35" s="18" t="inlineStr">
        <is>
          <t>TO-222</t>
        </is>
      </c>
      <c r="E35" s="21" t="inlineStr">
        <is>
          <t>RODOVIA TO-222 - TRECHO ARAGUAÍNA - FILADÉLFIA</t>
        </is>
      </c>
      <c r="F35" s="18" t="inlineStr">
        <is>
          <t>222ETO0005</t>
        </is>
      </c>
      <c r="G35" s="21" t="inlineStr">
        <is>
          <t>RIO TOCANTINS(PU FILADÉLFIA) - FIM PU FILADÉLFIA</t>
        </is>
      </c>
      <c r="H35" s="18" t="inlineStr">
        <is>
          <t>PSU</t>
        </is>
      </c>
      <c r="I35" s="18" t="inlineStr">
        <is>
          <t>-47.5056049996, -7.34016099983</t>
        </is>
      </c>
      <c r="J35" s="18" t="inlineStr">
        <is>
          <t>-47.4873107892, -7.33693150793</t>
        </is>
      </c>
      <c r="K35" s="19" t="n">
        <v>2.092637961</v>
      </c>
    </row>
    <row r="36" ht="30" customHeight="1">
      <c r="A36" s="20" t="n">
        <v>3</v>
      </c>
      <c r="B36" s="21" t="inlineStr">
        <is>
          <t>ARAGUAÍNA II</t>
        </is>
      </c>
      <c r="C36" s="22" t="n">
        <v>74</v>
      </c>
      <c r="D36" s="18" t="inlineStr">
        <is>
          <t>TO-222</t>
        </is>
      </c>
      <c r="E36" s="21" t="inlineStr">
        <is>
          <t>RODOVIA TO-222 - TRECHO ARAGUAÍNA - FILADÉLFIA</t>
        </is>
      </c>
      <c r="F36" s="18" t="inlineStr">
        <is>
          <t>222ETO0010</t>
        </is>
      </c>
      <c r="G36" s="21" t="inlineStr">
        <is>
          <t>FIM PU FILADÉLFIA</t>
        </is>
      </c>
      <c r="H36" s="18" t="inlineStr">
        <is>
          <t>PPS</t>
        </is>
      </c>
      <c r="I36" s="18" t="inlineStr">
        <is>
          <t>-47.5056049996, -7.34016099983</t>
        </is>
      </c>
      <c r="J36" s="18" t="inlineStr">
        <is>
          <t>-47.5663020001, -7.35436200011</t>
        </is>
      </c>
      <c r="K36" s="19" t="n">
        <v>6.963179955</v>
      </c>
    </row>
    <row r="37" ht="30" customHeight="1">
      <c r="A37" s="20" t="n">
        <v>3</v>
      </c>
      <c r="B37" s="21" t="inlineStr">
        <is>
          <t>ARAGUAÍNA II</t>
        </is>
      </c>
      <c r="C37" s="22" t="n">
        <v>74</v>
      </c>
      <c r="D37" s="18" t="inlineStr">
        <is>
          <t>TO-222</t>
        </is>
      </c>
      <c r="E37" s="21" t="inlineStr">
        <is>
          <t>RODOVIA TO-222 - TRECHO ARAGUAÍNA - FILADÉLFIA</t>
        </is>
      </c>
      <c r="F37" s="18" t="inlineStr">
        <is>
          <t>222ETO0020</t>
        </is>
      </c>
      <c r="G37" s="21" t="inlineStr">
        <is>
          <t>ENTR. TO-424 - ENTR. TO-130(A)</t>
        </is>
      </c>
      <c r="H37" s="18" t="inlineStr">
        <is>
          <t>PPS</t>
        </is>
      </c>
      <c r="I37" s="18" t="inlineStr">
        <is>
          <t>-47.5663020001, -7.35436200011</t>
        </is>
      </c>
      <c r="J37" s="18" t="inlineStr">
        <is>
          <t>-47.7158096555, -7.42749554832</t>
        </is>
      </c>
      <c r="K37" s="19" t="n">
        <v>21.6007819529</v>
      </c>
    </row>
    <row r="38" ht="30" customHeight="1">
      <c r="A38" s="20" t="n">
        <v>3</v>
      </c>
      <c r="B38" s="21" t="inlineStr">
        <is>
          <t>ARAGUAÍNA II</t>
        </is>
      </c>
      <c r="C38" s="22" t="n">
        <v>74</v>
      </c>
      <c r="D38" s="18" t="inlineStr">
        <is>
          <t>TO-222</t>
        </is>
      </c>
      <c r="E38" s="21" t="inlineStr">
        <is>
          <t>RODOVIA TO-222 - TRECHO ARAGUAÍNA - FILADÉLFIA</t>
        </is>
      </c>
      <c r="F38" s="18" t="inlineStr">
        <is>
          <t>222ETO0232</t>
        </is>
      </c>
      <c r="G38" s="21" t="inlineStr">
        <is>
          <t>ENTR. TO-010(B)(POV FARTURÃO) - INÍCIO DUPLICAÇÃO</t>
        </is>
      </c>
      <c r="H38" s="18" t="inlineStr">
        <is>
          <t>PPS</t>
        </is>
      </c>
      <c r="I38" s="18" t="inlineStr">
        <is>
          <t>-48.0107990003, -7.36597499965</t>
        </is>
      </c>
      <c r="J38" s="18" t="inlineStr">
        <is>
          <t>-48.0649120004, -7.33261000032</t>
        </is>
      </c>
      <c r="K38" s="19" t="n">
        <v>7.128054263</v>
      </c>
    </row>
    <row r="39" ht="30" customHeight="1">
      <c r="A39" s="20" t="n">
        <v>3</v>
      </c>
      <c r="B39" s="21" t="inlineStr">
        <is>
          <t>ARAGUAÍNA II</t>
        </is>
      </c>
      <c r="C39" s="22" t="n">
        <v>74</v>
      </c>
      <c r="D39" s="18" t="inlineStr">
        <is>
          <t>TO-222</t>
        </is>
      </c>
      <c r="E39" s="21" t="inlineStr">
        <is>
          <t>RODOVIA TO-222 - TRECHO ARAGUAÍNA - FILADÉLFIA</t>
        </is>
      </c>
      <c r="F39" s="18" t="inlineStr">
        <is>
          <t>222ETO0233D</t>
        </is>
      </c>
      <c r="G39" s="21" t="inlineStr">
        <is>
          <t>INÍCIO DUPLICAÇÃO - FIM DUPLICAÇÃO</t>
        </is>
      </c>
      <c r="H39" s="18" t="inlineStr">
        <is>
          <t>DUP</t>
        </is>
      </c>
      <c r="I39" s="18" t="inlineStr">
        <is>
          <t>-48.0649120004, -7.33261000032</t>
        </is>
      </c>
      <c r="J39" s="18" t="inlineStr">
        <is>
          <t>-48.0688619997, -7.32900800009</t>
        </is>
      </c>
      <c r="K39" s="19" t="n">
        <v>0.594246248</v>
      </c>
    </row>
    <row r="40" ht="30" customHeight="1">
      <c r="A40" s="20" t="n">
        <v>3</v>
      </c>
      <c r="B40" s="21" t="inlineStr">
        <is>
          <t>ARAGUAÍNA II</t>
        </is>
      </c>
      <c r="C40" s="22" t="n">
        <v>74</v>
      </c>
      <c r="D40" s="18" t="inlineStr">
        <is>
          <t>TO-222</t>
        </is>
      </c>
      <c r="E40" s="21" t="inlineStr">
        <is>
          <t>RODOVIA TO-222 - TRECHO ARAGUAÍNA - FILADÉLFIA</t>
        </is>
      </c>
      <c r="F40" s="18" t="inlineStr">
        <is>
          <t>222ETO0233E</t>
        </is>
      </c>
      <c r="G40" s="21" t="inlineStr">
        <is>
          <t>INÍCIO DUPLICAÇÃO - FIM DUPLICAÇÃO</t>
        </is>
      </c>
      <c r="H40" s="18" t="inlineStr">
        <is>
          <t>DUP</t>
        </is>
      </c>
      <c r="I40" s="18" t="inlineStr">
        <is>
          <t>-48.0688619997, -7.32900800009</t>
        </is>
      </c>
      <c r="J40" s="18" t="inlineStr">
        <is>
          <t>-48.0649120004, -7.33261000032</t>
        </is>
      </c>
      <c r="K40" s="19" t="n">
        <v>0.599711808</v>
      </c>
    </row>
    <row r="41" ht="30" customHeight="1">
      <c r="A41" s="20" t="n">
        <v>3</v>
      </c>
      <c r="B41" s="21" t="inlineStr">
        <is>
          <t>ARAGUAÍNA II</t>
        </is>
      </c>
      <c r="C41" s="22" t="n">
        <v>74</v>
      </c>
      <c r="D41" s="18" t="inlineStr">
        <is>
          <t>TO-222</t>
        </is>
      </c>
      <c r="E41" s="21" t="inlineStr">
        <is>
          <t>RODOVIA TO-222 - TRECHO ARAGUAÍNA - FILADÉLFIA</t>
        </is>
      </c>
      <c r="F41" s="18" t="inlineStr">
        <is>
          <t>222ETO0060</t>
        </is>
      </c>
      <c r="G41" s="21" t="inlineStr">
        <is>
          <t>FIM DUPLICAÇÃO - ENTR. TO-424</t>
        </is>
      </c>
      <c r="H41" s="18" t="inlineStr">
        <is>
          <t>PPS</t>
        </is>
      </c>
      <c r="I41" s="18" t="inlineStr">
        <is>
          <t>-48.0688619997, -7.32900800009</t>
        </is>
      </c>
      <c r="J41" s="18" t="inlineStr">
        <is>
          <t>-48.0732240002, -7.32503599975</t>
        </is>
      </c>
      <c r="K41" s="19" t="n">
        <v>0.652572566</v>
      </c>
    </row>
    <row r="42" ht="30" customHeight="1">
      <c r="A42" s="20" t="n">
        <v>3</v>
      </c>
      <c r="B42" s="21" t="inlineStr">
        <is>
          <t>ARAGUAÍNA II</t>
        </is>
      </c>
      <c r="C42" s="22" t="n">
        <v>74</v>
      </c>
      <c r="D42" s="18" t="inlineStr">
        <is>
          <t>TO-222</t>
        </is>
      </c>
      <c r="E42" s="21" t="inlineStr">
        <is>
          <t>RODOVIA TO-222 - TRECHO ARAGUAÍNA - FILADÉLFIA</t>
        </is>
      </c>
      <c r="F42" s="18" t="inlineStr">
        <is>
          <t>222ETO0070</t>
        </is>
      </c>
      <c r="G42" s="21" t="inlineStr">
        <is>
          <t>ENTR. TO-424 - INÍCIO PU ARAGUAÍNA</t>
        </is>
      </c>
      <c r="H42" s="18" t="inlineStr">
        <is>
          <t>PPS</t>
        </is>
      </c>
      <c r="I42" s="18" t="inlineStr">
        <is>
          <t>-48.0732240002, -7.32503599975</t>
        </is>
      </c>
      <c r="J42" s="18" t="inlineStr">
        <is>
          <t>-48.1700780003, -7.21246299978</t>
        </is>
      </c>
      <c r="K42" s="19" t="n">
        <v>16.87887052</v>
      </c>
    </row>
    <row r="43" ht="30" customHeight="1">
      <c r="A43" s="20" t="n">
        <v>3</v>
      </c>
      <c r="B43" s="21" t="inlineStr">
        <is>
          <t>ARAGUAÍNA II</t>
        </is>
      </c>
      <c r="C43" s="22" t="n">
        <v>77</v>
      </c>
      <c r="D43" s="18" t="inlineStr">
        <is>
          <t>TO-226</t>
        </is>
      </c>
      <c r="E43" s="21" t="inlineStr">
        <is>
          <t>RODOVIA TO-226 - TRECHO GOIATINS - CAMPOS LINDOS - DIV TO-MA</t>
        </is>
      </c>
      <c r="F43" s="18" t="inlineStr">
        <is>
          <t>226ETO0010</t>
        </is>
      </c>
      <c r="G43" s="21" t="inlineStr">
        <is>
          <t>DIV TO/MA - ENTR. TO-020(PU CAMPOS LINDOS)</t>
        </is>
      </c>
      <c r="H43" s="18" t="inlineStr">
        <is>
          <t>PPS</t>
        </is>
      </c>
      <c r="I43" s="18" t="inlineStr">
        <is>
          <t>-46.8091439997, -7.9655610002</t>
        </is>
      </c>
      <c r="J43" s="18" t="inlineStr">
        <is>
          <t>-46.811001417, -7.95222596825</t>
        </is>
      </c>
      <c r="K43" s="19" t="n">
        <v>1.673522298</v>
      </c>
    </row>
    <row r="44" ht="30" customHeight="1">
      <c r="A44" s="20" t="n">
        <v>3</v>
      </c>
      <c r="B44" s="21" t="inlineStr">
        <is>
          <t>ARAGUAÍNA II</t>
        </is>
      </c>
      <c r="C44" s="22" t="n">
        <v>77</v>
      </c>
      <c r="D44" s="18" t="inlineStr">
        <is>
          <t>TO-226</t>
        </is>
      </c>
      <c r="E44" s="21" t="inlineStr">
        <is>
          <t>RODOVIA TO-226 - TRECHO GOIATINS - CAMPOS LINDOS - DIV TO-MA</t>
        </is>
      </c>
      <c r="F44" s="18" t="inlineStr">
        <is>
          <t>226ETO0012</t>
        </is>
      </c>
      <c r="G44" s="21" t="inlineStr">
        <is>
          <t>ENTR. TO-020(PU CAMPOS LINDOS) - FIM PU CAMPOS LINDOS</t>
        </is>
      </c>
      <c r="H44" s="18" t="inlineStr">
        <is>
          <t>PSU</t>
        </is>
      </c>
      <c r="I44" s="18" t="inlineStr">
        <is>
          <t>-46.8055889999, -7.98014300021</t>
        </is>
      </c>
      <c r="J44" s="18" t="inlineStr">
        <is>
          <t>-46.8091439997, -7.9655610002</t>
        </is>
      </c>
      <c r="K44" s="19" t="n">
        <v>1.698162761</v>
      </c>
    </row>
    <row r="45" ht="30" customHeight="1">
      <c r="A45" s="20" t="n">
        <v>3</v>
      </c>
      <c r="B45" s="21" t="inlineStr">
        <is>
          <t>ARAGUAÍNA II</t>
        </is>
      </c>
      <c r="C45" s="22" t="n">
        <v>77</v>
      </c>
      <c r="D45" s="18" t="inlineStr">
        <is>
          <t>TO-226</t>
        </is>
      </c>
      <c r="E45" s="21" t="inlineStr">
        <is>
          <t>RODOVIA TO-226 - TRECHO GOIATINS - CAMPOS LINDOS - DIV TO-MA</t>
        </is>
      </c>
      <c r="F45" s="18" t="inlineStr">
        <is>
          <t>226ETO0020</t>
        </is>
      </c>
      <c r="G45" s="21" t="inlineStr">
        <is>
          <t>FIM PU CAMPOS LINDOS - ENTR. TO-428</t>
        </is>
      </c>
      <c r="H45" s="18" t="inlineStr">
        <is>
          <t>PPS</t>
        </is>
      </c>
      <c r="I45" s="18" t="inlineStr">
        <is>
          <t>-46.8486280003, -8.03999400003</t>
        </is>
      </c>
      <c r="J45" s="18" t="inlineStr">
        <is>
          <t>-46.8055889999, -7.98014300021</t>
        </is>
      </c>
      <c r="K45" s="19" t="n">
        <v>8.6785434598</v>
      </c>
    </row>
    <row r="46" ht="30" customHeight="1">
      <c r="A46" s="20" t="n">
        <v>3</v>
      </c>
      <c r="B46" s="21" t="inlineStr">
        <is>
          <t>ARAGUAÍNA II</t>
        </is>
      </c>
      <c r="C46" s="22" t="n">
        <v>77</v>
      </c>
      <c r="D46" s="18" t="inlineStr">
        <is>
          <t>TO-226</t>
        </is>
      </c>
      <c r="E46" s="21" t="inlineStr">
        <is>
          <t>RODOVIA TO-226 - TRECHO GOIATINS - CAMPOS LINDOS - DIV TO-MA</t>
        </is>
      </c>
      <c r="F46" s="18" t="inlineStr">
        <is>
          <t>226ETO0030</t>
        </is>
      </c>
      <c r="G46" s="21" t="inlineStr">
        <is>
          <t>ENTR. TO-428 - BARRA DA ESTIVA</t>
        </is>
      </c>
      <c r="H46" s="18" t="inlineStr">
        <is>
          <t>PPS</t>
        </is>
      </c>
      <c r="I46" s="18" t="inlineStr">
        <is>
          <t>-47.110107, -7.98916399973</t>
        </is>
      </c>
      <c r="J46" s="18" t="inlineStr">
        <is>
          <t>-46.8486280003, -8.03999400003</t>
        </is>
      </c>
      <c r="K46" s="19" t="n">
        <v>37.2910084712</v>
      </c>
    </row>
    <row r="47" ht="30" customHeight="1">
      <c r="A47" s="20" t="n">
        <v>3</v>
      </c>
      <c r="B47" s="21" t="inlineStr">
        <is>
          <t>ARAGUAÍNA II</t>
        </is>
      </c>
      <c r="C47" s="22" t="n">
        <v>77</v>
      </c>
      <c r="D47" s="18" t="inlineStr">
        <is>
          <t>TO-226</t>
        </is>
      </c>
      <c r="E47" s="21" t="inlineStr">
        <is>
          <t>RODOVIA TO-226 - TRECHO GOIATINS - CAMPOS LINDOS - DIV TO-MA</t>
        </is>
      </c>
      <c r="F47" s="18" t="inlineStr">
        <is>
          <t>226ETO0040</t>
        </is>
      </c>
      <c r="G47" s="21" t="inlineStr">
        <is>
          <t>BARRA DA ESTIVA - ENTR. TO-426 (P/ CRAOLÂNDIA)</t>
        </is>
      </c>
      <c r="H47" s="18" t="inlineStr">
        <is>
          <t>PPS</t>
        </is>
      </c>
      <c r="I47" s="18" t="inlineStr">
        <is>
          <t>-47.2169549999, -7.89095300033</t>
        </is>
      </c>
      <c r="J47" s="18" t="inlineStr">
        <is>
          <t>-47.110107, -7.98916399973</t>
        </is>
      </c>
      <c r="K47" s="19" t="n">
        <v>17.6391999633</v>
      </c>
    </row>
    <row r="48" ht="30" customHeight="1">
      <c r="A48" s="20" t="n">
        <v>3</v>
      </c>
      <c r="B48" s="21" t="inlineStr">
        <is>
          <t>ARAGUAÍNA II</t>
        </is>
      </c>
      <c r="C48" s="22" t="n">
        <v>77</v>
      </c>
      <c r="D48" s="18" t="inlineStr">
        <is>
          <t>TO-226</t>
        </is>
      </c>
      <c r="E48" s="21" t="inlineStr">
        <is>
          <t>RODOVIA TO-226 - TRECHO GOIATINS - CAMPOS LINDOS - DIV TO-MA</t>
        </is>
      </c>
      <c r="F48" s="18" t="inlineStr">
        <is>
          <t>226ETO0050</t>
        </is>
      </c>
      <c r="G48" s="21" t="inlineStr">
        <is>
          <t>ENTR. TO-426 (P/CRAOLÂNDIA) - INÍCIO PU GOIATINS</t>
        </is>
      </c>
      <c r="H48" s="18" t="inlineStr">
        <is>
          <t>PPS</t>
        </is>
      </c>
      <c r="I48" s="18" t="inlineStr">
        <is>
          <t>-47.3186680003, -7.71814599982</t>
        </is>
      </c>
      <c r="J48" s="18" t="inlineStr">
        <is>
          <t>-47.2169549999, -7.89095300033</t>
        </is>
      </c>
      <c r="K48" s="19" t="n">
        <v>24.3361918152</v>
      </c>
    </row>
    <row r="49" ht="30" customHeight="1">
      <c r="A49" s="20" t="n">
        <v>3</v>
      </c>
      <c r="B49" s="21" t="inlineStr">
        <is>
          <t>ARAGUAÍNA II</t>
        </is>
      </c>
      <c r="C49" s="22" t="n">
        <v>77</v>
      </c>
      <c r="D49" s="18" t="inlineStr">
        <is>
          <t>TO-226</t>
        </is>
      </c>
      <c r="E49" s="21" t="inlineStr">
        <is>
          <t>RODOVIA TO-226 - TRECHO GOIATINS - CAMPOS LINDOS - DIV TO-MA</t>
        </is>
      </c>
      <c r="F49" s="18" t="inlineStr">
        <is>
          <t>226ETO0051</t>
        </is>
      </c>
      <c r="G49" s="21" t="inlineStr">
        <is>
          <t>INÍCIO PU GOIATINS - ENTR. TO-425(PU GOIATINS)</t>
        </is>
      </c>
      <c r="H49" s="18" t="inlineStr">
        <is>
          <t>PSU</t>
        </is>
      </c>
      <c r="I49" s="18" t="inlineStr">
        <is>
          <t>-47.3201888219, -7.7156045498</t>
        </is>
      </c>
      <c r="J49" s="18" t="inlineStr">
        <is>
          <t>-47.3186680003, -7.71814599982</t>
        </is>
      </c>
      <c r="K49" s="19" t="n">
        <v>0.336316504</v>
      </c>
    </row>
    <row r="50" ht="30" customHeight="1">
      <c r="A50" s="20" t="n">
        <v>3</v>
      </c>
      <c r="B50" s="21" t="inlineStr">
        <is>
          <t>ARAGUAÍNA II</t>
        </is>
      </c>
      <c r="C50" s="22" t="n">
        <v>77</v>
      </c>
      <c r="D50" s="18" t="inlineStr">
        <is>
          <t>TO-226</t>
        </is>
      </c>
      <c r="E50" s="21" t="inlineStr">
        <is>
          <t>RODOVIA TO-226 - TRECHO GOIATINS - CAMPOS LINDOS - DIV TO-MA</t>
        </is>
      </c>
      <c r="F50" s="18" t="inlineStr">
        <is>
          <t>226ETO0052</t>
        </is>
      </c>
      <c r="G50" s="21" t="inlineStr">
        <is>
          <t>ENTR. TO-425(PU GOIATINS) - ENTR. BR-010(A)(FIM PU GOIATINS)</t>
        </is>
      </c>
      <c r="H50" s="18" t="inlineStr">
        <is>
          <t>PSU</t>
        </is>
      </c>
      <c r="I50" s="18" t="inlineStr">
        <is>
          <t>-47.3243177954, -7.71407138049</t>
        </is>
      </c>
      <c r="J50" s="18" t="inlineStr">
        <is>
          <t>-47.3201888219, -7.7156045498</t>
        </is>
      </c>
      <c r="K50" s="19" t="n">
        <v>0.49329932</v>
      </c>
    </row>
    <row r="51" ht="30" customHeight="1">
      <c r="A51" s="20" t="n">
        <v>3</v>
      </c>
      <c r="B51" s="21" t="inlineStr">
        <is>
          <t>ARAGUAÍNA II</t>
        </is>
      </c>
      <c r="C51" s="22" t="n">
        <v>76</v>
      </c>
      <c r="D51" s="18" t="inlineStr">
        <is>
          <t>TO-226</t>
        </is>
      </c>
      <c r="E51" s="21" t="inlineStr">
        <is>
          <t>RODOVIA TO-226 - TRECHO ENTR. TO-010 (POVOADO CAMPOS) - ENTR. BR-010</t>
        </is>
      </c>
      <c r="F51" s="18" t="inlineStr">
        <is>
          <t>226ETO0120</t>
        </is>
      </c>
      <c r="G51" s="21" t="inlineStr">
        <is>
          <t>ENTR. BR-010(B)/TO-130 - BARRO VERMELHO</t>
        </is>
      </c>
      <c r="H51" s="18" t="inlineStr">
        <is>
          <t>LEN</t>
        </is>
      </c>
      <c r="I51" s="18" t="inlineStr">
        <is>
          <t>-47.6958676616, -7.97991896192</t>
        </is>
      </c>
      <c r="J51" s="18" t="inlineStr">
        <is>
          <t>-47.5836249998, -8.00810099991</t>
        </is>
      </c>
      <c r="K51" s="19" t="n">
        <v>14.4074696182</v>
      </c>
    </row>
    <row r="52" ht="30" customHeight="1">
      <c r="A52" s="20" t="n">
        <v>3</v>
      </c>
      <c r="B52" s="21" t="inlineStr">
        <is>
          <t>ARAGUAÍNA II</t>
        </is>
      </c>
      <c r="C52" s="22" t="n">
        <v>76</v>
      </c>
      <c r="D52" s="18" t="inlineStr">
        <is>
          <t>TO-226</t>
        </is>
      </c>
      <c r="E52" s="21" t="inlineStr">
        <is>
          <t>RODOVIA TO-226 - TRECHO ENTR. TO-010 (POVOADO CAMPOS) - ENTR. BR-010</t>
        </is>
      </c>
      <c r="F52" s="18" t="inlineStr">
        <is>
          <t>226ETO0130</t>
        </is>
      </c>
      <c r="G52" s="21" t="inlineStr">
        <is>
          <t>BARRO VERMELHO - ENTR. TO-010(A)(CAMPOS)</t>
        </is>
      </c>
      <c r="H52" s="18" t="inlineStr">
        <is>
          <t>LEN</t>
        </is>
      </c>
      <c r="I52" s="18" t="inlineStr">
        <is>
          <t>-47.6958676616, -7.97991896192</t>
        </is>
      </c>
      <c r="J52" s="18" t="inlineStr">
        <is>
          <t>-47.8066177351, -7.94486429229</t>
        </is>
      </c>
      <c r="K52" s="19" t="n">
        <v>13.8921847949</v>
      </c>
    </row>
    <row r="53" ht="30" customHeight="1">
      <c r="A53" s="20" t="n">
        <v>3</v>
      </c>
      <c r="B53" s="21" t="inlineStr">
        <is>
          <t>ARAGUAÍNA II</t>
        </is>
      </c>
      <c r="C53" s="22" t="n">
        <v>75</v>
      </c>
      <c r="D53" s="18" t="inlineStr">
        <is>
          <t>TO-226</t>
        </is>
      </c>
      <c r="E53" s="21" t="inlineStr">
        <is>
          <t>RODOVIA TO-226 - TRECHO NOVA OLINDA - ENTR. TO-010</t>
        </is>
      </c>
      <c r="F53" s="18" t="inlineStr">
        <is>
          <t>226ETO0190</t>
        </is>
      </c>
      <c r="G53" s="21" t="inlineStr">
        <is>
          <t>ENTR. TO-010(B) - POV. ALTO BONITO</t>
        </is>
      </c>
      <c r="H53" s="18" t="inlineStr">
        <is>
          <t>LEN</t>
        </is>
      </c>
      <c r="I53" s="18" t="inlineStr">
        <is>
          <t>-48.284114, -7.64297799998</t>
        </is>
      </c>
      <c r="J53" s="18" t="inlineStr">
        <is>
          <t>-48.0717219996, -7.78855100029</t>
        </is>
      </c>
      <c r="K53" s="19" t="n">
        <v>36.7685082262</v>
      </c>
    </row>
    <row r="54" ht="30" customHeight="1">
      <c r="A54" s="20" t="n">
        <v>3</v>
      </c>
      <c r="B54" s="21" t="inlineStr">
        <is>
          <t>ARAGUAÍNA II</t>
        </is>
      </c>
      <c r="C54" s="22" t="n">
        <v>75</v>
      </c>
      <c r="D54" s="18" t="inlineStr">
        <is>
          <t>TO-226</t>
        </is>
      </c>
      <c r="E54" s="21" t="inlineStr">
        <is>
          <t>RODOVIA TO-226 - TRECHO NOVA OLINDA - ENTR. TO-010</t>
        </is>
      </c>
      <c r="F54" s="18" t="inlineStr">
        <is>
          <t>226ETO0200</t>
        </is>
      </c>
      <c r="G54" s="21" t="inlineStr">
        <is>
          <t>POV. ALTO BONITO - INÍCIO PAVIMENTAÇÃO(PU NOVA OLINDA)</t>
        </is>
      </c>
      <c r="H54" s="18" t="inlineStr">
        <is>
          <t>LEN</t>
        </is>
      </c>
      <c r="I54" s="18" t="inlineStr">
        <is>
          <t>-48.4117829996, -7.64529099963</t>
        </is>
      </c>
      <c r="J54" s="18" t="inlineStr">
        <is>
          <t>-48.284114, -7.64297799998</t>
        </is>
      </c>
      <c r="K54" s="19" t="n">
        <v>17.2772451167</v>
      </c>
    </row>
    <row r="55" ht="30" customHeight="1">
      <c r="A55" s="20" t="n">
        <v>3</v>
      </c>
      <c r="B55" s="21" t="inlineStr">
        <is>
          <t>ARAGUAÍNA II</t>
        </is>
      </c>
      <c r="C55" s="22" t="n">
        <v>75</v>
      </c>
      <c r="D55" s="18" t="inlineStr">
        <is>
          <t>TO-226</t>
        </is>
      </c>
      <c r="E55" s="21" t="inlineStr">
        <is>
          <t>RODOVIA TO-226 - TRECHO NOVA OLINDA - ENTR. TO-010</t>
        </is>
      </c>
      <c r="F55" s="18" t="inlineStr">
        <is>
          <t>226ETO0201</t>
        </is>
      </c>
      <c r="G55" s="21" t="inlineStr">
        <is>
          <t>INÍCIO PAVIMENTAÇÃO(PU NOVA OLINDA) - INÍCIO DUPLICAÇÃO(PU NOVA OLINDA)</t>
        </is>
      </c>
      <c r="H55" s="18" t="inlineStr">
        <is>
          <t>PSU</t>
        </is>
      </c>
      <c r="I55" s="18" t="inlineStr">
        <is>
          <t>-48.4117829996, -7.64529099963</t>
        </is>
      </c>
      <c r="J55" s="18" t="inlineStr">
        <is>
          <t>-48.4160540993, -7.63873369111</t>
        </is>
      </c>
      <c r="K55" s="19" t="n">
        <v>1.089624185</v>
      </c>
    </row>
    <row r="56" ht="30" customHeight="1">
      <c r="A56" s="20" t="n">
        <v>3</v>
      </c>
      <c r="B56" s="21" t="inlineStr">
        <is>
          <t>ARAGUAÍNA II</t>
        </is>
      </c>
      <c r="C56" s="22" t="n">
        <v>75</v>
      </c>
      <c r="D56" s="18" t="inlineStr">
        <is>
          <t>TO-226</t>
        </is>
      </c>
      <c r="E56" s="21" t="inlineStr">
        <is>
          <t>RODOVIA TO-226 - TRECHO NOVA OLINDA - ENTR. TO-010</t>
        </is>
      </c>
      <c r="F56" s="18" t="inlineStr">
        <is>
          <t>226ETO0202D</t>
        </is>
      </c>
      <c r="G56" s="21" t="inlineStr">
        <is>
          <t>INÍCIO DUPLICAÇÃO(PU NOVA OLINDA) - ENTR. BR-153(PU NOVA OLINDA)</t>
        </is>
      </c>
      <c r="H56" s="18" t="inlineStr">
        <is>
          <t>PDU</t>
        </is>
      </c>
      <c r="I56" s="18" t="inlineStr">
        <is>
          <t>-48.4161069614, -7.63873207413</t>
        </is>
      </c>
      <c r="J56" s="18" t="inlineStr">
        <is>
          <t>-48.4271041374, -7.63641934518</t>
        </is>
      </c>
      <c r="K56" s="19" t="n">
        <v>1.421884596</v>
      </c>
    </row>
    <row r="57" ht="30" customHeight="1">
      <c r="A57" s="20" t="n">
        <v>3</v>
      </c>
      <c r="B57" s="21" t="inlineStr">
        <is>
          <t>ARAGUAÍNA II</t>
        </is>
      </c>
      <c r="C57" s="22" t="n">
        <v>75</v>
      </c>
      <c r="D57" s="18" t="inlineStr">
        <is>
          <t>TO-226</t>
        </is>
      </c>
      <c r="E57" s="21" t="inlineStr">
        <is>
          <t>RODOVIA TO-226 - TRECHO NOVA OLINDA - ENTR. TO-010</t>
        </is>
      </c>
      <c r="F57" s="18" t="inlineStr">
        <is>
          <t>226ETO0202E</t>
        </is>
      </c>
      <c r="G57" s="21" t="inlineStr">
        <is>
          <t>INÍCIO DUPLICAÇÃO(PU NOVA OLINDA) - ENTR. BR-153(PU NOVA OLINDA)</t>
        </is>
      </c>
      <c r="H57" s="18" t="inlineStr">
        <is>
          <t>PDU</t>
        </is>
      </c>
      <c r="I57" s="18" t="inlineStr">
        <is>
          <t>-48.4271488787, -7.63662446084</t>
        </is>
      </c>
      <c r="J57" s="18" t="inlineStr">
        <is>
          <t>-48.4160540993, -7.63873369111</t>
        </is>
      </c>
      <c r="K57" s="19" t="n">
        <v>1.400529366</v>
      </c>
    </row>
    <row r="58" ht="30" customHeight="1">
      <c r="A58" s="20" t="n">
        <v>3</v>
      </c>
      <c r="B58" s="21" t="inlineStr">
        <is>
          <t>ARAGUAÍNA II</t>
        </is>
      </c>
      <c r="C58" s="22" t="n">
        <v>78</v>
      </c>
      <c r="D58" s="18" t="inlineStr">
        <is>
          <t>TO-422</t>
        </is>
      </c>
      <c r="E58" s="21" t="inlineStr">
        <is>
          <t>RODOVIA TO-422 - TRECHO ENTR. BR-153 - TRECHO DISTRITO AGROINDUSTRIAL DE ARAGUAÍNA</t>
        </is>
      </c>
      <c r="F58" s="18" t="inlineStr">
        <is>
          <t>422ETO0010D</t>
        </is>
      </c>
      <c r="G58" s="21" t="inlineStr">
        <is>
          <t>ENTR. BR-153 - INÍCIO DUPLICAÇÃO (TRECHO ZONA DE PROCESSAMENTO DE EXPORTAÇÃO)</t>
        </is>
      </c>
      <c r="H58" s="18" t="inlineStr">
        <is>
          <t>DUP</t>
        </is>
      </c>
      <c r="I58" s="18" t="inlineStr">
        <is>
          <t>-48.2641920286, -7.26911749124</t>
        </is>
      </c>
      <c r="J58" s="18" t="inlineStr">
        <is>
          <t>-48.2480108014, -7.28281836035</t>
        </is>
      </c>
      <c r="K58" s="19" t="n">
        <v>2.354720943</v>
      </c>
    </row>
    <row r="59" ht="30" customHeight="1">
      <c r="A59" s="20" t="n">
        <v>3</v>
      </c>
      <c r="B59" s="21" t="inlineStr">
        <is>
          <t>ARAGUAÍNA II</t>
        </is>
      </c>
      <c r="C59" s="22" t="n">
        <v>78</v>
      </c>
      <c r="D59" s="18" t="inlineStr">
        <is>
          <t>TO-422</t>
        </is>
      </c>
      <c r="E59" s="21" t="inlineStr">
        <is>
          <t>RODOVIA TO-422 - TRECHO ENTR. BR-153 - TRECHO DISTRITO AGROINDUSTRIAL DE ARAGUAÍNA</t>
        </is>
      </c>
      <c r="F59" s="18" t="inlineStr">
        <is>
          <t>422ETO0010E</t>
        </is>
      </c>
      <c r="G59" s="21" t="inlineStr">
        <is>
          <t>ENTR. BR-153 - INÍCIO DUPLICAÇÃO (TRECHO ZONA DE PROCESSAMENTO DE EXPORTAÇÃO)</t>
        </is>
      </c>
      <c r="H59" s="18" t="inlineStr">
        <is>
          <t>DUP</t>
        </is>
      </c>
      <c r="I59" s="18" t="inlineStr">
        <is>
          <t>-48.2478947393, -7.2827149086</t>
        </is>
      </c>
      <c r="J59" s="18" t="inlineStr">
        <is>
          <t>-48.2641116418, -7.2689496543</t>
        </is>
      </c>
      <c r="K59" s="19" t="n">
        <v>2.360946755</v>
      </c>
    </row>
    <row r="60" ht="30" customHeight="1">
      <c r="A60" s="20" t="n">
        <v>3</v>
      </c>
      <c r="B60" s="21" t="inlineStr">
        <is>
          <t>ARAGUAÍNA II</t>
        </is>
      </c>
      <c r="C60" s="22" t="n">
        <v>79</v>
      </c>
      <c r="D60" s="18" t="inlineStr">
        <is>
          <t>TO-423</t>
        </is>
      </c>
      <c r="E60" s="21" t="inlineStr">
        <is>
          <t>RODOVIA TO-423 - TRECHO ARAGUAÍNA - ENTR. TO-424</t>
        </is>
      </c>
      <c r="F60" s="18" t="inlineStr">
        <is>
          <t>423ETO0010</t>
        </is>
      </c>
      <c r="G60" s="21" t="inlineStr">
        <is>
          <t>ENTR. TO-222(PU ARAGUAÍNA) - FIM PAVIMENTAÇÃO(PU ARAGUAÍNA)</t>
        </is>
      </c>
      <c r="H60" s="18" t="inlineStr">
        <is>
          <t>PSU</t>
        </is>
      </c>
      <c r="I60" s="18" t="inlineStr">
        <is>
          <t>-48.1706839997, -7.20401299983</t>
        </is>
      </c>
      <c r="J60" s="18" t="inlineStr">
        <is>
          <t>-48.1746998735, -7.20889196322</t>
        </is>
      </c>
      <c r="K60" s="19" t="n">
        <v>0.726396109</v>
      </c>
    </row>
    <row r="61" ht="30" customHeight="1">
      <c r="A61" s="20" t="n">
        <v>3</v>
      </c>
      <c r="B61" s="21" t="inlineStr">
        <is>
          <t>ARAGUAÍNA II</t>
        </is>
      </c>
      <c r="C61" s="22" t="n">
        <v>79</v>
      </c>
      <c r="D61" s="18" t="inlineStr">
        <is>
          <t>TO-423</t>
        </is>
      </c>
      <c r="E61" s="21" t="inlineStr">
        <is>
          <t>RODOVIA TO-423 - TRECHO ARAGUAÍNA - ENTR. TO-424</t>
        </is>
      </c>
      <c r="F61" s="18" t="inlineStr">
        <is>
          <t>423ETO0020</t>
        </is>
      </c>
      <c r="G61" s="21" t="inlineStr">
        <is>
          <t>FIM PAVIMENTAÇÃO(PU ARAGUAÍNA) - ENTR. TO-424</t>
        </is>
      </c>
      <c r="H61" s="18" t="inlineStr">
        <is>
          <t>LEN</t>
        </is>
      </c>
      <c r="I61" s="18" t="inlineStr">
        <is>
          <t>-47.9935189998, -7.27275300022</t>
        </is>
      </c>
      <c r="J61" s="18" t="inlineStr">
        <is>
          <t>-48.1706839997, -7.20401299983</t>
        </is>
      </c>
      <c r="K61" s="19" t="n">
        <v>28.19540854</v>
      </c>
    </row>
    <row r="62" ht="30" customHeight="1">
      <c r="A62" s="20" t="n">
        <v>3</v>
      </c>
      <c r="B62" s="21" t="inlineStr">
        <is>
          <t>ARAGUAÍNA II</t>
        </is>
      </c>
      <c r="C62" s="22" t="n">
        <v>81</v>
      </c>
      <c r="D62" s="18" t="inlineStr">
        <is>
          <t>TO-424</t>
        </is>
      </c>
      <c r="E62" s="21" t="inlineStr">
        <is>
          <t>RODOVIA TO-424 - TRECHO ENTR. TO-010 (BABAÇULÂNDIA) - ENTR. TO-222</t>
        </is>
      </c>
      <c r="F62" s="18" t="inlineStr">
        <is>
          <t>424ETO0010</t>
        </is>
      </c>
      <c r="G62" s="21" t="inlineStr">
        <is>
          <t>ENTR. TO-222 - CANA BRAVA</t>
        </is>
      </c>
      <c r="H62" s="18" t="inlineStr">
        <is>
          <t>LEN</t>
        </is>
      </c>
      <c r="I62" s="18" t="inlineStr">
        <is>
          <t>-47.6570379999, -7.3222200001</t>
        </is>
      </c>
      <c r="J62" s="18" t="inlineStr">
        <is>
          <t>-47.5663020001, -7.35436200011</t>
        </is>
      </c>
      <c r="K62" s="19" t="n">
        <v>13.5855401788</v>
      </c>
    </row>
    <row r="63" ht="30" customHeight="1">
      <c r="A63" s="20" t="n">
        <v>3</v>
      </c>
      <c r="B63" s="21" t="inlineStr">
        <is>
          <t>ARAGUAÍNA II</t>
        </is>
      </c>
      <c r="C63" s="22" t="n">
        <v>81</v>
      </c>
      <c r="D63" s="18" t="inlineStr">
        <is>
          <t>TO-424</t>
        </is>
      </c>
      <c r="E63" s="21" t="inlineStr">
        <is>
          <t>RODOVIA TO-424 - TRECHO ENTR. TO-010 (BABAÇULÂNDIA) - ENTR. TO-222</t>
        </is>
      </c>
      <c r="F63" s="18" t="inlineStr">
        <is>
          <t>424ETO0015</t>
        </is>
      </c>
      <c r="G63" s="21" t="inlineStr">
        <is>
          <t>CANA BRAVA - ENTR. TO-130</t>
        </is>
      </c>
      <c r="H63" s="18" t="inlineStr">
        <is>
          <t>LEN</t>
        </is>
      </c>
      <c r="I63" s="18" t="inlineStr">
        <is>
          <t>-47.6900519236, -7.31819531295</t>
        </is>
      </c>
      <c r="J63" s="18" t="inlineStr">
        <is>
          <t>-47.6570379999, -7.3222200001</t>
        </is>
      </c>
      <c r="K63" s="19" t="n">
        <v>3.897174647</v>
      </c>
    </row>
    <row r="64" ht="30" customHeight="1">
      <c r="A64" s="20" t="n">
        <v>3</v>
      </c>
      <c r="B64" s="21" t="inlineStr">
        <is>
          <t>ARAGUAÍNA II</t>
        </is>
      </c>
      <c r="C64" s="22" t="n">
        <v>81</v>
      </c>
      <c r="D64" s="18" t="inlineStr">
        <is>
          <t>TO-424</t>
        </is>
      </c>
      <c r="E64" s="21" t="inlineStr">
        <is>
          <t>RODOVIA TO-424 - TRECHO ENTR. TO-010 (BABAÇULÂNDIA) - ENTR. TO-222</t>
        </is>
      </c>
      <c r="F64" s="18" t="inlineStr">
        <is>
          <t>424ETO0020</t>
        </is>
      </c>
      <c r="G64" s="21" t="inlineStr">
        <is>
          <t>ENTR. TO-130 - ENTR. TO-010(A)</t>
        </is>
      </c>
      <c r="H64" s="18" t="inlineStr">
        <is>
          <t>LEN</t>
        </is>
      </c>
      <c r="I64" s="18" t="inlineStr">
        <is>
          <t>-47.7757070001, -7.24664600027</t>
        </is>
      </c>
      <c r="J64" s="18" t="inlineStr">
        <is>
          <t>-47.6900519236, -7.31819531295</t>
        </is>
      </c>
      <c r="K64" s="19" t="n">
        <v>14.185546755</v>
      </c>
    </row>
    <row r="65" ht="30" customHeight="1">
      <c r="A65" s="20" t="n">
        <v>3</v>
      </c>
      <c r="B65" s="21" t="inlineStr">
        <is>
          <t>ARAGUAÍNA II</t>
        </is>
      </c>
      <c r="C65" s="22" t="n">
        <v>80</v>
      </c>
      <c r="D65" s="18" t="inlineStr">
        <is>
          <t>TO-424</t>
        </is>
      </c>
      <c r="E65" s="21" t="inlineStr">
        <is>
          <t>RODOVIA TO-424 - TRECHO ENTR. TO-222 (PLAT. MULTI-MODAL) - BABAÇULÂNDIA</t>
        </is>
      </c>
      <c r="F65" s="18" t="inlineStr">
        <is>
          <t>424ETO0050</t>
        </is>
      </c>
      <c r="G65" s="21" t="inlineStr">
        <is>
          <t>ENTR. TO-010(B)(PU BABAÇULÂNDIA) - VILA CORRENTE</t>
        </is>
      </c>
      <c r="H65" s="18" t="inlineStr">
        <is>
          <t>PPS</t>
        </is>
      </c>
      <c r="I65" s="18" t="inlineStr">
        <is>
          <t>-47.7848522041, -7.19105096454</t>
        </is>
      </c>
      <c r="J65" s="18" t="inlineStr">
        <is>
          <t>-47.9017909997, -7.21189300025</t>
        </is>
      </c>
      <c r="K65" s="19" t="n">
        <v>13.99148284</v>
      </c>
    </row>
    <row r="66" ht="30" customHeight="1">
      <c r="A66" s="20" t="n">
        <v>3</v>
      </c>
      <c r="B66" s="21" t="inlineStr">
        <is>
          <t>ARAGUAÍNA II</t>
        </is>
      </c>
      <c r="C66" s="22" t="n">
        <v>80</v>
      </c>
      <c r="D66" s="18" t="inlineStr">
        <is>
          <t>TO-424</t>
        </is>
      </c>
      <c r="E66" s="21" t="inlineStr">
        <is>
          <t>RODOVIA TO-424 - TRECHO ENTR. TO-222 (PLAT. MULTI-MODAL) - BABAÇULÂNDIA</t>
        </is>
      </c>
      <c r="F66" s="18" t="inlineStr">
        <is>
          <t>424ETO0060</t>
        </is>
      </c>
      <c r="G66" s="21" t="inlineStr">
        <is>
          <t>VILA CORRENTE - BARRO PRETO</t>
        </is>
      </c>
      <c r="H66" s="18" t="inlineStr">
        <is>
          <t>PPS</t>
        </is>
      </c>
      <c r="I66" s="18" t="inlineStr">
        <is>
          <t>-47.9017909997, -7.21189300025</t>
        </is>
      </c>
      <c r="J66" s="18" t="inlineStr">
        <is>
          <t>-47.9292020001, -7.22911799996</t>
        </is>
      </c>
      <c r="K66" s="19" t="n">
        <v>3.667028831</v>
      </c>
    </row>
    <row r="67" ht="30" customHeight="1">
      <c r="A67" s="20" t="n">
        <v>3</v>
      </c>
      <c r="B67" s="21" t="inlineStr">
        <is>
          <t>ARAGUAÍNA II</t>
        </is>
      </c>
      <c r="C67" s="22" t="n">
        <v>80</v>
      </c>
      <c r="D67" s="18" t="inlineStr">
        <is>
          <t>TO-424</t>
        </is>
      </c>
      <c r="E67" s="21" t="inlineStr">
        <is>
          <t>RODOVIA TO-424 - TRECHO ENTR. TO-222 (PLAT. MULTI-MODAL) - BABAÇULÂNDIA</t>
        </is>
      </c>
      <c r="F67" s="18" t="inlineStr">
        <is>
          <t>424ETO0070</t>
        </is>
      </c>
      <c r="G67" s="21" t="inlineStr">
        <is>
          <t>BARRO PRETO - ENTR. TO-423</t>
        </is>
      </c>
      <c r="H67" s="18" t="inlineStr">
        <is>
          <t>PPS</t>
        </is>
      </c>
      <c r="I67" s="18" t="inlineStr">
        <is>
          <t>-47.9292020001, -7.22911799996</t>
        </is>
      </c>
      <c r="J67" s="18" t="inlineStr">
        <is>
          <t>-47.9935189998, -7.27275300022</t>
        </is>
      </c>
      <c r="K67" s="19" t="n">
        <v>8.943750036000001</v>
      </c>
    </row>
    <row r="68" ht="30" customHeight="1">
      <c r="A68" s="20" t="n">
        <v>3</v>
      </c>
      <c r="B68" s="21" t="inlineStr">
        <is>
          <t>ARAGUAÍNA II</t>
        </is>
      </c>
      <c r="C68" s="22" t="n">
        <v>80</v>
      </c>
      <c r="D68" s="18" t="inlineStr">
        <is>
          <t>TO-424</t>
        </is>
      </c>
      <c r="E68" s="21" t="inlineStr">
        <is>
          <t>RODOVIA TO-424 - TRECHO ENTR. TO-222 (PLAT. MULTI-MODAL) - BABAÇULÂNDIA</t>
        </is>
      </c>
      <c r="F68" s="18" t="inlineStr">
        <is>
          <t>424ETO0080</t>
        </is>
      </c>
      <c r="G68" s="21" t="inlineStr">
        <is>
          <t>ENTR. TO-423 - ENTR. TO-222</t>
        </is>
      </c>
      <c r="H68" s="18" t="inlineStr">
        <is>
          <t>PPS</t>
        </is>
      </c>
      <c r="I68" s="18" t="inlineStr">
        <is>
          <t>-47.9935189998, -7.27275300022</t>
        </is>
      </c>
      <c r="J68" s="18" t="inlineStr">
        <is>
          <t>-48.0732240002, -7.32503599975</t>
        </is>
      </c>
      <c r="K68" s="19" t="n">
        <v>10.89575388</v>
      </c>
    </row>
    <row r="69" ht="30" customHeight="1">
      <c r="A69" s="20" t="n">
        <v>3</v>
      </c>
      <c r="B69" s="21" t="inlineStr">
        <is>
          <t>ARAGUAÍNA II</t>
        </is>
      </c>
      <c r="C69" s="22" t="n">
        <v>82</v>
      </c>
      <c r="D69" s="18" t="inlineStr">
        <is>
          <t>TO-425</t>
        </is>
      </c>
      <c r="E69" s="21" t="inlineStr">
        <is>
          <t>RODOVIA TO-425 - TRECHO ENTR. TO-130 (BARRA DO OURO) - GOIATINS</t>
        </is>
      </c>
      <c r="F69" s="18" t="inlineStr">
        <is>
          <t>425ETO0002D</t>
        </is>
      </c>
      <c r="G69" s="21" t="inlineStr">
        <is>
          <t>ENTR. TO-226(PU GOIATINS) - FIM DUPLICAÇÃO(PU GOIATINS)</t>
        </is>
      </c>
      <c r="H69" s="18" t="inlineStr">
        <is>
          <t>PDU</t>
        </is>
      </c>
      <c r="I69" s="18" t="inlineStr">
        <is>
          <t>-47.3151564368, -7.70886849017</t>
        </is>
      </c>
      <c r="J69" s="18" t="inlineStr">
        <is>
          <t>-47.3201888219, -7.7156045498</t>
        </is>
      </c>
      <c r="K69" s="19" t="n">
        <v>0.930397458</v>
      </c>
    </row>
    <row r="70" ht="30" customHeight="1">
      <c r="A70" s="20" t="n">
        <v>3</v>
      </c>
      <c r="B70" s="21" t="inlineStr">
        <is>
          <t>ARAGUAÍNA II</t>
        </is>
      </c>
      <c r="C70" s="22" t="n">
        <v>82</v>
      </c>
      <c r="D70" s="18" t="inlineStr">
        <is>
          <t>TO-425</t>
        </is>
      </c>
      <c r="E70" s="21" t="inlineStr">
        <is>
          <t>RODOVIA TO-425 - TRECHO ENTR. TO-130 (BARRA DO OURO) - GOIATINS</t>
        </is>
      </c>
      <c r="F70" s="18" t="inlineStr">
        <is>
          <t>425ETO0002E</t>
        </is>
      </c>
      <c r="G70" s="21" t="inlineStr">
        <is>
          <t>ENTR. TO-226(PU GOIATINS) - FIM DUPLICAÇÃO(PU GOIATINS)</t>
        </is>
      </c>
      <c r="H70" s="18" t="inlineStr">
        <is>
          <t>PDU</t>
        </is>
      </c>
      <c r="I70" s="18" t="inlineStr">
        <is>
          <t>-47.3201888219, -7.7156045498</t>
        </is>
      </c>
      <c r="J70" s="18" t="inlineStr">
        <is>
          <t>-47.3151564368, -7.70886849017</t>
        </is>
      </c>
      <c r="K70" s="19" t="n">
        <v>0.932806666</v>
      </c>
    </row>
    <row r="71" ht="30" customHeight="1">
      <c r="A71" s="20" t="n">
        <v>3</v>
      </c>
      <c r="B71" s="21" t="inlineStr">
        <is>
          <t>ARAGUAÍNA II</t>
        </is>
      </c>
      <c r="C71" s="22" t="n">
        <v>82</v>
      </c>
      <c r="D71" s="18" t="inlineStr">
        <is>
          <t>TO-425</t>
        </is>
      </c>
      <c r="E71" s="21" t="inlineStr">
        <is>
          <t>RODOVIA TO-425 - TRECHO ENTR. TO-130 (BARRA DO OURO) - GOIATINS</t>
        </is>
      </c>
      <c r="F71" s="18" t="inlineStr">
        <is>
          <t>425ETO0005</t>
        </is>
      </c>
      <c r="G71" s="21" t="inlineStr">
        <is>
          <t>FIM PU GOIATINS - FIM PAVIMENTAÇÃO(PU GOIATINS)</t>
        </is>
      </c>
      <c r="H71" s="18" t="inlineStr">
        <is>
          <t>PSU</t>
        </is>
      </c>
      <c r="I71" s="18" t="inlineStr">
        <is>
          <t>-47.3151564368, -7.70886849017</t>
        </is>
      </c>
      <c r="J71" s="18" t="inlineStr">
        <is>
          <t>-47.3223953472, -7.70454092203</t>
        </is>
      </c>
      <c r="K71" s="19" t="n">
        <v>0.931959943</v>
      </c>
    </row>
    <row r="72" ht="30" customHeight="1">
      <c r="A72" s="20" t="n">
        <v>3</v>
      </c>
      <c r="B72" s="21" t="inlineStr">
        <is>
          <t>ARAGUAÍNA II</t>
        </is>
      </c>
      <c r="C72" s="22" t="n">
        <v>82</v>
      </c>
      <c r="D72" s="18" t="inlineStr">
        <is>
          <t>TO-425</t>
        </is>
      </c>
      <c r="E72" s="21" t="inlineStr">
        <is>
          <t>RODOVIA TO-425 - TRECHO ENTR. TO-130 (BARRA DO OURO) - GOIATINS</t>
        </is>
      </c>
      <c r="F72" s="18" t="inlineStr">
        <is>
          <t>425ETO0010</t>
        </is>
      </c>
      <c r="G72" s="21" t="inlineStr">
        <is>
          <t>FIM PAVIMENTAÇÃO(PU GOIATINS) - ENTR. TO-130</t>
        </is>
      </c>
      <c r="H72" s="18" t="inlineStr">
        <is>
          <t>LEN</t>
        </is>
      </c>
      <c r="I72" s="18" t="inlineStr">
        <is>
          <t>-47.6419079996, -7.71986599976</t>
        </is>
      </c>
      <c r="J72" s="18" t="inlineStr">
        <is>
          <t>-47.3223953472, -7.70454092203</t>
        </is>
      </c>
      <c r="K72" s="19" t="n">
        <v>46.5862298937</v>
      </c>
    </row>
    <row r="73" ht="30" customHeight="1">
      <c r="A73" s="20" t="n">
        <v>3</v>
      </c>
      <c r="B73" s="21" t="inlineStr">
        <is>
          <t>ARAGUAÍNA II</t>
        </is>
      </c>
      <c r="C73" s="22" t="n">
        <v>83</v>
      </c>
      <c r="D73" s="18" t="inlineStr">
        <is>
          <t>TO-426</t>
        </is>
      </c>
      <c r="E73" s="21" t="inlineStr">
        <is>
          <t>RODOVIA TO-426 - TRECHO POVOADO CRAOLÂNDIA - ENTR. TO-226</t>
        </is>
      </c>
      <c r="F73" s="18" t="inlineStr">
        <is>
          <t>426ETO0010</t>
        </is>
      </c>
      <c r="G73" s="21" t="inlineStr">
        <is>
          <t>ENTR. TO-226 - POV. CRAOLÂNDIA</t>
        </is>
      </c>
      <c r="H73" s="18" t="inlineStr">
        <is>
          <t>LEN</t>
        </is>
      </c>
      <c r="I73" s="18" t="inlineStr">
        <is>
          <t>-47.2169305438, -7.89097496898</t>
        </is>
      </c>
      <c r="J73" s="18" t="inlineStr">
        <is>
          <t>-47.1904323188, -8.10466310519</t>
        </is>
      </c>
      <c r="K73" s="19" t="n">
        <v>31.5531227926</v>
      </c>
    </row>
    <row r="74" ht="30" customHeight="1">
      <c r="A74" s="20" t="n">
        <v>3</v>
      </c>
      <c r="B74" s="21" t="inlineStr">
        <is>
          <t>ARAGUAÍNA II</t>
        </is>
      </c>
      <c r="C74" s="22" t="n">
        <v>84</v>
      </c>
      <c r="D74" s="18" t="inlineStr">
        <is>
          <t>TO-428</t>
        </is>
      </c>
      <c r="E74" s="21" t="inlineStr">
        <is>
          <t>RODOVIA TO-428 - TRECHO POVOADO BANDEIRA - ENTR. TO-226</t>
        </is>
      </c>
      <c r="F74" s="18" t="inlineStr">
        <is>
          <t>428ETO0010</t>
        </is>
      </c>
      <c r="G74" s="21" t="inlineStr">
        <is>
          <t>ENTR. TO-226 - TRECHO RANCHARIA</t>
        </is>
      </c>
      <c r="H74" s="18" t="inlineStr">
        <is>
          <t>LEN</t>
        </is>
      </c>
      <c r="I74" s="18" t="inlineStr">
        <is>
          <t>-46.9518527877, -8.20009172071</t>
        </is>
      </c>
      <c r="J74" s="18" t="inlineStr">
        <is>
          <t>-46.8485866045, -8.03999162222</t>
        </is>
      </c>
      <c r="K74" s="19" t="n">
        <v>26.7253312591</v>
      </c>
    </row>
    <row r="75" ht="30" customHeight="1">
      <c r="A75" s="20" t="n">
        <v>3</v>
      </c>
      <c r="B75" s="21" t="inlineStr">
        <is>
          <t>ARAGUAÍNA II</t>
        </is>
      </c>
      <c r="C75" s="22" t="n">
        <v>71</v>
      </c>
      <c r="D75" s="18" t="inlineStr">
        <is>
          <t>TO-020</t>
        </is>
      </c>
      <c r="E75" s="21" t="inlineStr">
        <is>
          <t>RODOVIA TO-020 - TRECHO RECURSOLÂNDIA - CAMPOS LINDOS</t>
        </is>
      </c>
      <c r="F75" s="18" t="inlineStr">
        <is>
          <t>020ETO0190</t>
        </is>
      </c>
      <c r="G75" s="21" t="inlineStr">
        <is>
          <t>FIM PAVIMENTAÇÃO - BANDEIRA</t>
        </is>
      </c>
      <c r="H75" s="18" t="inlineStr">
        <is>
          <t>LEN</t>
        </is>
      </c>
      <c r="I75" s="18" t="inlineStr">
        <is>
          <t>-46.979201, -8.30440899955</t>
        </is>
      </c>
      <c r="J75" s="18" t="inlineStr">
        <is>
          <t>-47.2309179999, -8.7095990002</t>
        </is>
      </c>
      <c r="K75" s="19" t="n">
        <v>78.10988843</v>
      </c>
    </row>
    <row r="76" ht="30" customHeight="1">
      <c r="A76" s="20" t="n">
        <v>3</v>
      </c>
      <c r="B76" s="21" t="inlineStr">
        <is>
          <t>ARAGUAÍNA II</t>
        </is>
      </c>
      <c r="C76" s="22" t="n">
        <v>71</v>
      </c>
      <c r="D76" s="18" t="inlineStr">
        <is>
          <t>TO-020</t>
        </is>
      </c>
      <c r="E76" s="21" t="inlineStr">
        <is>
          <t>RODOVIA TO-020 - TRECHO RECURSOLÂNDIA - CAMPOS LINDOS</t>
        </is>
      </c>
      <c r="F76" s="18" t="inlineStr">
        <is>
          <t>020ETO0200</t>
        </is>
      </c>
      <c r="G76" s="21" t="inlineStr">
        <is>
          <t>BANDEIRA - ENTR. TO-428 (RANCHARIA)</t>
        </is>
      </c>
      <c r="H76" s="18" t="inlineStr">
        <is>
          <t>LEN</t>
        </is>
      </c>
      <c r="I76" s="18" t="inlineStr">
        <is>
          <t>-46.9518527877, -8.20009172071</t>
        </is>
      </c>
      <c r="J76" s="18" t="inlineStr">
        <is>
          <t>-46.979201, -8.30440899955</t>
        </is>
      </c>
      <c r="K76" s="19" t="n">
        <v>13.3390373078</v>
      </c>
    </row>
    <row r="77" thickBot="1">
      <c r="A77" s="23" t="n"/>
      <c r="B77" s="24" t="n"/>
      <c r="C77" s="25" t="n"/>
      <c r="D77" s="26" t="n"/>
      <c r="E77" s="24" t="n"/>
      <c r="F77" s="26" t="n"/>
      <c r="G77" s="24" t="n"/>
      <c r="H77" s="26" t="n"/>
      <c r="I77" s="26" t="n"/>
      <c r="J77" s="26" t="n"/>
      <c r="K77" s="27" t="n"/>
    </row>
    <row r="78" ht="12.75" customHeight="1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</row>
    <row r="79" ht="12.75" customHeight="1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</row>
    <row r="80" ht="12.75" customHeight="1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</row>
    <row r="81" ht="12.75" customHeight="1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</row>
    <row r="82" ht="12.75" customHeight="1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</row>
    <row r="83" ht="12.75" customHeight="1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</row>
    <row r="84" ht="12.75" customHeight="1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</row>
    <row r="85" ht="12.75" customHeight="1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</row>
    <row r="86" ht="12.75" customHeight="1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</row>
    <row r="87" ht="12.75" customHeight="1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</row>
    <row r="88" ht="12.75" customHeight="1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</row>
    <row r="89" ht="12.75" customHeight="1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</row>
    <row r="90" ht="12.75" customHeight="1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</row>
    <row r="91" ht="12.75" customHeight="1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</row>
    <row r="92" ht="12.75" customHeight="1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</row>
    <row r="93" ht="12.75" customHeight="1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</row>
    <row r="94" ht="12.75" customHeight="1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</row>
    <row r="95" ht="12.75" customHeight="1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</row>
    <row r="96" ht="12.75" customHeight="1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</row>
    <row r="97" ht="12.75" customHeight="1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</row>
    <row r="98" ht="12.75" customHeight="1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</row>
    <row r="99" ht="12.75" customHeight="1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</row>
    <row r="100" ht="12.75" customHeight="1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</row>
    <row r="101" ht="12.75" customHeight="1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</row>
    <row r="102" ht="12.75" customHeight="1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</row>
    <row r="103" ht="12.75" customHeight="1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</row>
    <row r="104" ht="12.75" customHeight="1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</row>
    <row r="105" ht="12.75" customHeight="1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</row>
    <row r="106" ht="12.75" customHeight="1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</row>
    <row r="107" ht="12.75" customHeight="1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</row>
    <row r="108" ht="12.75" customHeight="1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</row>
    <row r="109" ht="12.75" customHeight="1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</row>
    <row r="110" ht="12.75" customHeight="1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</row>
    <row r="111" ht="12.75" customHeight="1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</row>
    <row r="112" ht="12.75" customHeight="1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</row>
    <row r="113" ht="12.75" customHeight="1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</row>
    <row r="114" ht="12.75" customHeight="1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</row>
    <row r="115" ht="12.75" customHeight="1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</row>
    <row r="116" ht="12.75" customHeight="1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</row>
    <row r="117" ht="12.75" customHeight="1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</row>
    <row r="118" ht="12.75" customHeight="1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</row>
    <row r="119" ht="12.75" customHeight="1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</row>
    <row r="120" ht="12.75" customHeight="1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</row>
    <row r="121" ht="12.75" customHeight="1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</row>
    <row r="122" ht="12.75" customHeight="1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</row>
    <row r="123" ht="12.75" customHeight="1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</row>
    <row r="124" ht="12.75" customHeight="1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</row>
    <row r="125" ht="12.75" customHeight="1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</row>
    <row r="126" ht="12.75" customHeight="1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</row>
    <row r="127" ht="12.75" customHeight="1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</row>
    <row r="128" ht="12.75" customHeight="1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</row>
    <row r="129" ht="12.75" customHeight="1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</row>
    <row r="130" ht="12.75" customHeight="1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</row>
    <row r="131" ht="12.75" customHeight="1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</row>
    <row r="132" ht="12.75" customHeight="1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</row>
    <row r="133" ht="12.75" customHeight="1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</row>
    <row r="134" ht="12.75" customHeight="1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</row>
    <row r="135" ht="12.75" customHeight="1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</row>
    <row r="136" ht="12.75" customHeight="1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</row>
    <row r="137" ht="12.75" customHeight="1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</row>
    <row r="138" ht="12.75" customHeight="1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</row>
    <row r="139" ht="12.75" customHeight="1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</row>
    <row r="140" ht="12.75" customHeight="1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</row>
    <row r="141" ht="12.75" customHeight="1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</row>
    <row r="142" ht="12.75" customHeight="1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</row>
    <row r="143" ht="12.75" customHeight="1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</row>
    <row r="144" ht="12.75" customHeight="1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</row>
    <row r="145" ht="12.75" customHeight="1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</row>
    <row r="146" ht="12.75" customHeight="1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</row>
    <row r="147" ht="12.75" customHeight="1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</row>
    <row r="148" ht="12.75" customHeight="1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</row>
    <row r="149" ht="12.75" customHeight="1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</row>
    <row r="150" ht="12.75" customHeight="1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</row>
    <row r="151" ht="12.75" customHeight="1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</row>
    <row r="152" ht="12.75" customHeight="1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</row>
    <row r="153" ht="12.75" customHeight="1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</row>
    <row r="154" ht="12.75" customHeight="1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</row>
    <row r="155" ht="12.75" customHeight="1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</row>
    <row r="156" ht="12.75" customHeight="1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</row>
    <row r="157" ht="12.75" customHeight="1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</row>
    <row r="158" ht="12.75" customHeight="1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</row>
    <row r="159" ht="12.75" customHeight="1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</row>
    <row r="160" ht="12.75" customHeight="1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</row>
    <row r="161" ht="12.75" customHeight="1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</row>
    <row r="162" ht="12.75" customHeight="1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</row>
    <row r="163" ht="12.75" customHeight="1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</row>
    <row r="164" ht="12.75" customHeight="1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</row>
    <row r="165" ht="12.75" customHeight="1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</row>
    <row r="166" ht="12.75" customHeight="1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</row>
    <row r="167" ht="12.75" customHeight="1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</row>
    <row r="168" ht="12.75" customHeight="1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</row>
    <row r="169" ht="12.75" customHeight="1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</row>
    <row r="170" ht="12.75" customHeight="1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</row>
    <row r="171" ht="12.75" customHeight="1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</row>
    <row r="172" ht="12.75" customHeight="1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</row>
    <row r="173" ht="12.75" customHeight="1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</row>
    <row r="174" ht="12.75" customHeight="1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</row>
    <row r="175" ht="12.75" customHeight="1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</row>
    <row r="176" ht="12.75" customHeight="1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</row>
    <row r="177" ht="12.75" customHeight="1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</row>
    <row r="178" ht="12.75" customHeight="1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</row>
    <row r="179" ht="12.75" customHeight="1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</row>
    <row r="180" ht="12.75" customHeight="1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</row>
    <row r="181" ht="12.75" customHeight="1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</row>
    <row r="182" ht="12.75" customHeight="1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</row>
    <row r="183" ht="12.75" customHeight="1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</row>
    <row r="184" ht="12.75" customHeight="1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</row>
    <row r="185" ht="12.75" customHeight="1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</row>
    <row r="186" ht="12.75" customHeight="1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</row>
    <row r="187" ht="12.75" customHeight="1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</row>
    <row r="188" ht="12.75" customHeight="1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</row>
    <row r="189" ht="12.75" customHeight="1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</row>
    <row r="190" ht="12.75" customHeight="1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</row>
    <row r="191" ht="12.75" customHeight="1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</row>
    <row r="192" ht="12.75" customHeight="1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</row>
    <row r="193" ht="12.75" customHeight="1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</row>
    <row r="194" ht="12.75" customHeight="1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</row>
    <row r="195" ht="12.75" customHeight="1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</row>
    <row r="196" ht="12.75" customHeight="1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</row>
    <row r="197" ht="12.75" customHeight="1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</row>
    <row r="198" ht="12.75" customHeight="1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</row>
    <row r="199" ht="12.75" customHeight="1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</row>
    <row r="200" ht="12.75" customHeight="1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</row>
    <row r="201" ht="12.75" customHeight="1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</row>
    <row r="202" ht="12.75" customHeight="1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</row>
    <row r="203" ht="12.75" customHeight="1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</row>
    <row r="204" ht="12.75" customHeight="1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</row>
    <row r="205" ht="12.75" customHeight="1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</row>
    <row r="206" ht="12.75" customHeight="1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</row>
    <row r="207" ht="12.75" customHeight="1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</row>
    <row r="208" ht="12.75" customHeight="1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</row>
    <row r="209" ht="12.75" customHeight="1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</row>
    <row r="210" ht="12.75" customHeight="1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</row>
    <row r="211" ht="12.75" customHeight="1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</row>
    <row r="212" ht="12.75" customHeight="1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</row>
    <row r="213" ht="12.75" customHeight="1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</row>
    <row r="214" ht="12.75" customHeight="1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</row>
    <row r="215" ht="12.75" customHeight="1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</row>
    <row r="216" ht="12.75" customHeight="1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</row>
    <row r="217" ht="12.75" customHeight="1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</row>
    <row r="218" ht="12.75" customHeight="1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</row>
    <row r="219" ht="12.75" customHeight="1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</row>
    <row r="220" ht="12.75" customHeight="1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</row>
    <row r="221" ht="12.75" customHeight="1">
      <c r="A221" s="28" t="n"/>
      <c r="B221" s="28" t="n"/>
      <c r="C221" s="28" t="n"/>
      <c r="D221" s="28" t="n"/>
      <c r="E221" s="28" t="n"/>
      <c r="F221" s="28" t="n"/>
      <c r="G221" s="28" t="n"/>
      <c r="H221" s="28" t="n"/>
      <c r="I221" s="28" t="n"/>
      <c r="J221" s="28" t="n"/>
      <c r="K221" s="28" t="n"/>
    </row>
    <row r="222" ht="12.75" customHeight="1">
      <c r="A222" s="28" t="n"/>
      <c r="B222" s="28" t="n"/>
      <c r="C222" s="28" t="n"/>
      <c r="D222" s="28" t="n"/>
      <c r="E222" s="28" t="n"/>
      <c r="F222" s="28" t="n"/>
      <c r="G222" s="28" t="n"/>
      <c r="H222" s="28" t="n"/>
      <c r="I222" s="28" t="n"/>
      <c r="J222" s="28" t="n"/>
      <c r="K222" s="28" t="n"/>
    </row>
    <row r="223" ht="12.75" customHeight="1">
      <c r="A223" s="28" t="n"/>
      <c r="B223" s="28" t="n"/>
      <c r="C223" s="28" t="n"/>
      <c r="D223" s="28" t="n"/>
      <c r="E223" s="28" t="n"/>
      <c r="F223" s="28" t="n"/>
      <c r="G223" s="28" t="n"/>
      <c r="H223" s="28" t="n"/>
      <c r="I223" s="28" t="n"/>
      <c r="J223" s="28" t="n"/>
      <c r="K223" s="28" t="n"/>
    </row>
    <row r="224" ht="12.75" customHeight="1">
      <c r="A224" s="28" t="n"/>
      <c r="B224" s="28" t="n"/>
      <c r="C224" s="28" t="n"/>
      <c r="D224" s="28" t="n"/>
      <c r="E224" s="28" t="n"/>
      <c r="F224" s="28" t="n"/>
      <c r="G224" s="28" t="n"/>
      <c r="H224" s="28" t="n"/>
      <c r="I224" s="28" t="n"/>
      <c r="J224" s="28" t="n"/>
      <c r="K224" s="28" t="n"/>
    </row>
    <row r="225" ht="12.75" customHeight="1">
      <c r="A225" s="28" t="n"/>
      <c r="B225" s="28" t="n"/>
      <c r="C225" s="28" t="n"/>
      <c r="D225" s="28" t="n"/>
      <c r="E225" s="28" t="n"/>
      <c r="F225" s="28" t="n"/>
      <c r="G225" s="28" t="n"/>
      <c r="H225" s="28" t="n"/>
      <c r="I225" s="28" t="n"/>
      <c r="J225" s="28" t="n"/>
      <c r="K225" s="28" t="n"/>
    </row>
    <row r="226" ht="12.75" customHeight="1">
      <c r="A226" s="28" t="n"/>
      <c r="B226" s="28" t="n"/>
      <c r="C226" s="28" t="n"/>
      <c r="D226" s="28" t="n"/>
      <c r="E226" s="28" t="n"/>
      <c r="F226" s="28" t="n"/>
      <c r="G226" s="28" t="n"/>
      <c r="H226" s="28" t="n"/>
      <c r="I226" s="28" t="n"/>
      <c r="J226" s="28" t="n"/>
      <c r="K226" s="28" t="n"/>
    </row>
    <row r="227" ht="12.75" customHeight="1">
      <c r="A227" s="28" t="n"/>
      <c r="B227" s="28" t="n"/>
      <c r="C227" s="28" t="n"/>
      <c r="D227" s="28" t="n"/>
      <c r="E227" s="28" t="n"/>
      <c r="F227" s="28" t="n"/>
      <c r="G227" s="28" t="n"/>
      <c r="H227" s="28" t="n"/>
      <c r="I227" s="28" t="n"/>
      <c r="J227" s="28" t="n"/>
      <c r="K227" s="28" t="n"/>
    </row>
    <row r="228" ht="12.75" customHeight="1">
      <c r="A228" s="28" t="n"/>
      <c r="B228" s="28" t="n"/>
      <c r="C228" s="28" t="n"/>
      <c r="D228" s="28" t="n"/>
      <c r="E228" s="28" t="n"/>
      <c r="F228" s="28" t="n"/>
      <c r="G228" s="28" t="n"/>
      <c r="H228" s="28" t="n"/>
      <c r="I228" s="28" t="n"/>
      <c r="J228" s="28" t="n"/>
      <c r="K228" s="28" t="n"/>
    </row>
    <row r="229" ht="12.75" customHeight="1">
      <c r="A229" s="28" t="n"/>
      <c r="B229" s="28" t="n"/>
      <c r="C229" s="28" t="n"/>
      <c r="D229" s="28" t="n"/>
      <c r="E229" s="28" t="n"/>
      <c r="F229" s="28" t="n"/>
      <c r="G229" s="28" t="n"/>
      <c r="H229" s="28" t="n"/>
      <c r="I229" s="28" t="n"/>
      <c r="J229" s="28" t="n"/>
      <c r="K229" s="28" t="n"/>
    </row>
    <row r="230" ht="12.75" customHeight="1">
      <c r="A230" s="28" t="n"/>
      <c r="B230" s="28" t="n"/>
      <c r="C230" s="28" t="n"/>
      <c r="D230" s="28" t="n"/>
      <c r="E230" s="28" t="n"/>
      <c r="F230" s="28" t="n"/>
      <c r="G230" s="28" t="n"/>
      <c r="H230" s="28" t="n"/>
      <c r="I230" s="28" t="n"/>
      <c r="J230" s="28" t="n"/>
      <c r="K230" s="28" t="n"/>
    </row>
    <row r="231" ht="12.75" customHeight="1">
      <c r="A231" s="28" t="n"/>
      <c r="B231" s="28" t="n"/>
      <c r="C231" s="28" t="n"/>
      <c r="D231" s="28" t="n"/>
      <c r="E231" s="28" t="n"/>
      <c r="F231" s="28" t="n"/>
      <c r="G231" s="28" t="n"/>
      <c r="H231" s="28" t="n"/>
      <c r="I231" s="28" t="n"/>
      <c r="J231" s="28" t="n"/>
      <c r="K231" s="28" t="n"/>
    </row>
    <row r="232" ht="12.75" customHeight="1">
      <c r="A232" s="28" t="n"/>
      <c r="B232" s="28" t="n"/>
      <c r="C232" s="28" t="n"/>
      <c r="D232" s="28" t="n"/>
      <c r="E232" s="28" t="n"/>
      <c r="F232" s="28" t="n"/>
      <c r="G232" s="28" t="n"/>
      <c r="H232" s="28" t="n"/>
      <c r="I232" s="28" t="n"/>
      <c r="J232" s="28" t="n"/>
      <c r="K232" s="28" t="n"/>
    </row>
    <row r="233" ht="12.75" customHeight="1">
      <c r="A233" s="28" t="n"/>
      <c r="B233" s="28" t="n"/>
      <c r="C233" s="28" t="n"/>
      <c r="D233" s="28" t="n"/>
      <c r="E233" s="28" t="n"/>
      <c r="F233" s="28" t="n"/>
      <c r="G233" s="28" t="n"/>
      <c r="H233" s="28" t="n"/>
      <c r="I233" s="28" t="n"/>
      <c r="J233" s="28" t="n"/>
      <c r="K233" s="28" t="n"/>
    </row>
    <row r="234" ht="12.75" customHeight="1">
      <c r="A234" s="28" t="n"/>
      <c r="B234" s="28" t="n"/>
      <c r="C234" s="28" t="n"/>
      <c r="D234" s="28" t="n"/>
      <c r="E234" s="28" t="n"/>
      <c r="F234" s="28" t="n"/>
      <c r="G234" s="28" t="n"/>
      <c r="H234" s="28" t="n"/>
      <c r="I234" s="28" t="n"/>
      <c r="J234" s="28" t="n"/>
      <c r="K234" s="28" t="n"/>
    </row>
    <row r="235" ht="12.75" customHeight="1">
      <c r="A235" s="28" t="n"/>
      <c r="B235" s="28" t="n"/>
      <c r="C235" s="28" t="n"/>
      <c r="D235" s="28" t="n"/>
      <c r="E235" s="28" t="n"/>
      <c r="F235" s="28" t="n"/>
      <c r="G235" s="28" t="n"/>
      <c r="H235" s="28" t="n"/>
      <c r="I235" s="28" t="n"/>
      <c r="J235" s="28" t="n"/>
      <c r="K235" s="28" t="n"/>
    </row>
    <row r="236" ht="12.75" customHeight="1">
      <c r="A236" s="28" t="n"/>
      <c r="B236" s="28" t="n"/>
      <c r="C236" s="28" t="n"/>
      <c r="D236" s="28" t="n"/>
      <c r="E236" s="28" t="n"/>
      <c r="F236" s="28" t="n"/>
      <c r="G236" s="28" t="n"/>
      <c r="H236" s="28" t="n"/>
      <c r="I236" s="28" t="n"/>
      <c r="J236" s="28" t="n"/>
      <c r="K236" s="28" t="n"/>
    </row>
    <row r="237" ht="12.75" customHeight="1">
      <c r="A237" s="28" t="n"/>
      <c r="B237" s="28" t="n"/>
      <c r="C237" s="28" t="n"/>
      <c r="D237" s="28" t="n"/>
      <c r="E237" s="28" t="n"/>
      <c r="F237" s="28" t="n"/>
      <c r="G237" s="28" t="n"/>
      <c r="H237" s="28" t="n"/>
      <c r="I237" s="28" t="n"/>
      <c r="J237" s="28" t="n"/>
      <c r="K237" s="28" t="n"/>
    </row>
    <row r="238" ht="12.75" customHeight="1">
      <c r="A238" s="28" t="n"/>
      <c r="B238" s="28" t="n"/>
      <c r="C238" s="28" t="n"/>
      <c r="D238" s="28" t="n"/>
      <c r="E238" s="28" t="n"/>
      <c r="F238" s="28" t="n"/>
      <c r="G238" s="28" t="n"/>
      <c r="H238" s="28" t="n"/>
      <c r="I238" s="28" t="n"/>
      <c r="J238" s="28" t="n"/>
      <c r="K238" s="28" t="n"/>
    </row>
    <row r="239" ht="12.75" customHeight="1">
      <c r="A239" s="28" t="n"/>
      <c r="B239" s="28" t="n"/>
      <c r="C239" s="28" t="n"/>
      <c r="D239" s="28" t="n"/>
      <c r="E239" s="28" t="n"/>
      <c r="F239" s="28" t="n"/>
      <c r="G239" s="28" t="n"/>
      <c r="H239" s="28" t="n"/>
      <c r="I239" s="28" t="n"/>
      <c r="J239" s="28" t="n"/>
      <c r="K239" s="28" t="n"/>
    </row>
    <row r="240" ht="12.75" customHeight="1">
      <c r="A240" s="28" t="n"/>
      <c r="B240" s="28" t="n"/>
      <c r="C240" s="28" t="n"/>
      <c r="D240" s="28" t="n"/>
      <c r="E240" s="28" t="n"/>
      <c r="F240" s="28" t="n"/>
      <c r="G240" s="28" t="n"/>
      <c r="H240" s="28" t="n"/>
      <c r="I240" s="28" t="n"/>
      <c r="J240" s="28" t="n"/>
      <c r="K240" s="28" t="n"/>
    </row>
    <row r="241" ht="12.75" customHeight="1">
      <c r="A241" s="28" t="n"/>
      <c r="B241" s="28" t="n"/>
      <c r="C241" s="28" t="n"/>
      <c r="D241" s="28" t="n"/>
      <c r="E241" s="28" t="n"/>
      <c r="F241" s="28" t="n"/>
      <c r="G241" s="28" t="n"/>
      <c r="H241" s="28" t="n"/>
      <c r="I241" s="28" t="n"/>
      <c r="J241" s="28" t="n"/>
      <c r="K241" s="28" t="n"/>
    </row>
    <row r="242" ht="12.75" customHeight="1">
      <c r="A242" s="28" t="n"/>
      <c r="B242" s="28" t="n"/>
      <c r="C242" s="28" t="n"/>
      <c r="D242" s="28" t="n"/>
      <c r="E242" s="28" t="n"/>
      <c r="F242" s="28" t="n"/>
      <c r="G242" s="28" t="n"/>
      <c r="H242" s="28" t="n"/>
      <c r="I242" s="28" t="n"/>
      <c r="J242" s="28" t="n"/>
      <c r="K242" s="28" t="n"/>
    </row>
    <row r="243" ht="12.75" customHeight="1">
      <c r="A243" s="28" t="n"/>
      <c r="B243" s="28" t="n"/>
      <c r="C243" s="28" t="n"/>
      <c r="D243" s="28" t="n"/>
      <c r="E243" s="28" t="n"/>
      <c r="F243" s="28" t="n"/>
      <c r="G243" s="28" t="n"/>
      <c r="H243" s="28" t="n"/>
      <c r="I243" s="28" t="n"/>
      <c r="J243" s="28" t="n"/>
      <c r="K243" s="28" t="n"/>
    </row>
    <row r="244" ht="12.75" customHeight="1">
      <c r="A244" s="28" t="n"/>
      <c r="B244" s="28" t="n"/>
      <c r="C244" s="28" t="n"/>
      <c r="D244" s="28" t="n"/>
      <c r="E244" s="28" t="n"/>
      <c r="F244" s="28" t="n"/>
      <c r="G244" s="28" t="n"/>
      <c r="H244" s="28" t="n"/>
      <c r="I244" s="28" t="n"/>
      <c r="J244" s="28" t="n"/>
      <c r="K244" s="28" t="n"/>
    </row>
    <row r="245" ht="12.75" customHeight="1">
      <c r="A245" s="28" t="n"/>
      <c r="B245" s="28" t="n"/>
      <c r="C245" s="28" t="n"/>
      <c r="D245" s="28" t="n"/>
      <c r="E245" s="28" t="n"/>
      <c r="F245" s="28" t="n"/>
      <c r="G245" s="28" t="n"/>
      <c r="H245" s="28" t="n"/>
      <c r="I245" s="28" t="n"/>
      <c r="J245" s="28" t="n"/>
      <c r="K245" s="28" t="n"/>
    </row>
    <row r="246" ht="12.75" customHeight="1">
      <c r="A246" s="28" t="n"/>
      <c r="B246" s="28" t="n"/>
      <c r="C246" s="28" t="n"/>
      <c r="D246" s="28" t="n"/>
      <c r="E246" s="28" t="n"/>
      <c r="F246" s="28" t="n"/>
      <c r="G246" s="28" t="n"/>
      <c r="H246" s="28" t="n"/>
      <c r="I246" s="28" t="n"/>
      <c r="J246" s="28" t="n"/>
      <c r="K246" s="28" t="n"/>
    </row>
    <row r="247" ht="12.75" customHeight="1">
      <c r="A247" s="28" t="n"/>
      <c r="B247" s="28" t="n"/>
      <c r="C247" s="28" t="n"/>
      <c r="D247" s="28" t="n"/>
      <c r="E247" s="28" t="n"/>
      <c r="F247" s="28" t="n"/>
      <c r="G247" s="28" t="n"/>
      <c r="H247" s="28" t="n"/>
      <c r="I247" s="28" t="n"/>
      <c r="J247" s="28" t="n"/>
      <c r="K247" s="28" t="n"/>
    </row>
    <row r="248" ht="12.75" customHeight="1">
      <c r="A248" s="28" t="n"/>
      <c r="B248" s="28" t="n"/>
      <c r="C248" s="28" t="n"/>
      <c r="D248" s="28" t="n"/>
      <c r="E248" s="28" t="n"/>
      <c r="F248" s="28" t="n"/>
      <c r="G248" s="28" t="n"/>
      <c r="H248" s="28" t="n"/>
      <c r="I248" s="28" t="n"/>
      <c r="J248" s="28" t="n"/>
      <c r="K248" s="28" t="n"/>
    </row>
    <row r="249" ht="12.75" customHeight="1">
      <c r="A249" s="28" t="n"/>
      <c r="B249" s="28" t="n"/>
      <c r="C249" s="28" t="n"/>
      <c r="D249" s="28" t="n"/>
      <c r="E249" s="28" t="n"/>
      <c r="F249" s="28" t="n"/>
      <c r="G249" s="28" t="n"/>
      <c r="H249" s="28" t="n"/>
      <c r="I249" s="28" t="n"/>
      <c r="J249" s="28" t="n"/>
      <c r="K249" s="28" t="n"/>
    </row>
    <row r="250" ht="12.75" customHeight="1">
      <c r="A250" s="28" t="n"/>
      <c r="B250" s="28" t="n"/>
      <c r="C250" s="28" t="n"/>
      <c r="D250" s="28" t="n"/>
      <c r="E250" s="28" t="n"/>
      <c r="F250" s="28" t="n"/>
      <c r="G250" s="28" t="n"/>
      <c r="H250" s="28" t="n"/>
      <c r="I250" s="28" t="n"/>
      <c r="J250" s="28" t="n"/>
      <c r="K250" s="28" t="n"/>
    </row>
    <row r="251" ht="12.75" customHeight="1">
      <c r="A251" s="28" t="n"/>
      <c r="B251" s="28" t="n"/>
      <c r="C251" s="28" t="n"/>
      <c r="D251" s="28" t="n"/>
      <c r="E251" s="28" t="n"/>
      <c r="F251" s="28" t="n"/>
      <c r="G251" s="28" t="n"/>
      <c r="H251" s="28" t="n"/>
      <c r="I251" s="28" t="n"/>
      <c r="J251" s="28" t="n"/>
      <c r="K251" s="28" t="n"/>
    </row>
    <row r="252" ht="12.75" customHeight="1">
      <c r="A252" s="28" t="n"/>
      <c r="B252" s="28" t="n"/>
      <c r="C252" s="28" t="n"/>
      <c r="D252" s="28" t="n"/>
      <c r="E252" s="28" t="n"/>
      <c r="F252" s="28" t="n"/>
      <c r="G252" s="28" t="n"/>
      <c r="H252" s="28" t="n"/>
      <c r="I252" s="28" t="n"/>
      <c r="J252" s="28" t="n"/>
      <c r="K252" s="28" t="n"/>
    </row>
    <row r="253" ht="12.75" customHeight="1">
      <c r="A253" s="28" t="n"/>
      <c r="B253" s="28" t="n"/>
      <c r="C253" s="28" t="n"/>
      <c r="D253" s="28" t="n"/>
      <c r="E253" s="28" t="n"/>
      <c r="F253" s="28" t="n"/>
      <c r="G253" s="28" t="n"/>
      <c r="H253" s="28" t="n"/>
      <c r="I253" s="28" t="n"/>
      <c r="J253" s="28" t="n"/>
      <c r="K253" s="28" t="n"/>
    </row>
    <row r="254" ht="12.75" customHeight="1">
      <c r="A254" s="28" t="n"/>
      <c r="B254" s="28" t="n"/>
      <c r="C254" s="28" t="n"/>
      <c r="D254" s="28" t="n"/>
      <c r="E254" s="28" t="n"/>
      <c r="F254" s="28" t="n"/>
      <c r="G254" s="28" t="n"/>
      <c r="H254" s="28" t="n"/>
      <c r="I254" s="28" t="n"/>
      <c r="J254" s="28" t="n"/>
      <c r="K254" s="28" t="n"/>
    </row>
    <row r="255" ht="12.75" customHeight="1">
      <c r="A255" s="28" t="n"/>
      <c r="B255" s="28" t="n"/>
      <c r="C255" s="28" t="n"/>
      <c r="D255" s="28" t="n"/>
      <c r="E255" s="28" t="n"/>
      <c r="F255" s="28" t="n"/>
      <c r="G255" s="28" t="n"/>
      <c r="H255" s="28" t="n"/>
      <c r="I255" s="28" t="n"/>
      <c r="J255" s="28" t="n"/>
      <c r="K255" s="28" t="n"/>
    </row>
    <row r="256" ht="12.75" customHeight="1">
      <c r="A256" s="28" t="n"/>
      <c r="B256" s="28" t="n"/>
      <c r="C256" s="28" t="n"/>
      <c r="D256" s="28" t="n"/>
      <c r="E256" s="28" t="n"/>
      <c r="F256" s="28" t="n"/>
      <c r="G256" s="28" t="n"/>
      <c r="H256" s="28" t="n"/>
      <c r="I256" s="28" t="n"/>
      <c r="J256" s="28" t="n"/>
      <c r="K256" s="28" t="n"/>
    </row>
    <row r="257" ht="12.75" customHeight="1">
      <c r="A257" s="28" t="n"/>
      <c r="B257" s="28" t="n"/>
      <c r="C257" s="28" t="n"/>
      <c r="D257" s="28" t="n"/>
      <c r="E257" s="28" t="n"/>
      <c r="F257" s="28" t="n"/>
      <c r="G257" s="28" t="n"/>
      <c r="H257" s="28" t="n"/>
      <c r="I257" s="28" t="n"/>
      <c r="J257" s="28" t="n"/>
      <c r="K257" s="28" t="n"/>
    </row>
    <row r="258" ht="12.75" customHeight="1">
      <c r="A258" s="28" t="n"/>
      <c r="B258" s="28" t="n"/>
      <c r="C258" s="28" t="n"/>
      <c r="D258" s="28" t="n"/>
      <c r="E258" s="28" t="n"/>
      <c r="F258" s="28" t="n"/>
      <c r="G258" s="28" t="n"/>
      <c r="H258" s="28" t="n"/>
      <c r="I258" s="28" t="n"/>
      <c r="J258" s="28" t="n"/>
      <c r="K258" s="28" t="n"/>
    </row>
    <row r="259" ht="12.75" customHeight="1">
      <c r="A259" s="28" t="n"/>
      <c r="B259" s="28" t="n"/>
      <c r="C259" s="28" t="n"/>
      <c r="D259" s="28" t="n"/>
      <c r="E259" s="28" t="n"/>
      <c r="F259" s="28" t="n"/>
      <c r="G259" s="28" t="n"/>
      <c r="H259" s="28" t="n"/>
      <c r="I259" s="28" t="n"/>
      <c r="J259" s="28" t="n"/>
      <c r="K259" s="28" t="n"/>
    </row>
    <row r="260" ht="12.75" customHeight="1">
      <c r="A260" s="28" t="n"/>
      <c r="B260" s="28" t="n"/>
      <c r="C260" s="28" t="n"/>
      <c r="D260" s="28" t="n"/>
      <c r="E260" s="28" t="n"/>
      <c r="F260" s="28" t="n"/>
      <c r="G260" s="28" t="n"/>
      <c r="H260" s="28" t="n"/>
      <c r="I260" s="28" t="n"/>
      <c r="J260" s="28" t="n"/>
      <c r="K260" s="28" t="n"/>
    </row>
    <row r="261" ht="12.75" customHeight="1">
      <c r="A261" s="28" t="n"/>
      <c r="B261" s="28" t="n"/>
      <c r="C261" s="28" t="n"/>
      <c r="D261" s="28" t="n"/>
      <c r="E261" s="28" t="n"/>
      <c r="F261" s="28" t="n"/>
      <c r="G261" s="28" t="n"/>
      <c r="H261" s="28" t="n"/>
      <c r="I261" s="28" t="n"/>
      <c r="J261" s="28" t="n"/>
      <c r="K261" s="28" t="n"/>
    </row>
    <row r="262" ht="12.75" customHeight="1">
      <c r="A262" s="28" t="n"/>
      <c r="B262" s="28" t="n"/>
      <c r="C262" s="28" t="n"/>
      <c r="D262" s="28" t="n"/>
      <c r="E262" s="28" t="n"/>
      <c r="F262" s="28" t="n"/>
      <c r="G262" s="28" t="n"/>
      <c r="H262" s="28" t="n"/>
      <c r="I262" s="28" t="n"/>
      <c r="J262" s="28" t="n"/>
      <c r="K262" s="28" t="n"/>
    </row>
    <row r="263" ht="12.75" customHeight="1">
      <c r="A263" s="28" t="n"/>
      <c r="B263" s="28" t="n"/>
      <c r="C263" s="28" t="n"/>
      <c r="D263" s="28" t="n"/>
      <c r="E263" s="28" t="n"/>
      <c r="F263" s="28" t="n"/>
      <c r="G263" s="28" t="n"/>
      <c r="H263" s="28" t="n"/>
      <c r="I263" s="28" t="n"/>
      <c r="J263" s="28" t="n"/>
      <c r="K263" s="28" t="n"/>
    </row>
    <row r="264" ht="12.75" customHeight="1">
      <c r="A264" s="28" t="n"/>
      <c r="B264" s="28" t="n"/>
      <c r="C264" s="28" t="n"/>
      <c r="D264" s="28" t="n"/>
      <c r="E264" s="28" t="n"/>
      <c r="F264" s="28" t="n"/>
      <c r="G264" s="28" t="n"/>
      <c r="H264" s="28" t="n"/>
      <c r="I264" s="28" t="n"/>
      <c r="J264" s="28" t="n"/>
      <c r="K264" s="28" t="n"/>
    </row>
    <row r="265" ht="12.75" customHeight="1">
      <c r="A265" s="28" t="n"/>
      <c r="B265" s="28" t="n"/>
      <c r="C265" s="28" t="n"/>
      <c r="D265" s="28" t="n"/>
      <c r="E265" s="28" t="n"/>
      <c r="F265" s="28" t="n"/>
      <c r="G265" s="28" t="n"/>
      <c r="H265" s="28" t="n"/>
      <c r="I265" s="28" t="n"/>
      <c r="J265" s="28" t="n"/>
      <c r="K265" s="28" t="n"/>
    </row>
    <row r="266" ht="12.75" customHeight="1">
      <c r="A266" s="28" t="n"/>
      <c r="B266" s="28" t="n"/>
      <c r="C266" s="28" t="n"/>
      <c r="D266" s="28" t="n"/>
      <c r="E266" s="28" t="n"/>
      <c r="F266" s="28" t="n"/>
      <c r="G266" s="28" t="n"/>
      <c r="H266" s="28" t="n"/>
      <c r="I266" s="28" t="n"/>
      <c r="J266" s="28" t="n"/>
      <c r="K266" s="28" t="n"/>
    </row>
    <row r="267" ht="12.75" customHeight="1">
      <c r="A267" s="28" t="n"/>
      <c r="B267" s="28" t="n"/>
      <c r="C267" s="28" t="n"/>
      <c r="D267" s="28" t="n"/>
      <c r="E267" s="28" t="n"/>
      <c r="F267" s="28" t="n"/>
      <c r="G267" s="28" t="n"/>
      <c r="H267" s="28" t="n"/>
      <c r="I267" s="28" t="n"/>
      <c r="J267" s="28" t="n"/>
      <c r="K267" s="28" t="n"/>
    </row>
    <row r="268" ht="12.75" customHeight="1">
      <c r="A268" s="28" t="n"/>
      <c r="B268" s="28" t="n"/>
      <c r="C268" s="28" t="n"/>
      <c r="D268" s="28" t="n"/>
      <c r="E268" s="28" t="n"/>
      <c r="F268" s="28" t="n"/>
      <c r="G268" s="28" t="n"/>
      <c r="H268" s="28" t="n"/>
      <c r="I268" s="28" t="n"/>
      <c r="J268" s="28" t="n"/>
      <c r="K268" s="28" t="n"/>
    </row>
    <row r="269" ht="12.75" customHeight="1">
      <c r="A269" s="28" t="n"/>
      <c r="B269" s="28" t="n"/>
      <c r="C269" s="28" t="n"/>
      <c r="D269" s="28" t="n"/>
      <c r="E269" s="28" t="n"/>
      <c r="F269" s="28" t="n"/>
      <c r="G269" s="28" t="n"/>
      <c r="H269" s="28" t="n"/>
      <c r="I269" s="28" t="n"/>
      <c r="J269" s="28" t="n"/>
      <c r="K269" s="28" t="n"/>
    </row>
    <row r="270" ht="12.75" customHeight="1">
      <c r="A270" s="28" t="n"/>
      <c r="B270" s="28" t="n"/>
      <c r="C270" s="28" t="n"/>
      <c r="D270" s="28" t="n"/>
      <c r="E270" s="28" t="n"/>
      <c r="F270" s="28" t="n"/>
      <c r="G270" s="28" t="n"/>
      <c r="H270" s="28" t="n"/>
      <c r="I270" s="28" t="n"/>
      <c r="J270" s="28" t="n"/>
      <c r="K270" s="28" t="n"/>
    </row>
    <row r="271" ht="12.75" customHeight="1">
      <c r="A271" s="28" t="n"/>
      <c r="B271" s="28" t="n"/>
      <c r="C271" s="28" t="n"/>
      <c r="D271" s="28" t="n"/>
      <c r="E271" s="28" t="n"/>
      <c r="F271" s="28" t="n"/>
      <c r="G271" s="28" t="n"/>
      <c r="H271" s="28" t="n"/>
      <c r="I271" s="28" t="n"/>
      <c r="J271" s="28" t="n"/>
      <c r="K271" s="28" t="n"/>
    </row>
    <row r="272" ht="12.75" customHeight="1">
      <c r="A272" s="28" t="n"/>
      <c r="B272" s="28" t="n"/>
      <c r="C272" s="28" t="n"/>
      <c r="D272" s="28" t="n"/>
      <c r="E272" s="28" t="n"/>
      <c r="F272" s="28" t="n"/>
      <c r="G272" s="28" t="n"/>
      <c r="H272" s="28" t="n"/>
      <c r="I272" s="28" t="n"/>
      <c r="J272" s="28" t="n"/>
      <c r="K272" s="28" t="n"/>
    </row>
    <row r="273" ht="12.75" customHeight="1">
      <c r="A273" s="28" t="n"/>
      <c r="B273" s="28" t="n"/>
      <c r="C273" s="28" t="n"/>
      <c r="D273" s="28" t="n"/>
      <c r="E273" s="28" t="n"/>
      <c r="F273" s="28" t="n"/>
      <c r="G273" s="28" t="n"/>
      <c r="H273" s="28" t="n"/>
      <c r="I273" s="28" t="n"/>
      <c r="J273" s="28" t="n"/>
      <c r="K273" s="28" t="n"/>
    </row>
    <row r="274" ht="12.75" customHeight="1">
      <c r="A274" s="28" t="n"/>
      <c r="B274" s="28" t="n"/>
      <c r="C274" s="28" t="n"/>
      <c r="D274" s="28" t="n"/>
      <c r="E274" s="28" t="n"/>
      <c r="F274" s="28" t="n"/>
      <c r="G274" s="28" t="n"/>
      <c r="H274" s="28" t="n"/>
      <c r="I274" s="28" t="n"/>
      <c r="J274" s="28" t="n"/>
      <c r="K274" s="28" t="n"/>
    </row>
    <row r="275" ht="12.75" customHeight="1">
      <c r="A275" s="28" t="n"/>
      <c r="B275" s="28" t="n"/>
      <c r="C275" s="28" t="n"/>
      <c r="D275" s="28" t="n"/>
      <c r="E275" s="28" t="n"/>
      <c r="F275" s="28" t="n"/>
      <c r="G275" s="28" t="n"/>
      <c r="H275" s="28" t="n"/>
      <c r="I275" s="28" t="n"/>
      <c r="J275" s="28" t="n"/>
      <c r="K275" s="28" t="n"/>
    </row>
    <row r="276" ht="12.75" customHeight="1">
      <c r="A276" s="28" t="n"/>
      <c r="B276" s="28" t="n"/>
      <c r="C276" s="28" t="n"/>
      <c r="D276" s="28" t="n"/>
      <c r="E276" s="28" t="n"/>
      <c r="F276" s="28" t="n"/>
      <c r="G276" s="28" t="n"/>
      <c r="H276" s="28" t="n"/>
      <c r="I276" s="28" t="n"/>
      <c r="J276" s="28" t="n"/>
      <c r="K276" s="28" t="n"/>
    </row>
    <row r="277" ht="12.75" customHeight="1">
      <c r="A277" s="28" t="n"/>
      <c r="B277" s="28" t="n"/>
      <c r="C277" s="28" t="n"/>
      <c r="D277" s="28" t="n"/>
      <c r="E277" s="28" t="n"/>
      <c r="F277" s="28" t="n"/>
      <c r="G277" s="28" t="n"/>
      <c r="H277" s="28" t="n"/>
      <c r="I277" s="28" t="n"/>
      <c r="J277" s="28" t="n"/>
      <c r="K277" s="28" t="n"/>
    </row>
    <row r="278" ht="12.75" customHeight="1">
      <c r="A278" s="28" t="n"/>
      <c r="B278" s="28" t="n"/>
      <c r="C278" s="28" t="n"/>
      <c r="D278" s="28" t="n"/>
      <c r="E278" s="28" t="n"/>
      <c r="F278" s="28" t="n"/>
      <c r="G278" s="28" t="n"/>
      <c r="H278" s="28" t="n"/>
      <c r="I278" s="28" t="n"/>
      <c r="J278" s="28" t="n"/>
      <c r="K278" s="28" t="n"/>
    </row>
    <row r="279" ht="12.75" customHeight="1">
      <c r="A279" s="28" t="n"/>
      <c r="B279" s="28" t="n"/>
      <c r="C279" s="28" t="n"/>
      <c r="D279" s="28" t="n"/>
      <c r="E279" s="28" t="n"/>
      <c r="F279" s="28" t="n"/>
      <c r="G279" s="28" t="n"/>
      <c r="H279" s="28" t="n"/>
      <c r="I279" s="28" t="n"/>
      <c r="J279" s="28" t="n"/>
      <c r="K279" s="28" t="n"/>
    </row>
    <row r="280" ht="12.75" customHeight="1">
      <c r="A280" s="28" t="n"/>
      <c r="B280" s="28" t="n"/>
      <c r="C280" s="28" t="n"/>
      <c r="D280" s="28" t="n"/>
      <c r="E280" s="28" t="n"/>
      <c r="F280" s="28" t="n"/>
      <c r="G280" s="28" t="n"/>
      <c r="H280" s="28" t="n"/>
      <c r="I280" s="28" t="n"/>
      <c r="J280" s="28" t="n"/>
      <c r="K280" s="28" t="n"/>
    </row>
    <row r="281" ht="12.75" customHeight="1">
      <c r="A281" s="28" t="n"/>
      <c r="B281" s="28" t="n"/>
      <c r="C281" s="28" t="n"/>
      <c r="D281" s="28" t="n"/>
      <c r="E281" s="28" t="n"/>
      <c r="F281" s="28" t="n"/>
      <c r="G281" s="28" t="n"/>
      <c r="H281" s="28" t="n"/>
      <c r="I281" s="28" t="n"/>
      <c r="J281" s="28" t="n"/>
      <c r="K281" s="28" t="n"/>
    </row>
    <row r="282" ht="12.75" customHeight="1">
      <c r="A282" s="28" t="n"/>
      <c r="B282" s="28" t="n"/>
      <c r="C282" s="28" t="n"/>
      <c r="D282" s="28" t="n"/>
      <c r="E282" s="28" t="n"/>
      <c r="F282" s="28" t="n"/>
      <c r="G282" s="28" t="n"/>
      <c r="H282" s="28" t="n"/>
      <c r="I282" s="28" t="n"/>
      <c r="J282" s="28" t="n"/>
      <c r="K282" s="28" t="n"/>
    </row>
    <row r="283" ht="12.75" customHeight="1">
      <c r="A283" s="28" t="n"/>
      <c r="B283" s="28" t="n"/>
      <c r="C283" s="28" t="n"/>
      <c r="D283" s="28" t="n"/>
      <c r="E283" s="28" t="n"/>
      <c r="F283" s="28" t="n"/>
      <c r="G283" s="28" t="n"/>
      <c r="H283" s="28" t="n"/>
      <c r="I283" s="28" t="n"/>
      <c r="J283" s="28" t="n"/>
      <c r="K283" s="28" t="n"/>
    </row>
    <row r="284" ht="12.75" customHeight="1">
      <c r="A284" s="28" t="n"/>
      <c r="B284" s="28" t="n"/>
      <c r="C284" s="28" t="n"/>
      <c r="D284" s="28" t="n"/>
      <c r="E284" s="28" t="n"/>
      <c r="F284" s="28" t="n"/>
      <c r="G284" s="28" t="n"/>
      <c r="H284" s="28" t="n"/>
      <c r="I284" s="28" t="n"/>
      <c r="J284" s="28" t="n"/>
      <c r="K284" s="28" t="n"/>
    </row>
    <row r="285" ht="12.75" customHeight="1">
      <c r="A285" s="28" t="n"/>
      <c r="B285" s="28" t="n"/>
      <c r="C285" s="28" t="n"/>
      <c r="D285" s="28" t="n"/>
      <c r="E285" s="28" t="n"/>
      <c r="F285" s="28" t="n"/>
      <c r="G285" s="28" t="n"/>
      <c r="H285" s="28" t="n"/>
      <c r="I285" s="28" t="n"/>
      <c r="J285" s="28" t="n"/>
      <c r="K285" s="28" t="n"/>
    </row>
    <row r="286" ht="12.75" customHeight="1">
      <c r="A286" s="28" t="n"/>
      <c r="B286" s="28" t="n"/>
      <c r="C286" s="28" t="n"/>
      <c r="D286" s="28" t="n"/>
      <c r="E286" s="28" t="n"/>
      <c r="F286" s="28" t="n"/>
      <c r="G286" s="28" t="n"/>
      <c r="H286" s="28" t="n"/>
      <c r="I286" s="28" t="n"/>
      <c r="J286" s="28" t="n"/>
      <c r="K286" s="28" t="n"/>
    </row>
    <row r="287" ht="12.75" customHeight="1">
      <c r="A287" s="28" t="n"/>
      <c r="B287" s="28" t="n"/>
      <c r="C287" s="28" t="n"/>
      <c r="D287" s="28" t="n"/>
      <c r="E287" s="28" t="n"/>
      <c r="F287" s="28" t="n"/>
      <c r="G287" s="28" t="n"/>
      <c r="H287" s="28" t="n"/>
      <c r="I287" s="28" t="n"/>
      <c r="J287" s="28" t="n"/>
      <c r="K287" s="28" t="n"/>
    </row>
    <row r="288" ht="12.75" customHeight="1">
      <c r="A288" s="28" t="n"/>
      <c r="B288" s="28" t="n"/>
      <c r="C288" s="28" t="n"/>
      <c r="D288" s="28" t="n"/>
      <c r="E288" s="28" t="n"/>
      <c r="F288" s="28" t="n"/>
      <c r="G288" s="28" t="n"/>
      <c r="H288" s="28" t="n"/>
      <c r="I288" s="28" t="n"/>
      <c r="J288" s="28" t="n"/>
      <c r="K288" s="28" t="n"/>
    </row>
    <row r="289" ht="12.75" customHeight="1">
      <c r="A289" s="28" t="n"/>
      <c r="B289" s="28" t="n"/>
      <c r="C289" s="28" t="n"/>
      <c r="D289" s="28" t="n"/>
      <c r="E289" s="28" t="n"/>
      <c r="F289" s="28" t="n"/>
      <c r="G289" s="28" t="n"/>
      <c r="H289" s="28" t="n"/>
      <c r="I289" s="28" t="n"/>
      <c r="J289" s="28" t="n"/>
      <c r="K289" s="28" t="n"/>
    </row>
    <row r="290" ht="12.75" customHeight="1">
      <c r="A290" s="28" t="n"/>
      <c r="B290" s="28" t="n"/>
      <c r="C290" s="28" t="n"/>
      <c r="D290" s="28" t="n"/>
      <c r="E290" s="28" t="n"/>
      <c r="F290" s="28" t="n"/>
      <c r="G290" s="28" t="n"/>
      <c r="H290" s="28" t="n"/>
      <c r="I290" s="28" t="n"/>
      <c r="J290" s="28" t="n"/>
      <c r="K290" s="28" t="n"/>
    </row>
    <row r="291" ht="12.75" customHeight="1">
      <c r="A291" s="28" t="n"/>
      <c r="B291" s="28" t="n"/>
      <c r="C291" s="28" t="n"/>
      <c r="D291" s="28" t="n"/>
      <c r="E291" s="28" t="n"/>
      <c r="F291" s="28" t="n"/>
      <c r="G291" s="28" t="n"/>
      <c r="H291" s="28" t="n"/>
      <c r="I291" s="28" t="n"/>
      <c r="J291" s="28" t="n"/>
      <c r="K291" s="28" t="n"/>
    </row>
    <row r="292" ht="12.75" customHeight="1">
      <c r="A292" s="28" t="n"/>
      <c r="B292" s="28" t="n"/>
      <c r="C292" s="28" t="n"/>
      <c r="D292" s="28" t="n"/>
      <c r="E292" s="28" t="n"/>
      <c r="F292" s="28" t="n"/>
      <c r="G292" s="28" t="n"/>
      <c r="H292" s="28" t="n"/>
      <c r="I292" s="28" t="n"/>
      <c r="J292" s="28" t="n"/>
      <c r="K292" s="28" t="n"/>
    </row>
    <row r="293" ht="12.75" customHeight="1">
      <c r="A293" s="28" t="n"/>
      <c r="B293" s="28" t="n"/>
      <c r="C293" s="28" t="n"/>
      <c r="D293" s="28" t="n"/>
      <c r="E293" s="28" t="n"/>
      <c r="F293" s="28" t="n"/>
      <c r="G293" s="28" t="n"/>
      <c r="H293" s="28" t="n"/>
      <c r="I293" s="28" t="n"/>
      <c r="J293" s="28" t="n"/>
      <c r="K293" s="28" t="n"/>
    </row>
    <row r="294" ht="12.75" customHeight="1">
      <c r="A294" s="28" t="n"/>
      <c r="B294" s="28" t="n"/>
      <c r="C294" s="28" t="n"/>
      <c r="D294" s="28" t="n"/>
      <c r="E294" s="28" t="n"/>
      <c r="F294" s="28" t="n"/>
      <c r="G294" s="28" t="n"/>
      <c r="H294" s="28" t="n"/>
      <c r="I294" s="28" t="n"/>
      <c r="J294" s="28" t="n"/>
      <c r="K294" s="28" t="n"/>
    </row>
    <row r="295" ht="12.75" customHeight="1">
      <c r="A295" s="28" t="n"/>
      <c r="B295" s="28" t="n"/>
      <c r="C295" s="28" t="n"/>
      <c r="D295" s="28" t="n"/>
      <c r="E295" s="28" t="n"/>
      <c r="F295" s="28" t="n"/>
      <c r="G295" s="28" t="n"/>
      <c r="H295" s="28" t="n"/>
      <c r="I295" s="28" t="n"/>
      <c r="J295" s="28" t="n"/>
      <c r="K295" s="28" t="n"/>
    </row>
    <row r="296" ht="12.75" customHeight="1">
      <c r="A296" s="28" t="n"/>
      <c r="B296" s="28" t="n"/>
      <c r="C296" s="28" t="n"/>
      <c r="D296" s="28" t="n"/>
      <c r="E296" s="28" t="n"/>
      <c r="F296" s="28" t="n"/>
      <c r="G296" s="28" t="n"/>
      <c r="H296" s="28" t="n"/>
      <c r="I296" s="28" t="n"/>
      <c r="J296" s="28" t="n"/>
      <c r="K296" s="28" t="n"/>
    </row>
    <row r="297" ht="12.75" customHeight="1">
      <c r="A297" s="28" t="n"/>
      <c r="B297" s="28" t="n"/>
      <c r="C297" s="28" t="n"/>
      <c r="D297" s="28" t="n"/>
      <c r="E297" s="28" t="n"/>
      <c r="F297" s="28" t="n"/>
      <c r="G297" s="28" t="n"/>
      <c r="H297" s="28" t="n"/>
      <c r="I297" s="28" t="n"/>
      <c r="J297" s="28" t="n"/>
      <c r="K297" s="28" t="n"/>
    </row>
    <row r="298" ht="12.75" customHeight="1">
      <c r="A298" s="28" t="n"/>
      <c r="B298" s="28" t="n"/>
      <c r="C298" s="28" t="n"/>
      <c r="D298" s="28" t="n"/>
      <c r="E298" s="28" t="n"/>
      <c r="F298" s="28" t="n"/>
      <c r="G298" s="28" t="n"/>
      <c r="H298" s="28" t="n"/>
      <c r="I298" s="28" t="n"/>
      <c r="J298" s="28" t="n"/>
      <c r="K298" s="28" t="n"/>
    </row>
    <row r="299" ht="12.75" customHeight="1">
      <c r="A299" s="28" t="n"/>
      <c r="B299" s="28" t="n"/>
      <c r="C299" s="28" t="n"/>
      <c r="D299" s="28" t="n"/>
      <c r="E299" s="28" t="n"/>
      <c r="F299" s="28" t="n"/>
      <c r="G299" s="28" t="n"/>
      <c r="H299" s="28" t="n"/>
      <c r="I299" s="28" t="n"/>
      <c r="J299" s="28" t="n"/>
      <c r="K299" s="28" t="n"/>
    </row>
    <row r="300" ht="12.75" customHeight="1">
      <c r="A300" s="28" t="n"/>
      <c r="B300" s="28" t="n"/>
      <c r="C300" s="28" t="n"/>
      <c r="D300" s="28" t="n"/>
      <c r="E300" s="28" t="n"/>
      <c r="F300" s="28" t="n"/>
      <c r="G300" s="28" t="n"/>
      <c r="H300" s="28" t="n"/>
      <c r="I300" s="28" t="n"/>
      <c r="J300" s="28" t="n"/>
      <c r="K300" s="28" t="n"/>
    </row>
    <row r="301" ht="12.75" customHeight="1">
      <c r="A301" s="28" t="n"/>
      <c r="B301" s="28" t="n"/>
      <c r="C301" s="28" t="n"/>
      <c r="D301" s="28" t="n"/>
      <c r="E301" s="28" t="n"/>
      <c r="F301" s="28" t="n"/>
      <c r="G301" s="28" t="n"/>
      <c r="H301" s="28" t="n"/>
      <c r="I301" s="28" t="n"/>
      <c r="J301" s="28" t="n"/>
      <c r="K301" s="28" t="n"/>
    </row>
    <row r="302" ht="12.75" customHeight="1">
      <c r="A302" s="28" t="n"/>
      <c r="B302" s="28" t="n"/>
      <c r="C302" s="28" t="n"/>
      <c r="D302" s="28" t="n"/>
      <c r="E302" s="28" t="n"/>
      <c r="F302" s="28" t="n"/>
      <c r="G302" s="28" t="n"/>
      <c r="H302" s="28" t="n"/>
      <c r="I302" s="28" t="n"/>
      <c r="J302" s="28" t="n"/>
      <c r="K302" s="28" t="n"/>
    </row>
    <row r="303" ht="12.75" customHeight="1">
      <c r="A303" s="28" t="n"/>
      <c r="B303" s="28" t="n"/>
      <c r="C303" s="28" t="n"/>
      <c r="D303" s="28" t="n"/>
      <c r="E303" s="28" t="n"/>
      <c r="F303" s="28" t="n"/>
      <c r="G303" s="28" t="n"/>
      <c r="H303" s="28" t="n"/>
      <c r="I303" s="28" t="n"/>
      <c r="J303" s="28" t="n"/>
      <c r="K303" s="28" t="n"/>
    </row>
    <row r="304" ht="12.75" customHeight="1">
      <c r="A304" s="28" t="n"/>
      <c r="B304" s="28" t="n"/>
      <c r="C304" s="28" t="n"/>
      <c r="D304" s="28" t="n"/>
      <c r="E304" s="28" t="n"/>
      <c r="F304" s="28" t="n"/>
      <c r="G304" s="28" t="n"/>
      <c r="H304" s="28" t="n"/>
      <c r="I304" s="28" t="n"/>
      <c r="J304" s="28" t="n"/>
      <c r="K304" s="28" t="n"/>
    </row>
    <row r="305" ht="12.75" customHeight="1">
      <c r="A305" s="28" t="n"/>
      <c r="B305" s="28" t="n"/>
      <c r="C305" s="28" t="n"/>
      <c r="D305" s="28" t="n"/>
      <c r="E305" s="28" t="n"/>
      <c r="F305" s="28" t="n"/>
      <c r="G305" s="28" t="n"/>
      <c r="H305" s="28" t="n"/>
      <c r="I305" s="28" t="n"/>
      <c r="J305" s="28" t="n"/>
      <c r="K305" s="28" t="n"/>
    </row>
    <row r="306" ht="12.75" customHeight="1">
      <c r="A306" s="28" t="n"/>
      <c r="B306" s="28" t="n"/>
      <c r="C306" s="28" t="n"/>
      <c r="D306" s="28" t="n"/>
      <c r="E306" s="28" t="n"/>
      <c r="F306" s="28" t="n"/>
      <c r="G306" s="28" t="n"/>
      <c r="H306" s="28" t="n"/>
      <c r="I306" s="28" t="n"/>
      <c r="J306" s="28" t="n"/>
      <c r="K306" s="28" t="n"/>
    </row>
    <row r="307" ht="12.75" customHeight="1">
      <c r="A307" s="28" t="n"/>
      <c r="B307" s="28" t="n"/>
      <c r="C307" s="28" t="n"/>
      <c r="D307" s="28" t="n"/>
      <c r="E307" s="28" t="n"/>
      <c r="F307" s="28" t="n"/>
      <c r="G307" s="28" t="n"/>
      <c r="H307" s="28" t="n"/>
      <c r="I307" s="28" t="n"/>
      <c r="J307" s="28" t="n"/>
      <c r="K307" s="28" t="n"/>
    </row>
    <row r="308" ht="12.75" customHeight="1">
      <c r="A308" s="28" t="n"/>
      <c r="B308" s="28" t="n"/>
      <c r="C308" s="28" t="n"/>
      <c r="D308" s="28" t="n"/>
      <c r="E308" s="28" t="n"/>
      <c r="F308" s="28" t="n"/>
      <c r="G308" s="28" t="n"/>
      <c r="H308" s="28" t="n"/>
      <c r="I308" s="28" t="n"/>
      <c r="J308" s="28" t="n"/>
      <c r="K308" s="28" t="n"/>
    </row>
    <row r="309" ht="12.75" customHeight="1">
      <c r="A309" s="28" t="n"/>
      <c r="B309" s="28" t="n"/>
      <c r="C309" s="28" t="n"/>
      <c r="D309" s="28" t="n"/>
      <c r="E309" s="28" t="n"/>
      <c r="F309" s="28" t="n"/>
      <c r="G309" s="28" t="n"/>
      <c r="H309" s="28" t="n"/>
      <c r="I309" s="28" t="n"/>
      <c r="J309" s="28" t="n"/>
      <c r="K309" s="28" t="n"/>
    </row>
    <row r="310" ht="12.75" customHeight="1">
      <c r="A310" s="28" t="n"/>
      <c r="B310" s="28" t="n"/>
      <c r="C310" s="28" t="n"/>
      <c r="D310" s="28" t="n"/>
      <c r="E310" s="28" t="n"/>
      <c r="F310" s="28" t="n"/>
      <c r="G310" s="28" t="n"/>
      <c r="H310" s="28" t="n"/>
      <c r="I310" s="28" t="n"/>
      <c r="J310" s="28" t="n"/>
      <c r="K310" s="28" t="n"/>
    </row>
    <row r="311" ht="12.75" customHeight="1">
      <c r="A311" s="28" t="n"/>
      <c r="B311" s="28" t="n"/>
      <c r="C311" s="28" t="n"/>
      <c r="D311" s="28" t="n"/>
      <c r="E311" s="28" t="n"/>
      <c r="F311" s="28" t="n"/>
      <c r="G311" s="28" t="n"/>
      <c r="H311" s="28" t="n"/>
      <c r="I311" s="28" t="n"/>
      <c r="J311" s="28" t="n"/>
      <c r="K311" s="28" t="n"/>
    </row>
    <row r="312" ht="12.75" customHeight="1">
      <c r="A312" s="28" t="n"/>
      <c r="B312" s="28" t="n"/>
      <c r="C312" s="28" t="n"/>
      <c r="D312" s="28" t="n"/>
      <c r="E312" s="28" t="n"/>
      <c r="F312" s="28" t="n"/>
      <c r="G312" s="28" t="n"/>
      <c r="H312" s="28" t="n"/>
      <c r="I312" s="28" t="n"/>
      <c r="J312" s="28" t="n"/>
      <c r="K312" s="28" t="n"/>
    </row>
    <row r="313" ht="12.75" customHeight="1">
      <c r="A313" s="28" t="n"/>
      <c r="B313" s="28" t="n"/>
      <c r="C313" s="28" t="n"/>
      <c r="D313" s="28" t="n"/>
      <c r="E313" s="28" t="n"/>
      <c r="F313" s="28" t="n"/>
      <c r="G313" s="28" t="n"/>
      <c r="H313" s="28" t="n"/>
      <c r="I313" s="28" t="n"/>
      <c r="J313" s="28" t="n"/>
      <c r="K313" s="28" t="n"/>
    </row>
    <row r="314" ht="12.75" customHeight="1">
      <c r="A314" s="28" t="n"/>
      <c r="B314" s="28" t="n"/>
      <c r="C314" s="28" t="n"/>
      <c r="D314" s="28" t="n"/>
      <c r="E314" s="28" t="n"/>
      <c r="F314" s="28" t="n"/>
      <c r="G314" s="28" t="n"/>
      <c r="H314" s="28" t="n"/>
      <c r="I314" s="28" t="n"/>
      <c r="J314" s="28" t="n"/>
      <c r="K314" s="28" t="n"/>
    </row>
    <row r="315" ht="12.75" customHeight="1">
      <c r="A315" s="28" t="n"/>
      <c r="B315" s="28" t="n"/>
      <c r="C315" s="28" t="n"/>
      <c r="D315" s="28" t="n"/>
      <c r="E315" s="28" t="n"/>
      <c r="F315" s="28" t="n"/>
      <c r="G315" s="28" t="n"/>
      <c r="H315" s="28" t="n"/>
      <c r="I315" s="28" t="n"/>
      <c r="J315" s="28" t="n"/>
      <c r="K315" s="28" t="n"/>
    </row>
    <row r="316" ht="12.75" customHeight="1">
      <c r="A316" s="28" t="n"/>
      <c r="B316" s="28" t="n"/>
      <c r="C316" s="28" t="n"/>
      <c r="D316" s="28" t="n"/>
      <c r="E316" s="28" t="n"/>
      <c r="F316" s="28" t="n"/>
      <c r="G316" s="28" t="n"/>
      <c r="H316" s="28" t="n"/>
      <c r="I316" s="28" t="n"/>
      <c r="J316" s="28" t="n"/>
      <c r="K316" s="28" t="n"/>
    </row>
    <row r="317" ht="12.75" customHeight="1">
      <c r="A317" s="28" t="n"/>
      <c r="B317" s="28" t="n"/>
      <c r="C317" s="28" t="n"/>
      <c r="D317" s="28" t="n"/>
      <c r="E317" s="28" t="n"/>
      <c r="F317" s="28" t="n"/>
      <c r="G317" s="28" t="n"/>
      <c r="H317" s="28" t="n"/>
      <c r="I317" s="28" t="n"/>
      <c r="J317" s="28" t="n"/>
      <c r="K317" s="28" t="n"/>
    </row>
    <row r="318" ht="12.75" customHeight="1">
      <c r="A318" s="28" t="n"/>
      <c r="B318" s="28" t="n"/>
      <c r="C318" s="28" t="n"/>
      <c r="D318" s="28" t="n"/>
      <c r="E318" s="28" t="n"/>
      <c r="F318" s="28" t="n"/>
      <c r="G318" s="28" t="n"/>
      <c r="H318" s="28" t="n"/>
      <c r="I318" s="28" t="n"/>
      <c r="J318" s="28" t="n"/>
      <c r="K318" s="28" t="n"/>
    </row>
    <row r="319" ht="12.75" customHeight="1">
      <c r="A319" s="28" t="n"/>
      <c r="B319" s="28" t="n"/>
      <c r="C319" s="28" t="n"/>
      <c r="D319" s="28" t="n"/>
      <c r="E319" s="28" t="n"/>
      <c r="F319" s="28" t="n"/>
      <c r="G319" s="28" t="n"/>
      <c r="H319" s="28" t="n"/>
      <c r="I319" s="28" t="n"/>
      <c r="J319" s="28" t="n"/>
      <c r="K319" s="28" t="n"/>
    </row>
    <row r="320" ht="12.75" customHeight="1">
      <c r="A320" s="28" t="n"/>
      <c r="B320" s="28" t="n"/>
      <c r="C320" s="28" t="n"/>
      <c r="D320" s="28" t="n"/>
      <c r="E320" s="28" t="n"/>
      <c r="F320" s="28" t="n"/>
      <c r="G320" s="28" t="n"/>
      <c r="H320" s="28" t="n"/>
      <c r="I320" s="28" t="n"/>
      <c r="J320" s="28" t="n"/>
      <c r="K320" s="28" t="n"/>
    </row>
    <row r="321" ht="12.75" customHeight="1">
      <c r="A321" s="28" t="n"/>
      <c r="B321" s="28" t="n"/>
      <c r="C321" s="28" t="n"/>
      <c r="D321" s="28" t="n"/>
      <c r="E321" s="28" t="n"/>
      <c r="F321" s="28" t="n"/>
      <c r="G321" s="28" t="n"/>
      <c r="H321" s="28" t="n"/>
      <c r="I321" s="28" t="n"/>
      <c r="J321" s="28" t="n"/>
      <c r="K321" s="28" t="n"/>
    </row>
    <row r="322" ht="12.75" customHeight="1">
      <c r="A322" s="28" t="n"/>
      <c r="B322" s="28" t="n"/>
      <c r="C322" s="28" t="n"/>
      <c r="D322" s="28" t="n"/>
      <c r="E322" s="28" t="n"/>
      <c r="F322" s="28" t="n"/>
      <c r="G322" s="28" t="n"/>
      <c r="H322" s="28" t="n"/>
      <c r="I322" s="28" t="n"/>
      <c r="J322" s="28" t="n"/>
      <c r="K322" s="28" t="n"/>
    </row>
    <row r="323" ht="12.75" customHeight="1">
      <c r="A323" s="28" t="n"/>
      <c r="B323" s="28" t="n"/>
      <c r="C323" s="28" t="n"/>
      <c r="D323" s="28" t="n"/>
      <c r="E323" s="28" t="n"/>
      <c r="F323" s="28" t="n"/>
      <c r="G323" s="28" t="n"/>
      <c r="H323" s="28" t="n"/>
      <c r="I323" s="28" t="n"/>
      <c r="J323" s="28" t="n"/>
      <c r="K323" s="28" t="n"/>
    </row>
    <row r="324" ht="12.75" customHeight="1">
      <c r="A324" s="28" t="n"/>
      <c r="B324" s="28" t="n"/>
      <c r="C324" s="28" t="n"/>
      <c r="D324" s="28" t="n"/>
      <c r="E324" s="28" t="n"/>
      <c r="F324" s="28" t="n"/>
      <c r="G324" s="28" t="n"/>
      <c r="H324" s="28" t="n"/>
      <c r="I324" s="28" t="n"/>
      <c r="J324" s="28" t="n"/>
      <c r="K324" s="28" t="n"/>
    </row>
    <row r="325" ht="12.75" customHeight="1">
      <c r="A325" s="28" t="n"/>
      <c r="B325" s="28" t="n"/>
      <c r="C325" s="28" t="n"/>
      <c r="D325" s="28" t="n"/>
      <c r="E325" s="28" t="n"/>
      <c r="F325" s="28" t="n"/>
      <c r="G325" s="28" t="n"/>
      <c r="H325" s="28" t="n"/>
      <c r="I325" s="28" t="n"/>
      <c r="J325" s="28" t="n"/>
      <c r="K325" s="28" t="n"/>
    </row>
    <row r="326" ht="12.75" customHeight="1">
      <c r="A326" s="28" t="n"/>
      <c r="B326" s="28" t="n"/>
      <c r="C326" s="28" t="n"/>
      <c r="D326" s="28" t="n"/>
      <c r="E326" s="28" t="n"/>
      <c r="F326" s="28" t="n"/>
      <c r="G326" s="28" t="n"/>
      <c r="H326" s="28" t="n"/>
      <c r="I326" s="28" t="n"/>
      <c r="J326" s="28" t="n"/>
      <c r="K326" s="28" t="n"/>
    </row>
    <row r="327" ht="12.75" customHeight="1">
      <c r="A327" s="28" t="n"/>
      <c r="B327" s="28" t="n"/>
      <c r="C327" s="28" t="n"/>
      <c r="D327" s="28" t="n"/>
      <c r="E327" s="28" t="n"/>
      <c r="F327" s="28" t="n"/>
      <c r="G327" s="28" t="n"/>
      <c r="H327" s="28" t="n"/>
      <c r="I327" s="28" t="n"/>
      <c r="J327" s="28" t="n"/>
      <c r="K327" s="28" t="n"/>
    </row>
    <row r="328" ht="12.75" customHeight="1">
      <c r="A328" s="28" t="n"/>
      <c r="B328" s="28" t="n"/>
      <c r="C328" s="28" t="n"/>
      <c r="D328" s="28" t="n"/>
      <c r="E328" s="28" t="n"/>
      <c r="F328" s="28" t="n"/>
      <c r="G328" s="28" t="n"/>
      <c r="H328" s="28" t="n"/>
      <c r="I328" s="28" t="n"/>
      <c r="J328" s="28" t="n"/>
      <c r="K328" s="28" t="n"/>
    </row>
    <row r="329" ht="12.75" customHeight="1">
      <c r="A329" s="28" t="n"/>
      <c r="B329" s="28" t="n"/>
      <c r="C329" s="28" t="n"/>
      <c r="D329" s="28" t="n"/>
      <c r="E329" s="28" t="n"/>
      <c r="F329" s="28" t="n"/>
      <c r="G329" s="28" t="n"/>
      <c r="H329" s="28" t="n"/>
      <c r="I329" s="28" t="n"/>
      <c r="J329" s="28" t="n"/>
      <c r="K329" s="28" t="n"/>
    </row>
    <row r="330" ht="12.75" customHeight="1">
      <c r="A330" s="28" t="n"/>
      <c r="B330" s="28" t="n"/>
      <c r="C330" s="28" t="n"/>
      <c r="D330" s="28" t="n"/>
      <c r="E330" s="28" t="n"/>
      <c r="F330" s="28" t="n"/>
      <c r="G330" s="28" t="n"/>
      <c r="H330" s="28" t="n"/>
      <c r="I330" s="28" t="n"/>
      <c r="J330" s="28" t="n"/>
      <c r="K330" s="28" t="n"/>
    </row>
    <row r="331" ht="12.75" customHeight="1">
      <c r="A331" s="28" t="n"/>
      <c r="B331" s="28" t="n"/>
      <c r="C331" s="28" t="n"/>
      <c r="D331" s="28" t="n"/>
      <c r="E331" s="28" t="n"/>
      <c r="F331" s="28" t="n"/>
      <c r="G331" s="28" t="n"/>
      <c r="H331" s="28" t="n"/>
      <c r="I331" s="28" t="n"/>
      <c r="J331" s="28" t="n"/>
      <c r="K331" s="28" t="n"/>
    </row>
    <row r="332" ht="12.75" customHeight="1">
      <c r="A332" s="28" t="n"/>
      <c r="B332" s="28" t="n"/>
      <c r="C332" s="28" t="n"/>
      <c r="D332" s="28" t="n"/>
      <c r="E332" s="28" t="n"/>
      <c r="F332" s="28" t="n"/>
      <c r="G332" s="28" t="n"/>
      <c r="H332" s="28" t="n"/>
      <c r="I332" s="28" t="n"/>
      <c r="J332" s="28" t="n"/>
      <c r="K332" s="28" t="n"/>
    </row>
    <row r="333" ht="12.75" customHeight="1">
      <c r="A333" s="28" t="n"/>
      <c r="B333" s="28" t="n"/>
      <c r="C333" s="28" t="n"/>
      <c r="D333" s="28" t="n"/>
      <c r="E333" s="28" t="n"/>
      <c r="F333" s="28" t="n"/>
      <c r="G333" s="28" t="n"/>
      <c r="H333" s="28" t="n"/>
      <c r="I333" s="28" t="n"/>
      <c r="J333" s="28" t="n"/>
      <c r="K333" s="28" t="n"/>
    </row>
    <row r="334" ht="12.75" customHeight="1">
      <c r="A334" s="28" t="n"/>
      <c r="B334" s="28" t="n"/>
      <c r="C334" s="28" t="n"/>
      <c r="D334" s="28" t="n"/>
      <c r="E334" s="28" t="n"/>
      <c r="F334" s="28" t="n"/>
      <c r="G334" s="28" t="n"/>
      <c r="H334" s="28" t="n"/>
      <c r="I334" s="28" t="n"/>
      <c r="J334" s="28" t="n"/>
      <c r="K334" s="28" t="n"/>
    </row>
    <row r="335" ht="12.75" customHeight="1">
      <c r="A335" s="28" t="n"/>
      <c r="B335" s="28" t="n"/>
      <c r="C335" s="28" t="n"/>
      <c r="D335" s="28" t="n"/>
      <c r="E335" s="28" t="n"/>
      <c r="F335" s="28" t="n"/>
      <c r="G335" s="28" t="n"/>
      <c r="H335" s="28" t="n"/>
      <c r="I335" s="28" t="n"/>
      <c r="J335" s="28" t="n"/>
      <c r="K335" s="28" t="n"/>
    </row>
    <row r="336" ht="12.75" customHeight="1">
      <c r="A336" s="28" t="n"/>
      <c r="B336" s="28" t="n"/>
      <c r="C336" s="28" t="n"/>
      <c r="D336" s="28" t="n"/>
      <c r="E336" s="28" t="n"/>
      <c r="F336" s="28" t="n"/>
      <c r="G336" s="28" t="n"/>
      <c r="H336" s="28" t="n"/>
      <c r="I336" s="28" t="n"/>
      <c r="J336" s="28" t="n"/>
      <c r="K336" s="28" t="n"/>
    </row>
    <row r="337" ht="12.75" customHeight="1">
      <c r="A337" s="28" t="n"/>
      <c r="B337" s="28" t="n"/>
      <c r="C337" s="28" t="n"/>
      <c r="D337" s="28" t="n"/>
      <c r="E337" s="28" t="n"/>
      <c r="F337" s="28" t="n"/>
      <c r="G337" s="28" t="n"/>
      <c r="H337" s="28" t="n"/>
      <c r="I337" s="28" t="n"/>
      <c r="J337" s="28" t="n"/>
      <c r="K337" s="28" t="n"/>
    </row>
    <row r="338" ht="12.75" customHeight="1">
      <c r="A338" s="28" t="n"/>
      <c r="B338" s="28" t="n"/>
      <c r="C338" s="28" t="n"/>
      <c r="D338" s="28" t="n"/>
      <c r="E338" s="28" t="n"/>
      <c r="F338" s="28" t="n"/>
      <c r="G338" s="28" t="n"/>
      <c r="H338" s="28" t="n"/>
      <c r="I338" s="28" t="n"/>
      <c r="J338" s="28" t="n"/>
      <c r="K338" s="28" t="n"/>
    </row>
    <row r="339" ht="12.75" customHeight="1">
      <c r="A339" s="28" t="n"/>
      <c r="B339" s="28" t="n"/>
      <c r="C339" s="28" t="n"/>
      <c r="D339" s="28" t="n"/>
      <c r="E339" s="28" t="n"/>
      <c r="F339" s="28" t="n"/>
      <c r="G339" s="28" t="n"/>
      <c r="H339" s="28" t="n"/>
      <c r="I339" s="28" t="n"/>
      <c r="J339" s="28" t="n"/>
      <c r="K339" s="28" t="n"/>
    </row>
    <row r="340" ht="12.75" customHeight="1">
      <c r="A340" s="28" t="n"/>
      <c r="B340" s="28" t="n"/>
      <c r="C340" s="28" t="n"/>
      <c r="D340" s="28" t="n"/>
      <c r="E340" s="28" t="n"/>
      <c r="F340" s="28" t="n"/>
      <c r="G340" s="28" t="n"/>
      <c r="H340" s="28" t="n"/>
      <c r="I340" s="28" t="n"/>
      <c r="J340" s="28" t="n"/>
      <c r="K340" s="28" t="n"/>
    </row>
    <row r="341" ht="12.75" customHeight="1">
      <c r="A341" s="28" t="n"/>
      <c r="B341" s="28" t="n"/>
      <c r="C341" s="28" t="n"/>
      <c r="D341" s="28" t="n"/>
      <c r="E341" s="28" t="n"/>
      <c r="F341" s="28" t="n"/>
      <c r="G341" s="28" t="n"/>
      <c r="H341" s="28" t="n"/>
      <c r="I341" s="28" t="n"/>
      <c r="J341" s="28" t="n"/>
      <c r="K341" s="28" t="n"/>
    </row>
    <row r="342" ht="12.75" customHeight="1">
      <c r="A342" s="28" t="n"/>
      <c r="B342" s="28" t="n"/>
      <c r="C342" s="28" t="n"/>
      <c r="D342" s="28" t="n"/>
      <c r="E342" s="28" t="n"/>
      <c r="F342" s="28" t="n"/>
      <c r="G342" s="28" t="n"/>
      <c r="H342" s="28" t="n"/>
      <c r="I342" s="28" t="n"/>
      <c r="J342" s="28" t="n"/>
      <c r="K342" s="28" t="n"/>
    </row>
    <row r="343" ht="12.75" customHeight="1">
      <c r="A343" s="28" t="n"/>
      <c r="B343" s="28" t="n"/>
      <c r="C343" s="28" t="n"/>
      <c r="D343" s="28" t="n"/>
      <c r="E343" s="28" t="n"/>
      <c r="F343" s="28" t="n"/>
      <c r="G343" s="28" t="n"/>
      <c r="H343" s="28" t="n"/>
      <c r="I343" s="28" t="n"/>
      <c r="J343" s="28" t="n"/>
      <c r="K343" s="28" t="n"/>
    </row>
    <row r="344" ht="12.75" customHeight="1">
      <c r="A344" s="28" t="n"/>
      <c r="B344" s="28" t="n"/>
      <c r="C344" s="28" t="n"/>
      <c r="D344" s="28" t="n"/>
      <c r="E344" s="28" t="n"/>
      <c r="F344" s="28" t="n"/>
      <c r="G344" s="28" t="n"/>
      <c r="H344" s="28" t="n"/>
      <c r="I344" s="28" t="n"/>
      <c r="J344" s="28" t="n"/>
      <c r="K344" s="28" t="n"/>
    </row>
    <row r="345" ht="12.75" customHeight="1">
      <c r="A345" s="28" t="n"/>
      <c r="B345" s="28" t="n"/>
      <c r="C345" s="28" t="n"/>
      <c r="D345" s="28" t="n"/>
      <c r="E345" s="28" t="n"/>
      <c r="F345" s="28" t="n"/>
      <c r="G345" s="28" t="n"/>
      <c r="H345" s="28" t="n"/>
      <c r="I345" s="28" t="n"/>
      <c r="J345" s="28" t="n"/>
      <c r="K345" s="28" t="n"/>
    </row>
    <row r="346" ht="12.75" customHeight="1">
      <c r="A346" s="28" t="n"/>
      <c r="B346" s="28" t="n"/>
      <c r="C346" s="28" t="n"/>
      <c r="D346" s="28" t="n"/>
      <c r="E346" s="28" t="n"/>
      <c r="F346" s="28" t="n"/>
      <c r="G346" s="28" t="n"/>
      <c r="H346" s="28" t="n"/>
      <c r="I346" s="28" t="n"/>
      <c r="J346" s="28" t="n"/>
      <c r="K346" s="28" t="n"/>
    </row>
    <row r="347" ht="12.75" customHeight="1">
      <c r="A347" s="28" t="n"/>
      <c r="B347" s="28" t="n"/>
      <c r="C347" s="28" t="n"/>
      <c r="D347" s="28" t="n"/>
      <c r="E347" s="28" t="n"/>
      <c r="F347" s="28" t="n"/>
      <c r="G347" s="28" t="n"/>
      <c r="H347" s="28" t="n"/>
      <c r="I347" s="28" t="n"/>
      <c r="J347" s="28" t="n"/>
      <c r="K347" s="28" t="n"/>
    </row>
    <row r="348" ht="12.75" customHeight="1">
      <c r="A348" s="28" t="n"/>
      <c r="B348" s="28" t="n"/>
      <c r="C348" s="28" t="n"/>
      <c r="D348" s="28" t="n"/>
      <c r="E348" s="28" t="n"/>
      <c r="F348" s="28" t="n"/>
      <c r="G348" s="28" t="n"/>
      <c r="H348" s="28" t="n"/>
      <c r="I348" s="28" t="n"/>
      <c r="J348" s="28" t="n"/>
      <c r="K348" s="28" t="n"/>
    </row>
    <row r="349" ht="12.75" customHeight="1">
      <c r="A349" s="28" t="n"/>
      <c r="B349" s="28" t="n"/>
      <c r="C349" s="28" t="n"/>
      <c r="D349" s="28" t="n"/>
      <c r="E349" s="28" t="n"/>
      <c r="F349" s="28" t="n"/>
      <c r="G349" s="28" t="n"/>
      <c r="H349" s="28" t="n"/>
      <c r="I349" s="28" t="n"/>
      <c r="J349" s="28" t="n"/>
      <c r="K349" s="28" t="n"/>
    </row>
    <row r="350" ht="12.75" customHeight="1">
      <c r="A350" s="28" t="n"/>
      <c r="B350" s="28" t="n"/>
      <c r="C350" s="28" t="n"/>
      <c r="D350" s="28" t="n"/>
      <c r="E350" s="28" t="n"/>
      <c r="F350" s="28" t="n"/>
      <c r="G350" s="28" t="n"/>
      <c r="H350" s="28" t="n"/>
      <c r="I350" s="28" t="n"/>
      <c r="J350" s="28" t="n"/>
      <c r="K350" s="28" t="n"/>
    </row>
    <row r="351" ht="12.75" customHeight="1">
      <c r="A351" s="28" t="n"/>
      <c r="B351" s="28" t="n"/>
      <c r="C351" s="28" t="n"/>
      <c r="D351" s="28" t="n"/>
      <c r="E351" s="28" t="n"/>
      <c r="F351" s="28" t="n"/>
      <c r="G351" s="28" t="n"/>
      <c r="H351" s="28" t="n"/>
      <c r="I351" s="28" t="n"/>
      <c r="J351" s="28" t="n"/>
      <c r="K351" s="28" t="n"/>
    </row>
    <row r="352" ht="12.75" customHeight="1">
      <c r="A352" s="28" t="n"/>
      <c r="B352" s="28" t="n"/>
      <c r="C352" s="28" t="n"/>
      <c r="D352" s="28" t="n"/>
      <c r="E352" s="28" t="n"/>
      <c r="F352" s="28" t="n"/>
      <c r="G352" s="28" t="n"/>
      <c r="H352" s="28" t="n"/>
      <c r="I352" s="28" t="n"/>
      <c r="J352" s="28" t="n"/>
      <c r="K352" s="28" t="n"/>
    </row>
    <row r="353" ht="12.75" customHeight="1">
      <c r="A353" s="28" t="n"/>
      <c r="B353" s="28" t="n"/>
      <c r="C353" s="28" t="n"/>
      <c r="D353" s="28" t="n"/>
      <c r="E353" s="28" t="n"/>
      <c r="F353" s="28" t="n"/>
      <c r="G353" s="28" t="n"/>
      <c r="H353" s="28" t="n"/>
      <c r="I353" s="28" t="n"/>
      <c r="J353" s="28" t="n"/>
      <c r="K353" s="28" t="n"/>
    </row>
    <row r="354" ht="12.75" customHeight="1">
      <c r="A354" s="28" t="n"/>
      <c r="B354" s="28" t="n"/>
      <c r="C354" s="28" t="n"/>
      <c r="D354" s="28" t="n"/>
      <c r="E354" s="28" t="n"/>
      <c r="F354" s="28" t="n"/>
      <c r="G354" s="28" t="n"/>
      <c r="H354" s="28" t="n"/>
      <c r="I354" s="28" t="n"/>
      <c r="J354" s="28" t="n"/>
      <c r="K354" s="28" t="n"/>
    </row>
    <row r="355" ht="12.75" customHeight="1">
      <c r="A355" s="28" t="n"/>
      <c r="B355" s="28" t="n"/>
      <c r="C355" s="28" t="n"/>
      <c r="D355" s="28" t="n"/>
      <c r="E355" s="28" t="n"/>
      <c r="F355" s="28" t="n"/>
      <c r="G355" s="28" t="n"/>
      <c r="H355" s="28" t="n"/>
      <c r="I355" s="28" t="n"/>
      <c r="J355" s="28" t="n"/>
      <c r="K355" s="28" t="n"/>
    </row>
    <row r="356" ht="12.75" customHeight="1">
      <c r="A356" s="28" t="n"/>
      <c r="B356" s="28" t="n"/>
      <c r="C356" s="28" t="n"/>
      <c r="D356" s="28" t="n"/>
      <c r="E356" s="28" t="n"/>
      <c r="F356" s="28" t="n"/>
      <c r="G356" s="28" t="n"/>
      <c r="H356" s="28" t="n"/>
      <c r="I356" s="28" t="n"/>
      <c r="J356" s="28" t="n"/>
      <c r="K356" s="28" t="n"/>
    </row>
    <row r="357" ht="12.75" customHeight="1">
      <c r="A357" s="28" t="n"/>
      <c r="B357" s="28" t="n"/>
      <c r="C357" s="28" t="n"/>
      <c r="D357" s="28" t="n"/>
      <c r="E357" s="28" t="n"/>
      <c r="F357" s="28" t="n"/>
      <c r="G357" s="28" t="n"/>
      <c r="H357" s="28" t="n"/>
      <c r="I357" s="28" t="n"/>
      <c r="J357" s="28" t="n"/>
      <c r="K357" s="28" t="n"/>
    </row>
    <row r="358" ht="12.75" customHeight="1">
      <c r="A358" s="28" t="n"/>
      <c r="B358" s="28" t="n"/>
      <c r="C358" s="28" t="n"/>
      <c r="D358" s="28" t="n"/>
      <c r="E358" s="28" t="n"/>
      <c r="F358" s="28" t="n"/>
      <c r="G358" s="28" t="n"/>
      <c r="H358" s="28" t="n"/>
      <c r="I358" s="28" t="n"/>
      <c r="J358" s="28" t="n"/>
      <c r="K358" s="28" t="n"/>
    </row>
    <row r="359" ht="12.75" customHeight="1">
      <c r="A359" s="28" t="n"/>
      <c r="B359" s="28" t="n"/>
      <c r="C359" s="28" t="n"/>
      <c r="D359" s="28" t="n"/>
      <c r="E359" s="28" t="n"/>
      <c r="F359" s="28" t="n"/>
      <c r="G359" s="28" t="n"/>
      <c r="H359" s="28" t="n"/>
      <c r="I359" s="28" t="n"/>
      <c r="J359" s="28" t="n"/>
      <c r="K359" s="28" t="n"/>
    </row>
    <row r="360" ht="12.75" customHeight="1">
      <c r="A360" s="28" t="n"/>
      <c r="B360" s="28" t="n"/>
      <c r="C360" s="28" t="n"/>
      <c r="D360" s="28" t="n"/>
      <c r="E360" s="28" t="n"/>
      <c r="F360" s="28" t="n"/>
      <c r="G360" s="28" t="n"/>
      <c r="H360" s="28" t="n"/>
      <c r="I360" s="28" t="n"/>
      <c r="J360" s="28" t="n"/>
      <c r="K360" s="28" t="n"/>
    </row>
    <row r="361" ht="12.75" customHeight="1">
      <c r="A361" s="28" t="n"/>
      <c r="B361" s="28" t="n"/>
      <c r="C361" s="28" t="n"/>
      <c r="D361" s="28" t="n"/>
      <c r="E361" s="28" t="n"/>
      <c r="F361" s="28" t="n"/>
      <c r="G361" s="28" t="n"/>
      <c r="H361" s="28" t="n"/>
      <c r="I361" s="28" t="n"/>
      <c r="J361" s="28" t="n"/>
      <c r="K361" s="28" t="n"/>
    </row>
    <row r="362" ht="12.75" customHeight="1">
      <c r="A362" s="28" t="n"/>
      <c r="B362" s="28" t="n"/>
      <c r="C362" s="28" t="n"/>
      <c r="D362" s="28" t="n"/>
      <c r="E362" s="28" t="n"/>
      <c r="F362" s="28" t="n"/>
      <c r="G362" s="28" t="n"/>
      <c r="H362" s="28" t="n"/>
      <c r="I362" s="28" t="n"/>
      <c r="J362" s="28" t="n"/>
      <c r="K362" s="28" t="n"/>
    </row>
    <row r="363" ht="12.75" customHeight="1">
      <c r="A363" s="28" t="n"/>
      <c r="B363" s="28" t="n"/>
      <c r="C363" s="28" t="n"/>
      <c r="D363" s="28" t="n"/>
      <c r="E363" s="28" t="n"/>
      <c r="F363" s="28" t="n"/>
      <c r="G363" s="28" t="n"/>
      <c r="H363" s="28" t="n"/>
      <c r="I363" s="28" t="n"/>
      <c r="J363" s="28" t="n"/>
      <c r="K363" s="28" t="n"/>
    </row>
    <row r="364" ht="12.75" customHeight="1">
      <c r="A364" s="28" t="n"/>
      <c r="B364" s="28" t="n"/>
      <c r="C364" s="28" t="n"/>
      <c r="D364" s="28" t="n"/>
      <c r="E364" s="28" t="n"/>
      <c r="F364" s="28" t="n"/>
      <c r="G364" s="28" t="n"/>
      <c r="H364" s="28" t="n"/>
      <c r="I364" s="28" t="n"/>
      <c r="J364" s="28" t="n"/>
      <c r="K364" s="28" t="n"/>
    </row>
    <row r="365" ht="12.75" customHeight="1">
      <c r="A365" s="28" t="n"/>
      <c r="B365" s="28" t="n"/>
      <c r="C365" s="28" t="n"/>
      <c r="D365" s="28" t="n"/>
      <c r="E365" s="28" t="n"/>
      <c r="F365" s="28" t="n"/>
      <c r="G365" s="28" t="n"/>
      <c r="H365" s="28" t="n"/>
      <c r="I365" s="28" t="n"/>
      <c r="J365" s="28" t="n"/>
      <c r="K365" s="28" t="n"/>
    </row>
    <row r="366" ht="12.75" customHeight="1">
      <c r="A366" s="28" t="n"/>
      <c r="B366" s="28" t="n"/>
      <c r="C366" s="28" t="n"/>
      <c r="D366" s="28" t="n"/>
      <c r="E366" s="28" t="n"/>
      <c r="F366" s="28" t="n"/>
      <c r="G366" s="28" t="n"/>
      <c r="H366" s="28" t="n"/>
      <c r="I366" s="28" t="n"/>
      <c r="J366" s="28" t="n"/>
      <c r="K366" s="28" t="n"/>
    </row>
    <row r="367" ht="12.75" customHeight="1">
      <c r="A367" s="28" t="n"/>
      <c r="B367" s="28" t="n"/>
      <c r="C367" s="28" t="n"/>
      <c r="D367" s="28" t="n"/>
      <c r="E367" s="28" t="n"/>
      <c r="F367" s="28" t="n"/>
      <c r="G367" s="28" t="n"/>
      <c r="H367" s="28" t="n"/>
      <c r="I367" s="28" t="n"/>
      <c r="J367" s="28" t="n"/>
      <c r="K367" s="28" t="n"/>
    </row>
    <row r="368" ht="12.75" customHeight="1">
      <c r="A368" s="28" t="n"/>
      <c r="B368" s="28" t="n"/>
      <c r="C368" s="28" t="n"/>
      <c r="D368" s="28" t="n"/>
      <c r="E368" s="28" t="n"/>
      <c r="F368" s="28" t="n"/>
      <c r="G368" s="28" t="n"/>
      <c r="H368" s="28" t="n"/>
      <c r="I368" s="28" t="n"/>
      <c r="J368" s="28" t="n"/>
      <c r="K368" s="28" t="n"/>
    </row>
    <row r="369" ht="12.75" customHeight="1">
      <c r="A369" s="28" t="n"/>
      <c r="B369" s="28" t="n"/>
      <c r="C369" s="28" t="n"/>
      <c r="D369" s="28" t="n"/>
      <c r="E369" s="28" t="n"/>
      <c r="F369" s="28" t="n"/>
      <c r="G369" s="28" t="n"/>
      <c r="H369" s="28" t="n"/>
      <c r="I369" s="28" t="n"/>
      <c r="J369" s="28" t="n"/>
      <c r="K369" s="28" t="n"/>
    </row>
    <row r="370" ht="12.75" customHeight="1">
      <c r="A370" s="28" t="n"/>
      <c r="B370" s="28" t="n"/>
      <c r="C370" s="28" t="n"/>
      <c r="D370" s="28" t="n"/>
      <c r="E370" s="28" t="n"/>
      <c r="F370" s="28" t="n"/>
      <c r="G370" s="28" t="n"/>
      <c r="H370" s="28" t="n"/>
      <c r="I370" s="28" t="n"/>
      <c r="J370" s="28" t="n"/>
      <c r="K370" s="28" t="n"/>
    </row>
    <row r="371" ht="12.75" customHeight="1">
      <c r="A371" s="28" t="n"/>
      <c r="B371" s="28" t="n"/>
      <c r="C371" s="28" t="n"/>
      <c r="D371" s="28" t="n"/>
      <c r="E371" s="28" t="n"/>
      <c r="F371" s="28" t="n"/>
      <c r="G371" s="28" t="n"/>
      <c r="H371" s="28" t="n"/>
      <c r="I371" s="28" t="n"/>
      <c r="J371" s="28" t="n"/>
      <c r="K371" s="28" t="n"/>
    </row>
    <row r="372" ht="12.75" customHeight="1">
      <c r="A372" s="28" t="n"/>
      <c r="B372" s="28" t="n"/>
      <c r="C372" s="28" t="n"/>
      <c r="D372" s="28" t="n"/>
      <c r="E372" s="28" t="n"/>
      <c r="F372" s="28" t="n"/>
      <c r="G372" s="28" t="n"/>
      <c r="H372" s="28" t="n"/>
      <c r="I372" s="28" t="n"/>
      <c r="J372" s="28" t="n"/>
      <c r="K372" s="28" t="n"/>
    </row>
    <row r="373" ht="12.75" customHeight="1">
      <c r="A373" s="28" t="n"/>
      <c r="B373" s="28" t="n"/>
      <c r="C373" s="28" t="n"/>
      <c r="D373" s="28" t="n"/>
      <c r="E373" s="28" t="n"/>
      <c r="F373" s="28" t="n"/>
      <c r="G373" s="28" t="n"/>
      <c r="H373" s="28" t="n"/>
      <c r="I373" s="28" t="n"/>
      <c r="J373" s="28" t="n"/>
      <c r="K373" s="28" t="n"/>
    </row>
    <row r="374" ht="12.75" customHeight="1">
      <c r="A374" s="28" t="n"/>
      <c r="B374" s="28" t="n"/>
      <c r="C374" s="28" t="n"/>
      <c r="D374" s="28" t="n"/>
      <c r="E374" s="28" t="n"/>
      <c r="F374" s="28" t="n"/>
      <c r="G374" s="28" t="n"/>
      <c r="H374" s="28" t="n"/>
      <c r="I374" s="28" t="n"/>
      <c r="J374" s="28" t="n"/>
      <c r="K374" s="28" t="n"/>
    </row>
    <row r="375" ht="12.75" customHeight="1">
      <c r="A375" s="28" t="n"/>
      <c r="B375" s="28" t="n"/>
      <c r="C375" s="28" t="n"/>
      <c r="D375" s="28" t="n"/>
      <c r="E375" s="28" t="n"/>
      <c r="F375" s="28" t="n"/>
      <c r="G375" s="28" t="n"/>
      <c r="H375" s="28" t="n"/>
      <c r="I375" s="28" t="n"/>
      <c r="J375" s="28" t="n"/>
      <c r="K375" s="28" t="n"/>
    </row>
    <row r="376" ht="12.75" customHeight="1">
      <c r="A376" s="28" t="n"/>
      <c r="B376" s="28" t="n"/>
      <c r="C376" s="28" t="n"/>
      <c r="D376" s="28" t="n"/>
      <c r="E376" s="28" t="n"/>
      <c r="F376" s="28" t="n"/>
      <c r="G376" s="28" t="n"/>
      <c r="H376" s="28" t="n"/>
      <c r="I376" s="28" t="n"/>
      <c r="J376" s="28" t="n"/>
      <c r="K376" s="28" t="n"/>
    </row>
    <row r="377" ht="12.75" customHeight="1">
      <c r="A377" s="28" t="n"/>
      <c r="B377" s="28" t="n"/>
      <c r="C377" s="28" t="n"/>
      <c r="D377" s="28" t="n"/>
      <c r="E377" s="28" t="n"/>
      <c r="F377" s="28" t="n"/>
      <c r="G377" s="28" t="n"/>
      <c r="H377" s="28" t="n"/>
      <c r="I377" s="28" t="n"/>
      <c r="J377" s="28" t="n"/>
      <c r="K377" s="28" t="n"/>
    </row>
    <row r="378" ht="12.75" customHeight="1">
      <c r="A378" s="28" t="n"/>
      <c r="B378" s="28" t="n"/>
      <c r="C378" s="28" t="n"/>
      <c r="D378" s="28" t="n"/>
      <c r="E378" s="28" t="n"/>
      <c r="F378" s="28" t="n"/>
      <c r="G378" s="28" t="n"/>
      <c r="H378" s="28" t="n"/>
      <c r="I378" s="28" t="n"/>
      <c r="J378" s="28" t="n"/>
      <c r="K378" s="28" t="n"/>
    </row>
    <row r="379" ht="12.75" customHeight="1">
      <c r="A379" s="28" t="n"/>
      <c r="B379" s="28" t="n"/>
      <c r="C379" s="28" t="n"/>
      <c r="D379" s="28" t="n"/>
      <c r="E379" s="28" t="n"/>
      <c r="F379" s="28" t="n"/>
      <c r="G379" s="28" t="n"/>
      <c r="H379" s="28" t="n"/>
      <c r="I379" s="28" t="n"/>
      <c r="J379" s="28" t="n"/>
      <c r="K379" s="28" t="n"/>
    </row>
    <row r="380" ht="12.75" customHeight="1">
      <c r="A380" s="28" t="n"/>
      <c r="B380" s="28" t="n"/>
      <c r="C380" s="28" t="n"/>
      <c r="D380" s="28" t="n"/>
      <c r="E380" s="28" t="n"/>
      <c r="F380" s="28" t="n"/>
      <c r="G380" s="28" t="n"/>
      <c r="H380" s="28" t="n"/>
      <c r="I380" s="28" t="n"/>
      <c r="J380" s="28" t="n"/>
      <c r="K380" s="28" t="n"/>
    </row>
    <row r="381" ht="12.75" customHeight="1">
      <c r="A381" s="28" t="n"/>
      <c r="B381" s="28" t="n"/>
      <c r="C381" s="28" t="n"/>
      <c r="D381" s="28" t="n"/>
      <c r="E381" s="28" t="n"/>
      <c r="F381" s="28" t="n"/>
      <c r="G381" s="28" t="n"/>
      <c r="H381" s="28" t="n"/>
      <c r="I381" s="28" t="n"/>
      <c r="J381" s="28" t="n"/>
      <c r="K381" s="28" t="n"/>
    </row>
    <row r="382" ht="12.75" customHeight="1">
      <c r="A382" s="28" t="n"/>
      <c r="B382" s="28" t="n"/>
      <c r="C382" s="28" t="n"/>
      <c r="D382" s="28" t="n"/>
      <c r="E382" s="28" t="n"/>
      <c r="F382" s="28" t="n"/>
      <c r="G382" s="28" t="n"/>
      <c r="H382" s="28" t="n"/>
      <c r="I382" s="28" t="n"/>
      <c r="J382" s="28" t="n"/>
      <c r="K382" s="28" t="n"/>
    </row>
    <row r="383" ht="12.75" customHeight="1">
      <c r="A383" s="28" t="n"/>
      <c r="B383" s="28" t="n"/>
      <c r="C383" s="28" t="n"/>
      <c r="D383" s="28" t="n"/>
      <c r="E383" s="28" t="n"/>
      <c r="F383" s="28" t="n"/>
      <c r="G383" s="28" t="n"/>
      <c r="H383" s="28" t="n"/>
      <c r="I383" s="28" t="n"/>
      <c r="J383" s="28" t="n"/>
      <c r="K383" s="28" t="n"/>
    </row>
    <row r="384" ht="12.75" customHeight="1">
      <c r="A384" s="28" t="n"/>
      <c r="B384" s="28" t="n"/>
      <c r="C384" s="28" t="n"/>
      <c r="D384" s="28" t="n"/>
      <c r="E384" s="28" t="n"/>
      <c r="F384" s="28" t="n"/>
      <c r="G384" s="28" t="n"/>
      <c r="H384" s="28" t="n"/>
      <c r="I384" s="28" t="n"/>
      <c r="J384" s="28" t="n"/>
      <c r="K384" s="28" t="n"/>
    </row>
    <row r="385" ht="12.75" customHeight="1">
      <c r="A385" s="28" t="n"/>
      <c r="B385" s="28" t="n"/>
      <c r="C385" s="28" t="n"/>
      <c r="D385" s="28" t="n"/>
      <c r="E385" s="28" t="n"/>
      <c r="F385" s="28" t="n"/>
      <c r="G385" s="28" t="n"/>
      <c r="H385" s="28" t="n"/>
      <c r="I385" s="28" t="n"/>
      <c r="J385" s="28" t="n"/>
      <c r="K385" s="28" t="n"/>
    </row>
    <row r="386" ht="12.75" customHeight="1">
      <c r="A386" s="28" t="n"/>
      <c r="B386" s="28" t="n"/>
      <c r="C386" s="28" t="n"/>
      <c r="D386" s="28" t="n"/>
      <c r="E386" s="28" t="n"/>
      <c r="F386" s="28" t="n"/>
      <c r="G386" s="28" t="n"/>
      <c r="H386" s="28" t="n"/>
      <c r="I386" s="28" t="n"/>
      <c r="J386" s="28" t="n"/>
      <c r="K386" s="28" t="n"/>
    </row>
    <row r="387" ht="12.75" customHeight="1">
      <c r="A387" s="28" t="n"/>
      <c r="B387" s="28" t="n"/>
      <c r="C387" s="28" t="n"/>
      <c r="D387" s="28" t="n"/>
      <c r="E387" s="28" t="n"/>
      <c r="F387" s="28" t="n"/>
      <c r="G387" s="28" t="n"/>
      <c r="H387" s="28" t="n"/>
      <c r="I387" s="28" t="n"/>
      <c r="J387" s="28" t="n"/>
      <c r="K387" s="28" t="n"/>
    </row>
    <row r="388" ht="12.75" customHeight="1">
      <c r="A388" s="28" t="n"/>
      <c r="B388" s="28" t="n"/>
      <c r="C388" s="28" t="n"/>
      <c r="D388" s="28" t="n"/>
      <c r="E388" s="28" t="n"/>
      <c r="F388" s="28" t="n"/>
      <c r="G388" s="28" t="n"/>
      <c r="H388" s="28" t="n"/>
      <c r="I388" s="28" t="n"/>
      <c r="J388" s="28" t="n"/>
      <c r="K388" s="28" t="n"/>
    </row>
    <row r="389" ht="12.75" customHeight="1">
      <c r="A389" s="28" t="n"/>
      <c r="B389" s="28" t="n"/>
      <c r="C389" s="28" t="n"/>
      <c r="D389" s="28" t="n"/>
      <c r="E389" s="28" t="n"/>
      <c r="F389" s="28" t="n"/>
      <c r="G389" s="28" t="n"/>
      <c r="H389" s="28" t="n"/>
      <c r="I389" s="28" t="n"/>
      <c r="J389" s="28" t="n"/>
      <c r="K389" s="28" t="n"/>
    </row>
    <row r="390" ht="12.75" customHeight="1">
      <c r="A390" s="28" t="n"/>
      <c r="B390" s="28" t="n"/>
      <c r="C390" s="28" t="n"/>
      <c r="D390" s="28" t="n"/>
      <c r="E390" s="28" t="n"/>
      <c r="F390" s="28" t="n"/>
      <c r="G390" s="28" t="n"/>
      <c r="H390" s="28" t="n"/>
      <c r="I390" s="28" t="n"/>
      <c r="J390" s="28" t="n"/>
      <c r="K390" s="28" t="n"/>
    </row>
    <row r="391" ht="12.75" customHeight="1">
      <c r="A391" s="28" t="n"/>
      <c r="B391" s="28" t="n"/>
      <c r="C391" s="28" t="n"/>
      <c r="D391" s="28" t="n"/>
      <c r="E391" s="28" t="n"/>
      <c r="F391" s="28" t="n"/>
      <c r="G391" s="28" t="n"/>
      <c r="H391" s="28" t="n"/>
      <c r="I391" s="28" t="n"/>
      <c r="J391" s="28" t="n"/>
      <c r="K391" s="28" t="n"/>
    </row>
    <row r="392" ht="12.75" customHeight="1">
      <c r="A392" s="28" t="n"/>
      <c r="B392" s="28" t="n"/>
      <c r="C392" s="28" t="n"/>
      <c r="D392" s="28" t="n"/>
      <c r="E392" s="28" t="n"/>
      <c r="F392" s="28" t="n"/>
      <c r="G392" s="28" t="n"/>
      <c r="H392" s="28" t="n"/>
      <c r="I392" s="28" t="n"/>
      <c r="J392" s="28" t="n"/>
      <c r="K392" s="28" t="n"/>
    </row>
    <row r="393" ht="12.75" customHeight="1">
      <c r="A393" s="28" t="n"/>
      <c r="B393" s="28" t="n"/>
      <c r="C393" s="28" t="n"/>
      <c r="D393" s="28" t="n"/>
      <c r="E393" s="28" t="n"/>
      <c r="F393" s="28" t="n"/>
      <c r="G393" s="28" t="n"/>
      <c r="H393" s="28" t="n"/>
      <c r="I393" s="28" t="n"/>
      <c r="J393" s="28" t="n"/>
      <c r="K393" s="28" t="n"/>
    </row>
    <row r="394" ht="12.75" customHeight="1">
      <c r="A394" s="28" t="n"/>
      <c r="B394" s="28" t="n"/>
      <c r="C394" s="28" t="n"/>
      <c r="D394" s="28" t="n"/>
      <c r="E394" s="28" t="n"/>
      <c r="F394" s="28" t="n"/>
      <c r="G394" s="28" t="n"/>
      <c r="H394" s="28" t="n"/>
      <c r="I394" s="28" t="n"/>
      <c r="J394" s="28" t="n"/>
      <c r="K394" s="28" t="n"/>
    </row>
    <row r="395" ht="12.75" customHeight="1">
      <c r="A395" s="28" t="n"/>
      <c r="B395" s="28" t="n"/>
      <c r="C395" s="28" t="n"/>
      <c r="D395" s="28" t="n"/>
      <c r="E395" s="28" t="n"/>
      <c r="F395" s="28" t="n"/>
      <c r="G395" s="28" t="n"/>
      <c r="H395" s="28" t="n"/>
      <c r="I395" s="28" t="n"/>
      <c r="J395" s="28" t="n"/>
      <c r="K395" s="28" t="n"/>
    </row>
    <row r="396" ht="12.75" customHeight="1">
      <c r="A396" s="28" t="n"/>
      <c r="B396" s="28" t="n"/>
      <c r="C396" s="28" t="n"/>
      <c r="D396" s="28" t="n"/>
      <c r="E396" s="28" t="n"/>
      <c r="F396" s="28" t="n"/>
      <c r="G396" s="28" t="n"/>
      <c r="H396" s="28" t="n"/>
      <c r="I396" s="28" t="n"/>
      <c r="J396" s="28" t="n"/>
      <c r="K396" s="28" t="n"/>
    </row>
    <row r="397" ht="12.75" customHeight="1">
      <c r="A397" s="28" t="n"/>
      <c r="B397" s="28" t="n"/>
      <c r="C397" s="28" t="n"/>
      <c r="D397" s="28" t="n"/>
      <c r="E397" s="28" t="n"/>
      <c r="F397" s="28" t="n"/>
      <c r="G397" s="28" t="n"/>
      <c r="H397" s="28" t="n"/>
      <c r="I397" s="28" t="n"/>
      <c r="J397" s="28" t="n"/>
      <c r="K397" s="28" t="n"/>
    </row>
    <row r="398" ht="12.75" customHeight="1">
      <c r="A398" s="28" t="n"/>
      <c r="B398" s="28" t="n"/>
      <c r="C398" s="28" t="n"/>
      <c r="D398" s="28" t="n"/>
      <c r="E398" s="28" t="n"/>
      <c r="F398" s="28" t="n"/>
      <c r="G398" s="28" t="n"/>
      <c r="H398" s="28" t="n"/>
      <c r="I398" s="28" t="n"/>
      <c r="J398" s="28" t="n"/>
      <c r="K398" s="28" t="n"/>
    </row>
    <row r="399" ht="12.75" customHeight="1">
      <c r="A399" s="28" t="n"/>
      <c r="B399" s="28" t="n"/>
      <c r="C399" s="28" t="n"/>
      <c r="D399" s="28" t="n"/>
      <c r="E399" s="28" t="n"/>
      <c r="F399" s="28" t="n"/>
      <c r="G399" s="28" t="n"/>
      <c r="H399" s="28" t="n"/>
      <c r="I399" s="28" t="n"/>
      <c r="J399" s="28" t="n"/>
      <c r="K399" s="28" t="n"/>
    </row>
    <row r="400" ht="12.75" customHeight="1">
      <c r="A400" s="28" t="n"/>
      <c r="B400" s="28" t="n"/>
      <c r="C400" s="28" t="n"/>
      <c r="D400" s="28" t="n"/>
      <c r="E400" s="28" t="n"/>
      <c r="F400" s="28" t="n"/>
      <c r="G400" s="28" t="n"/>
      <c r="H400" s="28" t="n"/>
      <c r="I400" s="28" t="n"/>
      <c r="J400" s="28" t="n"/>
      <c r="K400" s="28" t="n"/>
    </row>
    <row r="401" ht="12.75" customHeight="1">
      <c r="A401" s="28" t="n"/>
      <c r="B401" s="28" t="n"/>
      <c r="C401" s="28" t="n"/>
      <c r="D401" s="28" t="n"/>
      <c r="E401" s="28" t="n"/>
      <c r="F401" s="28" t="n"/>
      <c r="G401" s="28" t="n"/>
      <c r="H401" s="28" t="n"/>
      <c r="I401" s="28" t="n"/>
      <c r="J401" s="28" t="n"/>
      <c r="K401" s="28" t="n"/>
    </row>
    <row r="402" ht="12.75" customHeight="1">
      <c r="A402" s="28" t="n"/>
      <c r="B402" s="28" t="n"/>
      <c r="C402" s="28" t="n"/>
      <c r="D402" s="28" t="n"/>
      <c r="E402" s="28" t="n"/>
      <c r="F402" s="28" t="n"/>
      <c r="G402" s="28" t="n"/>
      <c r="H402" s="28" t="n"/>
      <c r="I402" s="28" t="n"/>
      <c r="J402" s="28" t="n"/>
      <c r="K402" s="28" t="n"/>
    </row>
    <row r="403" ht="12.75" customHeight="1">
      <c r="A403" s="28" t="n"/>
      <c r="B403" s="28" t="n"/>
      <c r="C403" s="28" t="n"/>
      <c r="D403" s="28" t="n"/>
      <c r="E403" s="28" t="n"/>
      <c r="F403" s="28" t="n"/>
      <c r="G403" s="28" t="n"/>
      <c r="H403" s="28" t="n"/>
      <c r="I403" s="28" t="n"/>
      <c r="J403" s="28" t="n"/>
      <c r="K403" s="28" t="n"/>
    </row>
    <row r="404" ht="12.75" customHeight="1">
      <c r="A404" s="28" t="n"/>
      <c r="B404" s="28" t="n"/>
      <c r="C404" s="28" t="n"/>
      <c r="D404" s="28" t="n"/>
      <c r="E404" s="28" t="n"/>
      <c r="F404" s="28" t="n"/>
      <c r="G404" s="28" t="n"/>
      <c r="H404" s="28" t="n"/>
      <c r="I404" s="28" t="n"/>
      <c r="J404" s="28" t="n"/>
      <c r="K404" s="28" t="n"/>
    </row>
    <row r="405" ht="12.75" customHeight="1">
      <c r="A405" s="28" t="n"/>
      <c r="B405" s="28" t="n"/>
      <c r="C405" s="28" t="n"/>
      <c r="D405" s="28" t="n"/>
      <c r="E405" s="28" t="n"/>
      <c r="F405" s="28" t="n"/>
      <c r="G405" s="28" t="n"/>
      <c r="H405" s="28" t="n"/>
      <c r="I405" s="28" t="n"/>
      <c r="J405" s="28" t="n"/>
      <c r="K405" s="28" t="n"/>
    </row>
    <row r="406" ht="12.75" customHeight="1">
      <c r="A406" s="28" t="n"/>
      <c r="B406" s="28" t="n"/>
      <c r="C406" s="28" t="n"/>
      <c r="D406" s="28" t="n"/>
      <c r="E406" s="28" t="n"/>
      <c r="F406" s="28" t="n"/>
      <c r="G406" s="28" t="n"/>
      <c r="H406" s="28" t="n"/>
      <c r="I406" s="28" t="n"/>
      <c r="J406" s="28" t="n"/>
      <c r="K406" s="28" t="n"/>
    </row>
    <row r="407" ht="12.75" customHeight="1">
      <c r="A407" s="28" t="n"/>
      <c r="B407" s="28" t="n"/>
      <c r="C407" s="28" t="n"/>
      <c r="D407" s="28" t="n"/>
      <c r="E407" s="28" t="n"/>
      <c r="F407" s="28" t="n"/>
      <c r="G407" s="28" t="n"/>
      <c r="H407" s="28" t="n"/>
      <c r="I407" s="28" t="n"/>
      <c r="J407" s="28" t="n"/>
      <c r="K407" s="28" t="n"/>
    </row>
    <row r="408" ht="12.75" customHeight="1">
      <c r="A408" s="28" t="n"/>
      <c r="B408" s="28" t="n"/>
      <c r="C408" s="28" t="n"/>
      <c r="D408" s="28" t="n"/>
      <c r="E408" s="28" t="n"/>
      <c r="F408" s="28" t="n"/>
      <c r="G408" s="28" t="n"/>
      <c r="H408" s="28" t="n"/>
      <c r="I408" s="28" t="n"/>
      <c r="J408" s="28" t="n"/>
      <c r="K408" s="28" t="n"/>
    </row>
    <row r="409" ht="12.75" customHeight="1">
      <c r="A409" s="28" t="n"/>
      <c r="B409" s="28" t="n"/>
      <c r="C409" s="28" t="n"/>
      <c r="D409" s="28" t="n"/>
      <c r="E409" s="28" t="n"/>
      <c r="F409" s="28" t="n"/>
      <c r="G409" s="28" t="n"/>
      <c r="H409" s="28" t="n"/>
      <c r="I409" s="28" t="n"/>
      <c r="J409" s="28" t="n"/>
      <c r="K409" s="28" t="n"/>
    </row>
    <row r="410" ht="12.75" customHeight="1">
      <c r="A410" s="28" t="n"/>
      <c r="B410" s="28" t="n"/>
      <c r="C410" s="28" t="n"/>
      <c r="D410" s="28" t="n"/>
      <c r="E410" s="28" t="n"/>
      <c r="F410" s="28" t="n"/>
      <c r="G410" s="28" t="n"/>
      <c r="H410" s="28" t="n"/>
      <c r="I410" s="28" t="n"/>
      <c r="J410" s="28" t="n"/>
      <c r="K410" s="28" t="n"/>
    </row>
    <row r="411" ht="12.75" customHeight="1">
      <c r="A411" s="28" t="n"/>
      <c r="B411" s="28" t="n"/>
      <c r="C411" s="28" t="n"/>
      <c r="D411" s="28" t="n"/>
      <c r="E411" s="28" t="n"/>
      <c r="F411" s="28" t="n"/>
      <c r="G411" s="28" t="n"/>
      <c r="H411" s="28" t="n"/>
      <c r="I411" s="28" t="n"/>
      <c r="J411" s="28" t="n"/>
      <c r="K411" s="28" t="n"/>
    </row>
    <row r="412" ht="12.75" customHeight="1">
      <c r="A412" s="28" t="n"/>
      <c r="B412" s="28" t="n"/>
      <c r="C412" s="28" t="n"/>
      <c r="D412" s="28" t="n"/>
      <c r="E412" s="28" t="n"/>
      <c r="F412" s="28" t="n"/>
      <c r="G412" s="28" t="n"/>
      <c r="H412" s="28" t="n"/>
      <c r="I412" s="28" t="n"/>
      <c r="J412" s="28" t="n"/>
      <c r="K412" s="28" t="n"/>
    </row>
    <row r="413" ht="12.75" customHeight="1">
      <c r="A413" s="28" t="n"/>
      <c r="B413" s="28" t="n"/>
      <c r="C413" s="28" t="n"/>
      <c r="D413" s="28" t="n"/>
      <c r="E413" s="28" t="n"/>
      <c r="F413" s="28" t="n"/>
      <c r="G413" s="28" t="n"/>
      <c r="H413" s="28" t="n"/>
      <c r="I413" s="28" t="n"/>
      <c r="J413" s="28" t="n"/>
      <c r="K413" s="28" t="n"/>
    </row>
    <row r="414" ht="12.75" customHeight="1">
      <c r="A414" s="28" t="n"/>
      <c r="B414" s="28" t="n"/>
      <c r="C414" s="28" t="n"/>
      <c r="D414" s="28" t="n"/>
      <c r="E414" s="28" t="n"/>
      <c r="F414" s="28" t="n"/>
      <c r="G414" s="28" t="n"/>
      <c r="H414" s="28" t="n"/>
      <c r="I414" s="28" t="n"/>
      <c r="J414" s="28" t="n"/>
      <c r="K414" s="28" t="n"/>
    </row>
    <row r="415" ht="12.75" customHeight="1">
      <c r="A415" s="28" t="n"/>
      <c r="B415" s="28" t="n"/>
      <c r="C415" s="28" t="n"/>
      <c r="D415" s="28" t="n"/>
      <c r="E415" s="28" t="n"/>
      <c r="F415" s="28" t="n"/>
      <c r="G415" s="28" t="n"/>
      <c r="H415" s="28" t="n"/>
      <c r="I415" s="28" t="n"/>
      <c r="J415" s="28" t="n"/>
      <c r="K415" s="28" t="n"/>
    </row>
    <row r="416" ht="12.75" customHeight="1">
      <c r="A416" s="28" t="n"/>
      <c r="B416" s="28" t="n"/>
      <c r="C416" s="28" t="n"/>
      <c r="D416" s="28" t="n"/>
      <c r="E416" s="28" t="n"/>
      <c r="F416" s="28" t="n"/>
      <c r="G416" s="28" t="n"/>
      <c r="H416" s="28" t="n"/>
      <c r="I416" s="28" t="n"/>
      <c r="J416" s="28" t="n"/>
      <c r="K416" s="28" t="n"/>
    </row>
    <row r="417" ht="12.75" customHeight="1">
      <c r="A417" s="28" t="n"/>
      <c r="B417" s="28" t="n"/>
      <c r="C417" s="28" t="n"/>
      <c r="D417" s="28" t="n"/>
      <c r="E417" s="28" t="n"/>
      <c r="F417" s="28" t="n"/>
      <c r="G417" s="28" t="n"/>
      <c r="H417" s="28" t="n"/>
      <c r="I417" s="28" t="n"/>
      <c r="J417" s="28" t="n"/>
      <c r="K417" s="28" t="n"/>
    </row>
    <row r="418" ht="12.75" customHeight="1">
      <c r="A418" s="28" t="n"/>
      <c r="B418" s="28" t="n"/>
      <c r="C418" s="28" t="n"/>
      <c r="D418" s="28" t="n"/>
      <c r="E418" s="28" t="n"/>
      <c r="F418" s="28" t="n"/>
      <c r="G418" s="28" t="n"/>
      <c r="H418" s="28" t="n"/>
      <c r="I418" s="28" t="n"/>
      <c r="J418" s="28" t="n"/>
      <c r="K418" s="28" t="n"/>
    </row>
    <row r="419" ht="12.75" customHeight="1">
      <c r="A419" s="28" t="n"/>
      <c r="B419" s="28" t="n"/>
      <c r="C419" s="28" t="n"/>
      <c r="D419" s="28" t="n"/>
      <c r="E419" s="28" t="n"/>
      <c r="F419" s="28" t="n"/>
      <c r="G419" s="28" t="n"/>
      <c r="H419" s="28" t="n"/>
      <c r="I419" s="28" t="n"/>
      <c r="J419" s="28" t="n"/>
      <c r="K419" s="28" t="n"/>
    </row>
    <row r="420" ht="12.75" customHeight="1">
      <c r="A420" s="28" t="n"/>
      <c r="B420" s="28" t="n"/>
      <c r="C420" s="28" t="n"/>
      <c r="D420" s="28" t="n"/>
      <c r="E420" s="28" t="n"/>
      <c r="F420" s="28" t="n"/>
      <c r="G420" s="28" t="n"/>
      <c r="H420" s="28" t="n"/>
      <c r="I420" s="28" t="n"/>
      <c r="J420" s="28" t="n"/>
      <c r="K420" s="28" t="n"/>
    </row>
    <row r="421" ht="12.75" customHeight="1">
      <c r="A421" s="28" t="n"/>
      <c r="B421" s="28" t="n"/>
      <c r="C421" s="28" t="n"/>
      <c r="D421" s="28" t="n"/>
      <c r="E421" s="28" t="n"/>
      <c r="F421" s="28" t="n"/>
      <c r="G421" s="28" t="n"/>
      <c r="H421" s="28" t="n"/>
      <c r="I421" s="28" t="n"/>
      <c r="J421" s="28" t="n"/>
      <c r="K421" s="28" t="n"/>
    </row>
    <row r="422" ht="12.75" customHeight="1">
      <c r="A422" s="28" t="n"/>
      <c r="B422" s="28" t="n"/>
      <c r="C422" s="28" t="n"/>
      <c r="D422" s="28" t="n"/>
      <c r="E422" s="28" t="n"/>
      <c r="F422" s="28" t="n"/>
      <c r="G422" s="28" t="n"/>
      <c r="H422" s="28" t="n"/>
      <c r="I422" s="28" t="n"/>
      <c r="J422" s="28" t="n"/>
      <c r="K422" s="28" t="n"/>
    </row>
    <row r="423" ht="12.75" customHeight="1">
      <c r="A423" s="28" t="n"/>
      <c r="B423" s="28" t="n"/>
      <c r="C423" s="28" t="n"/>
      <c r="D423" s="28" t="n"/>
      <c r="E423" s="28" t="n"/>
      <c r="F423" s="28" t="n"/>
      <c r="G423" s="28" t="n"/>
      <c r="H423" s="28" t="n"/>
      <c r="I423" s="28" t="n"/>
      <c r="J423" s="28" t="n"/>
      <c r="K423" s="28" t="n"/>
    </row>
    <row r="424" ht="12.75" customHeight="1">
      <c r="A424" s="28" t="n"/>
      <c r="B424" s="28" t="n"/>
      <c r="C424" s="28" t="n"/>
      <c r="D424" s="28" t="n"/>
      <c r="E424" s="28" t="n"/>
      <c r="F424" s="28" t="n"/>
      <c r="G424" s="28" t="n"/>
      <c r="H424" s="28" t="n"/>
      <c r="I424" s="28" t="n"/>
      <c r="J424" s="28" t="n"/>
      <c r="K424" s="28" t="n"/>
    </row>
    <row r="425" ht="12.75" customHeight="1">
      <c r="A425" s="28" t="n"/>
      <c r="B425" s="28" t="n"/>
      <c r="C425" s="28" t="n"/>
      <c r="D425" s="28" t="n"/>
      <c r="E425" s="28" t="n"/>
      <c r="F425" s="28" t="n"/>
      <c r="G425" s="28" t="n"/>
      <c r="H425" s="28" t="n"/>
      <c r="I425" s="28" t="n"/>
      <c r="J425" s="28" t="n"/>
      <c r="K425" s="28" t="n"/>
    </row>
    <row r="426" ht="12.75" customHeight="1">
      <c r="A426" s="28" t="n"/>
      <c r="B426" s="28" t="n"/>
      <c r="C426" s="28" t="n"/>
      <c r="D426" s="28" t="n"/>
      <c r="E426" s="28" t="n"/>
      <c r="F426" s="28" t="n"/>
      <c r="G426" s="28" t="n"/>
      <c r="H426" s="28" t="n"/>
      <c r="I426" s="28" t="n"/>
      <c r="J426" s="28" t="n"/>
      <c r="K426" s="28" t="n"/>
    </row>
    <row r="427" ht="12.75" customHeight="1">
      <c r="A427" s="28" t="n"/>
      <c r="B427" s="28" t="n"/>
      <c r="C427" s="28" t="n"/>
      <c r="D427" s="28" t="n"/>
      <c r="E427" s="28" t="n"/>
      <c r="F427" s="28" t="n"/>
      <c r="G427" s="28" t="n"/>
      <c r="H427" s="28" t="n"/>
      <c r="I427" s="28" t="n"/>
      <c r="J427" s="28" t="n"/>
      <c r="K427" s="28" t="n"/>
    </row>
    <row r="428" ht="12.75" customHeight="1">
      <c r="A428" s="28" t="n"/>
      <c r="B428" s="28" t="n"/>
      <c r="C428" s="28" t="n"/>
      <c r="D428" s="28" t="n"/>
      <c r="E428" s="28" t="n"/>
      <c r="F428" s="28" t="n"/>
      <c r="G428" s="28" t="n"/>
      <c r="H428" s="28" t="n"/>
      <c r="I428" s="28" t="n"/>
      <c r="J428" s="28" t="n"/>
      <c r="K428" s="28" t="n"/>
    </row>
    <row r="429" ht="12.75" customHeight="1">
      <c r="A429" s="28" t="n"/>
      <c r="B429" s="28" t="n"/>
      <c r="C429" s="28" t="n"/>
      <c r="D429" s="28" t="n"/>
      <c r="E429" s="28" t="n"/>
      <c r="F429" s="28" t="n"/>
      <c r="G429" s="28" t="n"/>
      <c r="H429" s="28" t="n"/>
      <c r="I429" s="28" t="n"/>
      <c r="J429" s="28" t="n"/>
      <c r="K429" s="28" t="n"/>
    </row>
    <row r="430" ht="12.75" customHeight="1">
      <c r="A430" s="28" t="n"/>
      <c r="B430" s="28" t="n"/>
      <c r="C430" s="28" t="n"/>
      <c r="D430" s="28" t="n"/>
      <c r="E430" s="28" t="n"/>
      <c r="F430" s="28" t="n"/>
      <c r="G430" s="28" t="n"/>
      <c r="H430" s="28" t="n"/>
      <c r="I430" s="28" t="n"/>
      <c r="J430" s="28" t="n"/>
      <c r="K430" s="28" t="n"/>
    </row>
    <row r="431" ht="12.75" customHeight="1">
      <c r="A431" s="28" t="n"/>
      <c r="B431" s="28" t="n"/>
      <c r="C431" s="28" t="n"/>
      <c r="D431" s="28" t="n"/>
      <c r="E431" s="28" t="n"/>
      <c r="F431" s="28" t="n"/>
      <c r="G431" s="28" t="n"/>
      <c r="H431" s="28" t="n"/>
      <c r="I431" s="28" t="n"/>
      <c r="J431" s="28" t="n"/>
      <c r="K431" s="28" t="n"/>
    </row>
    <row r="432" ht="12.75" customHeight="1">
      <c r="A432" s="28" t="n"/>
      <c r="B432" s="28" t="n"/>
      <c r="C432" s="28" t="n"/>
      <c r="D432" s="28" t="n"/>
      <c r="E432" s="28" t="n"/>
      <c r="F432" s="28" t="n"/>
      <c r="G432" s="28" t="n"/>
      <c r="H432" s="28" t="n"/>
      <c r="I432" s="28" t="n"/>
      <c r="J432" s="28" t="n"/>
      <c r="K432" s="28" t="n"/>
    </row>
    <row r="433" ht="12.75" customHeight="1">
      <c r="A433" s="28" t="n"/>
      <c r="B433" s="28" t="n"/>
      <c r="C433" s="28" t="n"/>
      <c r="D433" s="28" t="n"/>
      <c r="E433" s="28" t="n"/>
      <c r="F433" s="28" t="n"/>
      <c r="G433" s="28" t="n"/>
      <c r="H433" s="28" t="n"/>
      <c r="I433" s="28" t="n"/>
      <c r="J433" s="28" t="n"/>
      <c r="K433" s="28" t="n"/>
    </row>
    <row r="434" ht="12.75" customHeight="1">
      <c r="A434" s="28" t="n"/>
      <c r="B434" s="28" t="n"/>
      <c r="C434" s="28" t="n"/>
      <c r="D434" s="28" t="n"/>
      <c r="E434" s="28" t="n"/>
      <c r="F434" s="28" t="n"/>
      <c r="G434" s="28" t="n"/>
      <c r="H434" s="28" t="n"/>
      <c r="I434" s="28" t="n"/>
      <c r="J434" s="28" t="n"/>
      <c r="K434" s="28" t="n"/>
    </row>
    <row r="435" ht="12.75" customHeight="1">
      <c r="A435" s="28" t="n"/>
      <c r="B435" s="28" t="n"/>
      <c r="C435" s="28" t="n"/>
      <c r="D435" s="28" t="n"/>
      <c r="E435" s="28" t="n"/>
      <c r="F435" s="28" t="n"/>
      <c r="G435" s="28" t="n"/>
      <c r="H435" s="28" t="n"/>
      <c r="I435" s="28" t="n"/>
      <c r="J435" s="28" t="n"/>
      <c r="K435" s="28" t="n"/>
    </row>
    <row r="436" ht="12.75" customHeight="1">
      <c r="A436" s="28" t="n"/>
      <c r="B436" s="28" t="n"/>
      <c r="C436" s="28" t="n"/>
      <c r="D436" s="28" t="n"/>
      <c r="E436" s="28" t="n"/>
      <c r="F436" s="28" t="n"/>
      <c r="G436" s="28" t="n"/>
      <c r="H436" s="28" t="n"/>
      <c r="I436" s="28" t="n"/>
      <c r="J436" s="28" t="n"/>
      <c r="K436" s="28" t="n"/>
    </row>
    <row r="437" ht="12.75" customHeight="1">
      <c r="A437" s="28" t="n"/>
      <c r="B437" s="28" t="n"/>
      <c r="C437" s="28" t="n"/>
      <c r="D437" s="28" t="n"/>
      <c r="E437" s="28" t="n"/>
      <c r="F437" s="28" t="n"/>
      <c r="G437" s="28" t="n"/>
      <c r="H437" s="28" t="n"/>
      <c r="I437" s="28" t="n"/>
      <c r="J437" s="28" t="n"/>
      <c r="K437" s="28" t="n"/>
    </row>
    <row r="438" ht="12.75" customHeight="1">
      <c r="A438" s="28" t="n"/>
      <c r="B438" s="28" t="n"/>
      <c r="C438" s="28" t="n"/>
      <c r="D438" s="28" t="n"/>
      <c r="E438" s="28" t="n"/>
      <c r="F438" s="28" t="n"/>
      <c r="G438" s="28" t="n"/>
      <c r="H438" s="28" t="n"/>
      <c r="I438" s="28" t="n"/>
      <c r="J438" s="28" t="n"/>
      <c r="K438" s="28" t="n"/>
    </row>
    <row r="439" ht="12.75" customHeight="1">
      <c r="A439" s="28" t="n"/>
      <c r="B439" s="28" t="n"/>
      <c r="C439" s="28" t="n"/>
      <c r="D439" s="28" t="n"/>
      <c r="E439" s="28" t="n"/>
      <c r="F439" s="28" t="n"/>
      <c r="G439" s="28" t="n"/>
      <c r="H439" s="28" t="n"/>
      <c r="I439" s="28" t="n"/>
      <c r="J439" s="28" t="n"/>
      <c r="K439" s="28" t="n"/>
    </row>
    <row r="440" ht="12.75" customHeight="1">
      <c r="A440" s="28" t="n"/>
      <c r="B440" s="28" t="n"/>
      <c r="C440" s="28" t="n"/>
      <c r="D440" s="28" t="n"/>
      <c r="E440" s="28" t="n"/>
      <c r="F440" s="28" t="n"/>
      <c r="G440" s="28" t="n"/>
      <c r="H440" s="28" t="n"/>
      <c r="I440" s="28" t="n"/>
      <c r="J440" s="28" t="n"/>
      <c r="K440" s="28" t="n"/>
    </row>
    <row r="441" ht="12.75" customHeight="1">
      <c r="A441" s="28" t="n"/>
      <c r="B441" s="28" t="n"/>
      <c r="C441" s="28" t="n"/>
      <c r="D441" s="28" t="n"/>
      <c r="E441" s="28" t="n"/>
      <c r="F441" s="28" t="n"/>
      <c r="G441" s="28" t="n"/>
      <c r="H441" s="28" t="n"/>
      <c r="I441" s="28" t="n"/>
      <c r="J441" s="28" t="n"/>
      <c r="K441" s="28" t="n"/>
    </row>
    <row r="442" ht="12.75" customHeight="1">
      <c r="A442" s="28" t="n"/>
      <c r="B442" s="28" t="n"/>
      <c r="C442" s="28" t="n"/>
      <c r="D442" s="28" t="n"/>
      <c r="E442" s="28" t="n"/>
      <c r="F442" s="28" t="n"/>
      <c r="G442" s="28" t="n"/>
      <c r="H442" s="28" t="n"/>
      <c r="I442" s="28" t="n"/>
      <c r="J442" s="28" t="n"/>
      <c r="K442" s="28" t="n"/>
    </row>
    <row r="443" ht="12.75" customHeight="1">
      <c r="A443" s="28" t="n"/>
      <c r="B443" s="28" t="n"/>
      <c r="C443" s="28" t="n"/>
      <c r="D443" s="28" t="n"/>
      <c r="E443" s="28" t="n"/>
      <c r="F443" s="28" t="n"/>
      <c r="G443" s="28" t="n"/>
      <c r="H443" s="28" t="n"/>
      <c r="I443" s="28" t="n"/>
      <c r="J443" s="28" t="n"/>
      <c r="K443" s="28" t="n"/>
    </row>
    <row r="444" ht="12.75" customHeight="1">
      <c r="A444" s="28" t="n"/>
      <c r="B444" s="28" t="n"/>
      <c r="C444" s="28" t="n"/>
      <c r="D444" s="28" t="n"/>
      <c r="E444" s="28" t="n"/>
      <c r="F444" s="28" t="n"/>
      <c r="G444" s="28" t="n"/>
      <c r="H444" s="28" t="n"/>
      <c r="I444" s="28" t="n"/>
      <c r="J444" s="28" t="n"/>
      <c r="K444" s="28" t="n"/>
    </row>
    <row r="445" ht="12.75" customHeight="1">
      <c r="A445" s="28" t="n"/>
      <c r="B445" s="28" t="n"/>
      <c r="C445" s="28" t="n"/>
      <c r="D445" s="28" t="n"/>
      <c r="E445" s="28" t="n"/>
      <c r="F445" s="28" t="n"/>
      <c r="G445" s="28" t="n"/>
      <c r="H445" s="28" t="n"/>
      <c r="I445" s="28" t="n"/>
      <c r="J445" s="28" t="n"/>
      <c r="K445" s="28" t="n"/>
    </row>
    <row r="446" ht="12.75" customHeight="1">
      <c r="A446" s="28" t="n"/>
      <c r="B446" s="28" t="n"/>
      <c r="C446" s="28" t="n"/>
      <c r="D446" s="28" t="n"/>
      <c r="E446" s="28" t="n"/>
      <c r="F446" s="28" t="n"/>
      <c r="G446" s="28" t="n"/>
      <c r="H446" s="28" t="n"/>
      <c r="I446" s="28" t="n"/>
      <c r="J446" s="28" t="n"/>
      <c r="K446" s="28" t="n"/>
    </row>
    <row r="447" ht="12.75" customHeight="1">
      <c r="A447" s="28" t="n"/>
      <c r="B447" s="28" t="n"/>
      <c r="C447" s="28" t="n"/>
      <c r="D447" s="28" t="n"/>
      <c r="E447" s="28" t="n"/>
      <c r="F447" s="28" t="n"/>
      <c r="G447" s="28" t="n"/>
      <c r="H447" s="28" t="n"/>
      <c r="I447" s="28" t="n"/>
      <c r="J447" s="28" t="n"/>
      <c r="K447" s="28" t="n"/>
    </row>
    <row r="448" ht="12.75" customHeight="1">
      <c r="A448" s="28" t="n"/>
      <c r="B448" s="28" t="n"/>
      <c r="C448" s="28" t="n"/>
      <c r="D448" s="28" t="n"/>
      <c r="E448" s="28" t="n"/>
      <c r="F448" s="28" t="n"/>
      <c r="G448" s="28" t="n"/>
      <c r="H448" s="28" t="n"/>
      <c r="I448" s="28" t="n"/>
      <c r="J448" s="28" t="n"/>
      <c r="K448" s="28" t="n"/>
    </row>
    <row r="449" ht="12.75" customHeight="1">
      <c r="A449" s="28" t="n"/>
      <c r="B449" s="28" t="n"/>
      <c r="C449" s="28" t="n"/>
      <c r="D449" s="28" t="n"/>
      <c r="E449" s="28" t="n"/>
      <c r="F449" s="28" t="n"/>
      <c r="G449" s="28" t="n"/>
      <c r="H449" s="28" t="n"/>
      <c r="I449" s="28" t="n"/>
      <c r="J449" s="28" t="n"/>
      <c r="K449" s="28" t="n"/>
    </row>
    <row r="450" ht="12.75" customHeight="1">
      <c r="A450" s="28" t="n"/>
      <c r="B450" s="28" t="n"/>
      <c r="C450" s="28" t="n"/>
      <c r="D450" s="28" t="n"/>
      <c r="E450" s="28" t="n"/>
      <c r="F450" s="28" t="n"/>
      <c r="G450" s="28" t="n"/>
      <c r="H450" s="28" t="n"/>
      <c r="I450" s="28" t="n"/>
      <c r="J450" s="28" t="n"/>
      <c r="K450" s="28" t="n"/>
    </row>
    <row r="451" ht="12.75" customHeight="1">
      <c r="A451" s="28" t="n"/>
      <c r="B451" s="28" t="n"/>
      <c r="C451" s="28" t="n"/>
      <c r="D451" s="28" t="n"/>
      <c r="E451" s="28" t="n"/>
      <c r="F451" s="28" t="n"/>
      <c r="G451" s="28" t="n"/>
      <c r="H451" s="28" t="n"/>
      <c r="I451" s="28" t="n"/>
      <c r="J451" s="28" t="n"/>
      <c r="K451" s="28" t="n"/>
    </row>
    <row r="452" ht="12.75" customHeight="1">
      <c r="A452" s="28" t="n"/>
      <c r="B452" s="28" t="n"/>
      <c r="C452" s="28" t="n"/>
      <c r="D452" s="28" t="n"/>
      <c r="E452" s="28" t="n"/>
      <c r="F452" s="28" t="n"/>
      <c r="G452" s="28" t="n"/>
      <c r="H452" s="28" t="n"/>
      <c r="I452" s="28" t="n"/>
      <c r="J452" s="28" t="n"/>
      <c r="K452" s="28" t="n"/>
    </row>
    <row r="453" ht="12.75" customHeight="1">
      <c r="A453" s="28" t="n"/>
      <c r="B453" s="28" t="n"/>
      <c r="C453" s="28" t="n"/>
      <c r="D453" s="28" t="n"/>
      <c r="E453" s="28" t="n"/>
      <c r="F453" s="28" t="n"/>
      <c r="G453" s="28" t="n"/>
      <c r="H453" s="28" t="n"/>
      <c r="I453" s="28" t="n"/>
      <c r="J453" s="28" t="n"/>
      <c r="K453" s="28" t="n"/>
    </row>
    <row r="454" ht="12.75" customHeight="1">
      <c r="A454" s="28" t="n"/>
      <c r="B454" s="28" t="n"/>
      <c r="C454" s="28" t="n"/>
      <c r="D454" s="28" t="n"/>
      <c r="E454" s="28" t="n"/>
      <c r="F454" s="28" t="n"/>
      <c r="G454" s="28" t="n"/>
      <c r="H454" s="28" t="n"/>
      <c r="I454" s="28" t="n"/>
      <c r="J454" s="28" t="n"/>
      <c r="K454" s="28" t="n"/>
    </row>
    <row r="455" ht="12.75" customHeight="1">
      <c r="A455" s="28" t="n"/>
      <c r="B455" s="28" t="n"/>
      <c r="C455" s="28" t="n"/>
      <c r="D455" s="28" t="n"/>
      <c r="E455" s="28" t="n"/>
      <c r="F455" s="28" t="n"/>
      <c r="G455" s="28" t="n"/>
      <c r="H455" s="28" t="n"/>
      <c r="I455" s="28" t="n"/>
      <c r="J455" s="28" t="n"/>
      <c r="K455" s="28" t="n"/>
    </row>
    <row r="456" ht="12.75" customHeight="1">
      <c r="A456" s="28" t="n"/>
      <c r="B456" s="28" t="n"/>
      <c r="C456" s="28" t="n"/>
      <c r="D456" s="28" t="n"/>
      <c r="E456" s="28" t="n"/>
      <c r="F456" s="28" t="n"/>
      <c r="G456" s="28" t="n"/>
      <c r="H456" s="28" t="n"/>
      <c r="I456" s="28" t="n"/>
      <c r="J456" s="28" t="n"/>
      <c r="K456" s="28" t="n"/>
    </row>
    <row r="457" ht="12.75" customHeight="1">
      <c r="A457" s="28" t="n"/>
      <c r="B457" s="28" t="n"/>
      <c r="C457" s="28" t="n"/>
      <c r="D457" s="28" t="n"/>
      <c r="E457" s="28" t="n"/>
      <c r="F457" s="28" t="n"/>
      <c r="G457" s="28" t="n"/>
      <c r="H457" s="28" t="n"/>
      <c r="I457" s="28" t="n"/>
      <c r="J457" s="28" t="n"/>
      <c r="K457" s="28" t="n"/>
    </row>
    <row r="458" ht="12.75" customHeight="1">
      <c r="A458" s="28" t="n"/>
      <c r="B458" s="28" t="n"/>
      <c r="C458" s="28" t="n"/>
      <c r="D458" s="28" t="n"/>
      <c r="E458" s="28" t="n"/>
      <c r="F458" s="28" t="n"/>
      <c r="G458" s="28" t="n"/>
      <c r="H458" s="28" t="n"/>
      <c r="I458" s="28" t="n"/>
      <c r="J458" s="28" t="n"/>
      <c r="K458" s="28" t="n"/>
    </row>
    <row r="459" ht="12.75" customHeight="1">
      <c r="A459" s="28" t="n"/>
      <c r="B459" s="28" t="n"/>
      <c r="C459" s="28" t="n"/>
      <c r="D459" s="28" t="n"/>
      <c r="E459" s="28" t="n"/>
      <c r="F459" s="28" t="n"/>
      <c r="G459" s="28" t="n"/>
      <c r="H459" s="28" t="n"/>
      <c r="I459" s="28" t="n"/>
      <c r="J459" s="28" t="n"/>
      <c r="K459" s="28" t="n"/>
    </row>
    <row r="460" ht="12.75" customHeight="1">
      <c r="A460" s="28" t="n"/>
      <c r="B460" s="28" t="n"/>
      <c r="C460" s="28" t="n"/>
      <c r="D460" s="28" t="n"/>
      <c r="E460" s="28" t="n"/>
      <c r="F460" s="28" t="n"/>
      <c r="G460" s="28" t="n"/>
      <c r="H460" s="28" t="n"/>
      <c r="I460" s="28" t="n"/>
      <c r="J460" s="28" t="n"/>
      <c r="K460" s="28" t="n"/>
    </row>
    <row r="461" ht="12.75" customHeight="1">
      <c r="A461" s="28" t="n"/>
      <c r="B461" s="28" t="n"/>
      <c r="C461" s="28" t="n"/>
      <c r="D461" s="28" t="n"/>
      <c r="E461" s="28" t="n"/>
      <c r="F461" s="28" t="n"/>
      <c r="G461" s="28" t="n"/>
      <c r="H461" s="28" t="n"/>
      <c r="I461" s="28" t="n"/>
      <c r="J461" s="28" t="n"/>
      <c r="K461" s="28" t="n"/>
    </row>
    <row r="462" ht="12.75" customHeight="1">
      <c r="A462" s="28" t="n"/>
      <c r="B462" s="28" t="n"/>
      <c r="C462" s="28" t="n"/>
      <c r="D462" s="28" t="n"/>
      <c r="E462" s="28" t="n"/>
      <c r="F462" s="28" t="n"/>
      <c r="G462" s="28" t="n"/>
      <c r="H462" s="28" t="n"/>
      <c r="I462" s="28" t="n"/>
      <c r="J462" s="28" t="n"/>
      <c r="K462" s="28" t="n"/>
    </row>
    <row r="463" ht="12.75" customHeight="1">
      <c r="A463" s="28" t="n"/>
      <c r="B463" s="28" t="n"/>
      <c r="C463" s="28" t="n"/>
      <c r="D463" s="28" t="n"/>
      <c r="E463" s="28" t="n"/>
      <c r="F463" s="28" t="n"/>
      <c r="G463" s="28" t="n"/>
      <c r="H463" s="28" t="n"/>
      <c r="I463" s="28" t="n"/>
      <c r="J463" s="28" t="n"/>
      <c r="K463" s="28" t="n"/>
    </row>
    <row r="464" ht="12.75" customHeight="1">
      <c r="A464" s="28" t="n"/>
      <c r="B464" s="28" t="n"/>
      <c r="C464" s="28" t="n"/>
      <c r="D464" s="28" t="n"/>
      <c r="E464" s="28" t="n"/>
      <c r="F464" s="28" t="n"/>
      <c r="G464" s="28" t="n"/>
      <c r="H464" s="28" t="n"/>
      <c r="I464" s="28" t="n"/>
      <c r="J464" s="28" t="n"/>
      <c r="K464" s="28" t="n"/>
    </row>
    <row r="465" ht="12.75" customHeight="1">
      <c r="A465" s="28" t="n"/>
      <c r="B465" s="28" t="n"/>
      <c r="C465" s="28" t="n"/>
      <c r="D465" s="28" t="n"/>
      <c r="E465" s="28" t="n"/>
      <c r="F465" s="28" t="n"/>
      <c r="G465" s="28" t="n"/>
      <c r="H465" s="28" t="n"/>
      <c r="I465" s="28" t="n"/>
      <c r="J465" s="28" t="n"/>
      <c r="K465" s="28" t="n"/>
    </row>
    <row r="466" ht="12.75" customHeight="1">
      <c r="A466" s="28" t="n"/>
      <c r="B466" s="28" t="n"/>
      <c r="C466" s="28" t="n"/>
      <c r="D466" s="28" t="n"/>
      <c r="E466" s="28" t="n"/>
      <c r="F466" s="28" t="n"/>
      <c r="G466" s="28" t="n"/>
      <c r="H466" s="28" t="n"/>
      <c r="I466" s="28" t="n"/>
      <c r="J466" s="28" t="n"/>
      <c r="K466" s="28" t="n"/>
    </row>
    <row r="467" ht="12.75" customHeight="1">
      <c r="A467" s="28" t="n"/>
      <c r="B467" s="28" t="n"/>
      <c r="C467" s="28" t="n"/>
      <c r="D467" s="28" t="n"/>
      <c r="E467" s="28" t="n"/>
      <c r="F467" s="28" t="n"/>
      <c r="G467" s="28" t="n"/>
      <c r="H467" s="28" t="n"/>
      <c r="I467" s="28" t="n"/>
      <c r="J467" s="28" t="n"/>
      <c r="K467" s="28" t="n"/>
    </row>
    <row r="468" ht="12.75" customHeight="1">
      <c r="A468" s="28" t="n"/>
      <c r="B468" s="28" t="n"/>
      <c r="C468" s="28" t="n"/>
      <c r="D468" s="28" t="n"/>
      <c r="E468" s="28" t="n"/>
      <c r="F468" s="28" t="n"/>
      <c r="G468" s="28" t="n"/>
      <c r="H468" s="28" t="n"/>
      <c r="I468" s="28" t="n"/>
      <c r="J468" s="28" t="n"/>
      <c r="K468" s="28" t="n"/>
    </row>
    <row r="469" ht="12.75" customHeight="1">
      <c r="A469" s="28" t="n"/>
      <c r="B469" s="28" t="n"/>
      <c r="C469" s="28" t="n"/>
      <c r="D469" s="28" t="n"/>
      <c r="E469" s="28" t="n"/>
      <c r="F469" s="28" t="n"/>
      <c r="G469" s="28" t="n"/>
      <c r="H469" s="28" t="n"/>
      <c r="I469" s="28" t="n"/>
      <c r="J469" s="28" t="n"/>
      <c r="K469" s="28" t="n"/>
    </row>
    <row r="470" ht="12.75" customHeight="1">
      <c r="A470" s="28" t="n"/>
      <c r="B470" s="28" t="n"/>
      <c r="C470" s="28" t="n"/>
      <c r="D470" s="28" t="n"/>
      <c r="E470" s="28" t="n"/>
      <c r="F470" s="28" t="n"/>
      <c r="G470" s="28" t="n"/>
      <c r="H470" s="28" t="n"/>
      <c r="I470" s="28" t="n"/>
      <c r="J470" s="28" t="n"/>
      <c r="K470" s="28" t="n"/>
    </row>
    <row r="471" ht="12.75" customHeight="1">
      <c r="A471" s="28" t="n"/>
      <c r="B471" s="28" t="n"/>
      <c r="C471" s="28" t="n"/>
      <c r="D471" s="28" t="n"/>
      <c r="E471" s="28" t="n"/>
      <c r="F471" s="28" t="n"/>
      <c r="G471" s="28" t="n"/>
      <c r="H471" s="28" t="n"/>
      <c r="I471" s="28" t="n"/>
      <c r="J471" s="28" t="n"/>
      <c r="K471" s="28" t="n"/>
    </row>
    <row r="472" ht="12.75" customHeight="1">
      <c r="A472" s="28" t="n"/>
      <c r="B472" s="28" t="n"/>
      <c r="C472" s="28" t="n"/>
      <c r="D472" s="28" t="n"/>
      <c r="E472" s="28" t="n"/>
      <c r="F472" s="28" t="n"/>
      <c r="G472" s="28" t="n"/>
      <c r="H472" s="28" t="n"/>
      <c r="I472" s="28" t="n"/>
      <c r="J472" s="28" t="n"/>
      <c r="K472" s="28" t="n"/>
    </row>
    <row r="473" ht="12.75" customHeight="1">
      <c r="A473" s="28" t="n"/>
      <c r="B473" s="28" t="n"/>
      <c r="C473" s="28" t="n"/>
      <c r="D473" s="28" t="n"/>
      <c r="E473" s="28" t="n"/>
      <c r="F473" s="28" t="n"/>
      <c r="G473" s="28" t="n"/>
      <c r="H473" s="28" t="n"/>
      <c r="I473" s="28" t="n"/>
      <c r="J473" s="28" t="n"/>
      <c r="K473" s="28" t="n"/>
    </row>
    <row r="474" ht="12.75" customHeight="1">
      <c r="A474" s="28" t="n"/>
      <c r="B474" s="28" t="n"/>
      <c r="C474" s="28" t="n"/>
      <c r="D474" s="28" t="n"/>
      <c r="E474" s="28" t="n"/>
      <c r="F474" s="28" t="n"/>
      <c r="G474" s="28" t="n"/>
      <c r="H474" s="28" t="n"/>
      <c r="I474" s="28" t="n"/>
      <c r="J474" s="28" t="n"/>
      <c r="K474" s="28" t="n"/>
    </row>
    <row r="475" ht="12.75" customHeight="1">
      <c r="A475" s="28" t="n"/>
      <c r="B475" s="28" t="n"/>
      <c r="C475" s="28" t="n"/>
      <c r="D475" s="28" t="n"/>
      <c r="E475" s="28" t="n"/>
      <c r="F475" s="28" t="n"/>
      <c r="G475" s="28" t="n"/>
      <c r="H475" s="28" t="n"/>
      <c r="I475" s="28" t="n"/>
      <c r="J475" s="28" t="n"/>
      <c r="K475" s="28" t="n"/>
    </row>
    <row r="476" ht="12.75" customHeight="1">
      <c r="A476" s="28" t="n"/>
      <c r="B476" s="28" t="n"/>
      <c r="C476" s="28" t="n"/>
      <c r="D476" s="28" t="n"/>
      <c r="E476" s="28" t="n"/>
      <c r="F476" s="28" t="n"/>
      <c r="G476" s="28" t="n"/>
      <c r="H476" s="28" t="n"/>
      <c r="I476" s="28" t="n"/>
      <c r="J476" s="28" t="n"/>
      <c r="K476" s="28" t="n"/>
    </row>
    <row r="477" ht="12.75" customHeight="1">
      <c r="A477" s="28" t="n"/>
      <c r="B477" s="28" t="n"/>
      <c r="C477" s="28" t="n"/>
      <c r="D477" s="28" t="n"/>
      <c r="E477" s="28" t="n"/>
      <c r="F477" s="28" t="n"/>
      <c r="G477" s="28" t="n"/>
      <c r="H477" s="28" t="n"/>
      <c r="I477" s="28" t="n"/>
      <c r="J477" s="28" t="n"/>
      <c r="K477" s="28" t="n"/>
    </row>
    <row r="478" ht="12.75" customHeight="1">
      <c r="A478" s="28" t="n"/>
      <c r="B478" s="28" t="n"/>
      <c r="C478" s="28" t="n"/>
      <c r="D478" s="28" t="n"/>
      <c r="E478" s="28" t="n"/>
      <c r="F478" s="28" t="n"/>
      <c r="G478" s="28" t="n"/>
      <c r="H478" s="28" t="n"/>
      <c r="I478" s="28" t="n"/>
      <c r="J478" s="28" t="n"/>
      <c r="K478" s="28" t="n"/>
    </row>
    <row r="479" ht="12.75" customHeight="1">
      <c r="A479" s="28" t="n"/>
      <c r="B479" s="28" t="n"/>
      <c r="C479" s="28" t="n"/>
      <c r="D479" s="28" t="n"/>
      <c r="E479" s="28" t="n"/>
      <c r="F479" s="28" t="n"/>
      <c r="G479" s="28" t="n"/>
      <c r="H479" s="28" t="n"/>
      <c r="I479" s="28" t="n"/>
      <c r="J479" s="28" t="n"/>
      <c r="K479" s="28" t="n"/>
    </row>
    <row r="480" ht="12.75" customHeight="1">
      <c r="A480" s="28" t="n"/>
      <c r="B480" s="28" t="n"/>
      <c r="C480" s="28" t="n"/>
      <c r="D480" s="28" t="n"/>
      <c r="E480" s="28" t="n"/>
      <c r="F480" s="28" t="n"/>
      <c r="G480" s="28" t="n"/>
      <c r="H480" s="28" t="n"/>
      <c r="I480" s="28" t="n"/>
      <c r="J480" s="28" t="n"/>
      <c r="K480" s="28" t="n"/>
    </row>
    <row r="481" ht="12.75" customHeight="1">
      <c r="A481" s="28" t="n"/>
      <c r="B481" s="28" t="n"/>
      <c r="C481" s="28" t="n"/>
      <c r="D481" s="28" t="n"/>
      <c r="E481" s="28" t="n"/>
      <c r="F481" s="28" t="n"/>
      <c r="G481" s="28" t="n"/>
      <c r="H481" s="28" t="n"/>
      <c r="I481" s="28" t="n"/>
      <c r="J481" s="28" t="n"/>
      <c r="K481" s="28" t="n"/>
    </row>
    <row r="482" ht="12.75" customHeight="1">
      <c r="A482" s="28" t="n"/>
      <c r="B482" s="28" t="n"/>
      <c r="C482" s="28" t="n"/>
      <c r="D482" s="28" t="n"/>
      <c r="E482" s="28" t="n"/>
      <c r="F482" s="28" t="n"/>
      <c r="G482" s="28" t="n"/>
      <c r="H482" s="28" t="n"/>
      <c r="I482" s="28" t="n"/>
      <c r="J482" s="28" t="n"/>
      <c r="K482" s="28" t="n"/>
    </row>
    <row r="483" ht="12.75" customHeight="1">
      <c r="A483" s="28" t="n"/>
      <c r="B483" s="28" t="n"/>
      <c r="C483" s="28" t="n"/>
      <c r="D483" s="28" t="n"/>
      <c r="E483" s="28" t="n"/>
      <c r="F483" s="28" t="n"/>
      <c r="G483" s="28" t="n"/>
      <c r="H483" s="28" t="n"/>
      <c r="I483" s="28" t="n"/>
      <c r="J483" s="28" t="n"/>
      <c r="K483" s="28" t="n"/>
    </row>
    <row r="484" ht="12.75" customHeight="1">
      <c r="A484" s="28" t="n"/>
      <c r="B484" s="28" t="n"/>
      <c r="C484" s="28" t="n"/>
      <c r="D484" s="28" t="n"/>
      <c r="E484" s="28" t="n"/>
      <c r="F484" s="28" t="n"/>
      <c r="G484" s="28" t="n"/>
      <c r="H484" s="28" t="n"/>
      <c r="I484" s="28" t="n"/>
      <c r="J484" s="28" t="n"/>
      <c r="K484" s="28" t="n"/>
    </row>
    <row r="485" ht="12.75" customHeight="1">
      <c r="A485" s="28" t="n"/>
      <c r="B485" s="28" t="n"/>
      <c r="C485" s="28" t="n"/>
      <c r="D485" s="28" t="n"/>
      <c r="E485" s="28" t="n"/>
      <c r="F485" s="28" t="n"/>
      <c r="G485" s="28" t="n"/>
      <c r="H485" s="28" t="n"/>
      <c r="I485" s="28" t="n"/>
      <c r="J485" s="28" t="n"/>
      <c r="K485" s="28" t="n"/>
    </row>
    <row r="486" ht="12.75" customHeight="1">
      <c r="A486" s="28" t="n"/>
      <c r="B486" s="28" t="n"/>
      <c r="C486" s="28" t="n"/>
      <c r="D486" s="28" t="n"/>
      <c r="E486" s="28" t="n"/>
      <c r="F486" s="28" t="n"/>
      <c r="G486" s="28" t="n"/>
      <c r="H486" s="28" t="n"/>
      <c r="I486" s="28" t="n"/>
      <c r="J486" s="28" t="n"/>
      <c r="K486" s="28" t="n"/>
    </row>
    <row r="487" ht="12.75" customHeight="1">
      <c r="A487" s="28" t="n"/>
      <c r="B487" s="28" t="n"/>
      <c r="C487" s="28" t="n"/>
      <c r="D487" s="28" t="n"/>
      <c r="E487" s="28" t="n"/>
      <c r="F487" s="28" t="n"/>
      <c r="G487" s="28" t="n"/>
      <c r="H487" s="28" t="n"/>
      <c r="I487" s="28" t="n"/>
      <c r="J487" s="28" t="n"/>
      <c r="K487" s="28" t="n"/>
    </row>
    <row r="488" ht="12.75" customHeight="1">
      <c r="A488" s="28" t="n"/>
      <c r="B488" s="28" t="n"/>
      <c r="C488" s="28" t="n"/>
      <c r="D488" s="28" t="n"/>
      <c r="E488" s="28" t="n"/>
      <c r="F488" s="28" t="n"/>
      <c r="G488" s="28" t="n"/>
      <c r="H488" s="28" t="n"/>
      <c r="I488" s="28" t="n"/>
      <c r="J488" s="28" t="n"/>
      <c r="K488" s="28" t="n"/>
    </row>
    <row r="489" ht="12.75" customHeight="1">
      <c r="A489" s="28" t="n"/>
      <c r="B489" s="28" t="n"/>
      <c r="C489" s="28" t="n"/>
      <c r="D489" s="28" t="n"/>
      <c r="E489" s="28" t="n"/>
      <c r="F489" s="28" t="n"/>
      <c r="G489" s="28" t="n"/>
      <c r="H489" s="28" t="n"/>
      <c r="I489" s="28" t="n"/>
      <c r="J489" s="28" t="n"/>
      <c r="K489" s="28" t="n"/>
    </row>
    <row r="490" ht="12.75" customHeight="1">
      <c r="A490" s="28" t="n"/>
      <c r="B490" s="28" t="n"/>
      <c r="C490" s="28" t="n"/>
      <c r="D490" s="28" t="n"/>
      <c r="E490" s="28" t="n"/>
      <c r="F490" s="28" t="n"/>
      <c r="G490" s="28" t="n"/>
      <c r="H490" s="28" t="n"/>
      <c r="I490" s="28" t="n"/>
      <c r="J490" s="28" t="n"/>
      <c r="K490" s="28" t="n"/>
    </row>
    <row r="491" ht="12.75" customHeight="1">
      <c r="A491" s="28" t="n"/>
      <c r="B491" s="28" t="n"/>
      <c r="C491" s="28" t="n"/>
      <c r="D491" s="28" t="n"/>
      <c r="E491" s="28" t="n"/>
      <c r="F491" s="28" t="n"/>
      <c r="G491" s="28" t="n"/>
      <c r="H491" s="28" t="n"/>
      <c r="I491" s="28" t="n"/>
      <c r="J491" s="28" t="n"/>
      <c r="K491" s="28" t="n"/>
    </row>
    <row r="492" ht="12.75" customHeight="1">
      <c r="A492" s="28" t="n"/>
      <c r="B492" s="28" t="n"/>
      <c r="C492" s="28" t="n"/>
      <c r="D492" s="28" t="n"/>
      <c r="E492" s="28" t="n"/>
      <c r="F492" s="28" t="n"/>
      <c r="G492" s="28" t="n"/>
      <c r="H492" s="28" t="n"/>
      <c r="I492" s="28" t="n"/>
      <c r="J492" s="28" t="n"/>
      <c r="K492" s="28" t="n"/>
    </row>
    <row r="493" ht="12.75" customHeight="1">
      <c r="A493" s="28" t="n"/>
      <c r="B493" s="28" t="n"/>
      <c r="C493" s="28" t="n"/>
      <c r="D493" s="28" t="n"/>
      <c r="E493" s="28" t="n"/>
      <c r="F493" s="28" t="n"/>
      <c r="G493" s="28" t="n"/>
      <c r="H493" s="28" t="n"/>
      <c r="I493" s="28" t="n"/>
      <c r="J493" s="28" t="n"/>
      <c r="K493" s="28" t="n"/>
    </row>
    <row r="494" ht="12.75" customHeight="1">
      <c r="A494" s="28" t="n"/>
      <c r="B494" s="28" t="n"/>
      <c r="C494" s="28" t="n"/>
      <c r="D494" s="28" t="n"/>
      <c r="E494" s="28" t="n"/>
      <c r="F494" s="28" t="n"/>
      <c r="G494" s="28" t="n"/>
      <c r="H494" s="28" t="n"/>
      <c r="I494" s="28" t="n"/>
      <c r="J494" s="28" t="n"/>
      <c r="K494" s="28" t="n"/>
    </row>
    <row r="495" ht="12.75" customHeight="1">
      <c r="A495" s="28" t="n"/>
      <c r="B495" s="28" t="n"/>
      <c r="C495" s="28" t="n"/>
      <c r="D495" s="28" t="n"/>
      <c r="E495" s="28" t="n"/>
      <c r="F495" s="28" t="n"/>
      <c r="G495" s="28" t="n"/>
      <c r="H495" s="28" t="n"/>
      <c r="I495" s="28" t="n"/>
      <c r="J495" s="28" t="n"/>
      <c r="K495" s="28" t="n"/>
    </row>
    <row r="496" ht="12.75" customHeight="1">
      <c r="A496" s="28" t="n"/>
      <c r="B496" s="28" t="n"/>
      <c r="C496" s="28" t="n"/>
      <c r="D496" s="28" t="n"/>
      <c r="E496" s="28" t="n"/>
      <c r="F496" s="28" t="n"/>
      <c r="G496" s="28" t="n"/>
      <c r="H496" s="28" t="n"/>
      <c r="I496" s="28" t="n"/>
      <c r="J496" s="28" t="n"/>
      <c r="K496" s="28" t="n"/>
    </row>
    <row r="497" ht="12.75" customHeight="1">
      <c r="A497" s="28" t="n"/>
      <c r="B497" s="28" t="n"/>
      <c r="C497" s="28" t="n"/>
      <c r="D497" s="28" t="n"/>
      <c r="E497" s="28" t="n"/>
      <c r="F497" s="28" t="n"/>
      <c r="G497" s="28" t="n"/>
      <c r="H497" s="28" t="n"/>
      <c r="I497" s="28" t="n"/>
      <c r="J497" s="28" t="n"/>
      <c r="K497" s="28" t="n"/>
    </row>
    <row r="498" ht="12.75" customHeight="1">
      <c r="A498" s="28" t="n"/>
      <c r="B498" s="28" t="n"/>
      <c r="C498" s="28" t="n"/>
      <c r="D498" s="28" t="n"/>
      <c r="E498" s="28" t="n"/>
      <c r="F498" s="28" t="n"/>
      <c r="G498" s="28" t="n"/>
      <c r="H498" s="28" t="n"/>
      <c r="I498" s="28" t="n"/>
      <c r="J498" s="28" t="n"/>
      <c r="K498" s="28" t="n"/>
    </row>
    <row r="499" ht="12.75" customHeight="1">
      <c r="A499" s="28" t="n"/>
      <c r="B499" s="28" t="n"/>
      <c r="C499" s="28" t="n"/>
      <c r="D499" s="28" t="n"/>
      <c r="E499" s="28" t="n"/>
      <c r="F499" s="28" t="n"/>
      <c r="G499" s="28" t="n"/>
      <c r="H499" s="28" t="n"/>
      <c r="I499" s="28" t="n"/>
      <c r="J499" s="28" t="n"/>
      <c r="K499" s="28" t="n"/>
    </row>
    <row r="500" ht="12.75" customHeight="1">
      <c r="A500" s="28" t="n"/>
      <c r="B500" s="28" t="n"/>
      <c r="C500" s="28" t="n"/>
      <c r="D500" s="28" t="n"/>
      <c r="E500" s="28" t="n"/>
      <c r="F500" s="28" t="n"/>
      <c r="G500" s="28" t="n"/>
      <c r="H500" s="28" t="n"/>
      <c r="I500" s="28" t="n"/>
      <c r="J500" s="28" t="n"/>
      <c r="K500" s="28" t="n"/>
    </row>
    <row r="501" ht="12.75" customHeight="1">
      <c r="A501" s="28" t="n"/>
      <c r="B501" s="28" t="n"/>
      <c r="C501" s="28" t="n"/>
      <c r="D501" s="28" t="n"/>
      <c r="E501" s="28" t="n"/>
      <c r="F501" s="28" t="n"/>
      <c r="G501" s="28" t="n"/>
      <c r="H501" s="28" t="n"/>
      <c r="I501" s="28" t="n"/>
      <c r="J501" s="28" t="n"/>
      <c r="K501" s="28" t="n"/>
    </row>
    <row r="502" ht="12.75" customHeight="1">
      <c r="A502" s="28" t="n"/>
      <c r="B502" s="28" t="n"/>
      <c r="C502" s="28" t="n"/>
      <c r="D502" s="28" t="n"/>
      <c r="E502" s="28" t="n"/>
      <c r="F502" s="28" t="n"/>
      <c r="G502" s="28" t="n"/>
      <c r="H502" s="28" t="n"/>
      <c r="I502" s="28" t="n"/>
      <c r="J502" s="28" t="n"/>
      <c r="K502" s="28" t="n"/>
    </row>
    <row r="503" ht="12.75" customHeight="1">
      <c r="A503" s="28" t="n"/>
      <c r="B503" s="28" t="n"/>
      <c r="C503" s="28" t="n"/>
      <c r="D503" s="28" t="n"/>
      <c r="E503" s="28" t="n"/>
      <c r="F503" s="28" t="n"/>
      <c r="G503" s="28" t="n"/>
      <c r="H503" s="28" t="n"/>
      <c r="I503" s="28" t="n"/>
      <c r="J503" s="28" t="n"/>
      <c r="K503" s="28" t="n"/>
    </row>
    <row r="504" ht="12.75" customHeight="1">
      <c r="A504" s="28" t="n"/>
      <c r="B504" s="28" t="n"/>
      <c r="C504" s="28" t="n"/>
      <c r="D504" s="28" t="n"/>
      <c r="E504" s="28" t="n"/>
      <c r="F504" s="28" t="n"/>
      <c r="G504" s="28" t="n"/>
      <c r="H504" s="28" t="n"/>
      <c r="I504" s="28" t="n"/>
      <c r="J504" s="28" t="n"/>
      <c r="K504" s="28" t="n"/>
    </row>
    <row r="505" ht="12.75" customHeight="1">
      <c r="A505" s="28" t="n"/>
      <c r="B505" s="28" t="n"/>
      <c r="C505" s="28" t="n"/>
      <c r="D505" s="28" t="n"/>
      <c r="E505" s="28" t="n"/>
      <c r="F505" s="28" t="n"/>
      <c r="G505" s="28" t="n"/>
      <c r="H505" s="28" t="n"/>
      <c r="I505" s="28" t="n"/>
      <c r="J505" s="28" t="n"/>
      <c r="K505" s="28" t="n"/>
    </row>
    <row r="506" ht="12.75" customHeight="1">
      <c r="A506" s="28" t="n"/>
      <c r="B506" s="28" t="n"/>
      <c r="C506" s="28" t="n"/>
      <c r="D506" s="28" t="n"/>
      <c r="E506" s="28" t="n"/>
      <c r="F506" s="28" t="n"/>
      <c r="G506" s="28" t="n"/>
      <c r="H506" s="28" t="n"/>
      <c r="I506" s="28" t="n"/>
      <c r="J506" s="28" t="n"/>
      <c r="K506" s="28" t="n"/>
    </row>
    <row r="507" ht="12.75" customHeight="1">
      <c r="A507" s="28" t="n"/>
      <c r="B507" s="28" t="n"/>
      <c r="C507" s="28" t="n"/>
      <c r="D507" s="28" t="n"/>
      <c r="E507" s="28" t="n"/>
      <c r="F507" s="28" t="n"/>
      <c r="G507" s="28" t="n"/>
      <c r="H507" s="28" t="n"/>
      <c r="I507" s="28" t="n"/>
      <c r="J507" s="28" t="n"/>
      <c r="K507" s="28" t="n"/>
    </row>
    <row r="508" ht="12.75" customHeight="1">
      <c r="A508" s="28" t="n"/>
      <c r="B508" s="28" t="n"/>
      <c r="C508" s="28" t="n"/>
      <c r="D508" s="28" t="n"/>
      <c r="E508" s="28" t="n"/>
      <c r="F508" s="28" t="n"/>
      <c r="G508" s="28" t="n"/>
      <c r="H508" s="28" t="n"/>
      <c r="I508" s="28" t="n"/>
      <c r="J508" s="28" t="n"/>
      <c r="K508" s="28" t="n"/>
    </row>
    <row r="509" ht="12.75" customHeight="1">
      <c r="A509" s="28" t="n"/>
      <c r="B509" s="28" t="n"/>
      <c r="C509" s="28" t="n"/>
      <c r="D509" s="28" t="n"/>
      <c r="E509" s="28" t="n"/>
      <c r="F509" s="28" t="n"/>
      <c r="G509" s="28" t="n"/>
      <c r="H509" s="28" t="n"/>
      <c r="I509" s="28" t="n"/>
      <c r="J509" s="28" t="n"/>
      <c r="K509" s="28" t="n"/>
    </row>
    <row r="510" ht="12.75" customHeight="1">
      <c r="A510" s="28" t="n"/>
      <c r="B510" s="28" t="n"/>
      <c r="C510" s="28" t="n"/>
      <c r="D510" s="28" t="n"/>
      <c r="E510" s="28" t="n"/>
      <c r="F510" s="28" t="n"/>
      <c r="G510" s="28" t="n"/>
      <c r="H510" s="28" t="n"/>
      <c r="I510" s="28" t="n"/>
      <c r="J510" s="28" t="n"/>
      <c r="K510" s="28" t="n"/>
    </row>
    <row r="511" ht="12.75" customHeight="1">
      <c r="A511" s="28" t="n"/>
      <c r="B511" s="28" t="n"/>
      <c r="C511" s="28" t="n"/>
      <c r="D511" s="28" t="n"/>
      <c r="E511" s="28" t="n"/>
      <c r="F511" s="28" t="n"/>
      <c r="G511" s="28" t="n"/>
      <c r="H511" s="28" t="n"/>
      <c r="I511" s="28" t="n"/>
      <c r="J511" s="28" t="n"/>
      <c r="K511" s="28" t="n"/>
    </row>
    <row r="512" ht="12.75" customHeight="1">
      <c r="A512" s="28" t="n"/>
      <c r="B512" s="28" t="n"/>
      <c r="C512" s="28" t="n"/>
      <c r="D512" s="28" t="n"/>
      <c r="E512" s="28" t="n"/>
      <c r="F512" s="28" t="n"/>
      <c r="G512" s="28" t="n"/>
      <c r="H512" s="28" t="n"/>
      <c r="I512" s="28" t="n"/>
      <c r="J512" s="28" t="n"/>
      <c r="K512" s="28" t="n"/>
    </row>
    <row r="513" ht="12.75" customHeight="1">
      <c r="A513" s="28" t="n"/>
      <c r="B513" s="28" t="n"/>
      <c r="C513" s="28" t="n"/>
      <c r="D513" s="28" t="n"/>
      <c r="E513" s="28" t="n"/>
      <c r="F513" s="28" t="n"/>
      <c r="G513" s="28" t="n"/>
      <c r="H513" s="28" t="n"/>
      <c r="I513" s="28" t="n"/>
      <c r="J513" s="28" t="n"/>
      <c r="K513" s="28" t="n"/>
    </row>
    <row r="514" ht="12.75" customHeight="1">
      <c r="A514" s="28" t="n"/>
      <c r="B514" s="28" t="n"/>
      <c r="C514" s="28" t="n"/>
      <c r="D514" s="28" t="n"/>
      <c r="E514" s="28" t="n"/>
      <c r="F514" s="28" t="n"/>
      <c r="G514" s="28" t="n"/>
      <c r="H514" s="28" t="n"/>
      <c r="I514" s="28" t="n"/>
      <c r="J514" s="28" t="n"/>
      <c r="K514" s="28" t="n"/>
    </row>
    <row r="515" ht="12.75" customHeight="1">
      <c r="A515" s="28" t="n"/>
      <c r="B515" s="28" t="n"/>
      <c r="C515" s="28" t="n"/>
      <c r="D515" s="28" t="n"/>
      <c r="E515" s="28" t="n"/>
      <c r="F515" s="28" t="n"/>
      <c r="G515" s="28" t="n"/>
      <c r="H515" s="28" t="n"/>
      <c r="I515" s="28" t="n"/>
      <c r="J515" s="28" t="n"/>
      <c r="K515" s="28" t="n"/>
    </row>
    <row r="516" ht="12.75" customHeight="1">
      <c r="A516" s="28" t="n"/>
      <c r="B516" s="28" t="n"/>
      <c r="C516" s="28" t="n"/>
      <c r="D516" s="28" t="n"/>
      <c r="E516" s="28" t="n"/>
      <c r="F516" s="28" t="n"/>
      <c r="G516" s="28" t="n"/>
      <c r="H516" s="28" t="n"/>
      <c r="I516" s="28" t="n"/>
      <c r="J516" s="28" t="n"/>
      <c r="K516" s="28" t="n"/>
    </row>
    <row r="517" ht="12.75" customHeight="1">
      <c r="A517" s="28" t="n"/>
      <c r="B517" s="28" t="n"/>
      <c r="C517" s="28" t="n"/>
      <c r="D517" s="28" t="n"/>
      <c r="E517" s="28" t="n"/>
      <c r="F517" s="28" t="n"/>
      <c r="G517" s="28" t="n"/>
      <c r="H517" s="28" t="n"/>
      <c r="I517" s="28" t="n"/>
      <c r="J517" s="28" t="n"/>
      <c r="K517" s="28" t="n"/>
    </row>
    <row r="518" ht="12.75" customHeight="1">
      <c r="A518" s="28" t="n"/>
      <c r="B518" s="28" t="n"/>
      <c r="C518" s="28" t="n"/>
      <c r="D518" s="28" t="n"/>
      <c r="E518" s="28" t="n"/>
      <c r="F518" s="28" t="n"/>
      <c r="G518" s="28" t="n"/>
      <c r="H518" s="28" t="n"/>
      <c r="I518" s="28" t="n"/>
      <c r="J518" s="28" t="n"/>
      <c r="K518" s="28" t="n"/>
    </row>
    <row r="519" ht="12.75" customHeight="1">
      <c r="A519" s="28" t="n"/>
      <c r="B519" s="28" t="n"/>
      <c r="C519" s="28" t="n"/>
      <c r="D519" s="28" t="n"/>
      <c r="E519" s="28" t="n"/>
      <c r="F519" s="28" t="n"/>
      <c r="G519" s="28" t="n"/>
      <c r="H519" s="28" t="n"/>
      <c r="I519" s="28" t="n"/>
      <c r="J519" s="28" t="n"/>
      <c r="K519" s="28" t="n"/>
    </row>
    <row r="520" ht="12.75" customHeight="1">
      <c r="A520" s="28" t="n"/>
      <c r="B520" s="28" t="n"/>
      <c r="C520" s="28" t="n"/>
      <c r="D520" s="28" t="n"/>
      <c r="E520" s="28" t="n"/>
      <c r="F520" s="28" t="n"/>
      <c r="G520" s="28" t="n"/>
      <c r="H520" s="28" t="n"/>
      <c r="I520" s="28" t="n"/>
      <c r="J520" s="28" t="n"/>
      <c r="K520" s="28" t="n"/>
    </row>
    <row r="521" ht="12.75" customHeight="1">
      <c r="A521" s="28" t="n"/>
      <c r="B521" s="28" t="n"/>
      <c r="C521" s="28" t="n"/>
      <c r="D521" s="28" t="n"/>
      <c r="E521" s="28" t="n"/>
      <c r="F521" s="28" t="n"/>
      <c r="G521" s="28" t="n"/>
      <c r="H521" s="28" t="n"/>
      <c r="I521" s="28" t="n"/>
      <c r="J521" s="28" t="n"/>
      <c r="K521" s="28" t="n"/>
    </row>
    <row r="522" ht="12.75" customHeight="1">
      <c r="A522" s="28" t="n"/>
      <c r="B522" s="28" t="n"/>
      <c r="C522" s="28" t="n"/>
      <c r="D522" s="28" t="n"/>
      <c r="E522" s="28" t="n"/>
      <c r="F522" s="28" t="n"/>
      <c r="G522" s="28" t="n"/>
      <c r="H522" s="28" t="n"/>
      <c r="I522" s="28" t="n"/>
      <c r="J522" s="28" t="n"/>
      <c r="K522" s="28" t="n"/>
    </row>
    <row r="523" ht="12.75" customHeight="1">
      <c r="A523" s="28" t="n"/>
      <c r="B523" s="28" t="n"/>
      <c r="C523" s="28" t="n"/>
      <c r="D523" s="28" t="n"/>
      <c r="E523" s="28" t="n"/>
      <c r="F523" s="28" t="n"/>
      <c r="G523" s="28" t="n"/>
      <c r="H523" s="28" t="n"/>
      <c r="I523" s="28" t="n"/>
      <c r="J523" s="28" t="n"/>
      <c r="K523" s="28" t="n"/>
    </row>
    <row r="524" ht="12.75" customHeight="1">
      <c r="A524" s="28" t="n"/>
      <c r="B524" s="28" t="n"/>
      <c r="C524" s="28" t="n"/>
      <c r="D524" s="28" t="n"/>
      <c r="E524" s="28" t="n"/>
      <c r="F524" s="28" t="n"/>
      <c r="G524" s="28" t="n"/>
      <c r="H524" s="28" t="n"/>
      <c r="I524" s="28" t="n"/>
      <c r="J524" s="28" t="n"/>
      <c r="K524" s="28" t="n"/>
    </row>
    <row r="525" ht="12.75" customHeight="1">
      <c r="A525" s="28" t="n"/>
      <c r="B525" s="28" t="n"/>
      <c r="C525" s="28" t="n"/>
      <c r="D525" s="28" t="n"/>
      <c r="E525" s="28" t="n"/>
      <c r="F525" s="28" t="n"/>
      <c r="G525" s="28" t="n"/>
      <c r="H525" s="28" t="n"/>
      <c r="I525" s="28" t="n"/>
      <c r="J525" s="28" t="n"/>
      <c r="K525" s="28" t="n"/>
    </row>
    <row r="526" ht="12.75" customHeight="1">
      <c r="A526" s="28" t="n"/>
      <c r="B526" s="28" t="n"/>
      <c r="C526" s="28" t="n"/>
      <c r="D526" s="28" t="n"/>
      <c r="E526" s="28" t="n"/>
      <c r="F526" s="28" t="n"/>
      <c r="G526" s="28" t="n"/>
      <c r="H526" s="28" t="n"/>
      <c r="I526" s="28" t="n"/>
      <c r="J526" s="28" t="n"/>
      <c r="K526" s="28" t="n"/>
    </row>
    <row r="527" ht="12.75" customHeight="1">
      <c r="A527" s="28" t="n"/>
      <c r="B527" s="28" t="n"/>
      <c r="C527" s="28" t="n"/>
      <c r="D527" s="28" t="n"/>
      <c r="E527" s="28" t="n"/>
      <c r="F527" s="28" t="n"/>
      <c r="G527" s="28" t="n"/>
      <c r="H527" s="28" t="n"/>
      <c r="I527" s="28" t="n"/>
      <c r="J527" s="28" t="n"/>
      <c r="K527" s="28" t="n"/>
    </row>
    <row r="528" ht="12.75" customHeight="1">
      <c r="A528" s="28" t="n"/>
      <c r="B528" s="28" t="n"/>
      <c r="C528" s="28" t="n"/>
      <c r="D528" s="28" t="n"/>
      <c r="E528" s="28" t="n"/>
      <c r="F528" s="28" t="n"/>
      <c r="G528" s="28" t="n"/>
      <c r="H528" s="28" t="n"/>
      <c r="I528" s="28" t="n"/>
      <c r="J528" s="28" t="n"/>
      <c r="K528" s="28" t="n"/>
    </row>
    <row r="529" ht="12.75" customHeight="1">
      <c r="A529" s="28" t="n"/>
      <c r="B529" s="28" t="n"/>
      <c r="C529" s="28" t="n"/>
      <c r="D529" s="28" t="n"/>
      <c r="E529" s="28" t="n"/>
      <c r="F529" s="28" t="n"/>
      <c r="G529" s="28" t="n"/>
      <c r="H529" s="28" t="n"/>
      <c r="I529" s="28" t="n"/>
      <c r="J529" s="28" t="n"/>
      <c r="K529" s="28" t="n"/>
    </row>
    <row r="530" ht="12.75" customHeight="1">
      <c r="A530" s="28" t="n"/>
      <c r="B530" s="28" t="n"/>
      <c r="C530" s="28" t="n"/>
      <c r="D530" s="28" t="n"/>
      <c r="E530" s="28" t="n"/>
      <c r="F530" s="28" t="n"/>
      <c r="G530" s="28" t="n"/>
      <c r="H530" s="28" t="n"/>
      <c r="I530" s="28" t="n"/>
      <c r="J530" s="28" t="n"/>
      <c r="K530" s="28" t="n"/>
    </row>
    <row r="531" ht="12.75" customHeight="1">
      <c r="A531" s="28" t="n"/>
      <c r="B531" s="28" t="n"/>
      <c r="C531" s="28" t="n"/>
      <c r="D531" s="28" t="n"/>
      <c r="E531" s="28" t="n"/>
      <c r="F531" s="28" t="n"/>
      <c r="G531" s="28" t="n"/>
      <c r="H531" s="28" t="n"/>
      <c r="I531" s="28" t="n"/>
      <c r="J531" s="28" t="n"/>
      <c r="K531" s="28" t="n"/>
    </row>
    <row r="532" ht="12.75" customHeight="1">
      <c r="A532" s="28" t="n"/>
      <c r="B532" s="28" t="n"/>
      <c r="C532" s="28" t="n"/>
      <c r="D532" s="28" t="n"/>
      <c r="E532" s="28" t="n"/>
      <c r="F532" s="28" t="n"/>
      <c r="G532" s="28" t="n"/>
      <c r="H532" s="28" t="n"/>
      <c r="I532" s="28" t="n"/>
      <c r="J532" s="28" t="n"/>
      <c r="K532" s="28" t="n"/>
    </row>
    <row r="533" ht="12.75" customHeight="1">
      <c r="A533" s="28" t="n"/>
      <c r="B533" s="28" t="n"/>
      <c r="C533" s="28" t="n"/>
      <c r="D533" s="28" t="n"/>
      <c r="E533" s="28" t="n"/>
      <c r="F533" s="28" t="n"/>
      <c r="G533" s="28" t="n"/>
      <c r="H533" s="28" t="n"/>
      <c r="I533" s="28" t="n"/>
      <c r="J533" s="28" t="n"/>
      <c r="K533" s="28" t="n"/>
    </row>
    <row r="534" ht="12.75" customHeight="1">
      <c r="A534" s="28" t="n"/>
      <c r="B534" s="28" t="n"/>
      <c r="C534" s="28" t="n"/>
      <c r="D534" s="28" t="n"/>
      <c r="E534" s="28" t="n"/>
      <c r="F534" s="28" t="n"/>
      <c r="G534" s="28" t="n"/>
      <c r="H534" s="28" t="n"/>
      <c r="I534" s="28" t="n"/>
      <c r="J534" s="28" t="n"/>
      <c r="K534" s="28" t="n"/>
    </row>
    <row r="535" ht="12.75" customHeight="1">
      <c r="A535" s="28" t="n"/>
      <c r="B535" s="28" t="n"/>
      <c r="C535" s="28" t="n"/>
      <c r="D535" s="28" t="n"/>
      <c r="E535" s="28" t="n"/>
      <c r="F535" s="28" t="n"/>
      <c r="G535" s="28" t="n"/>
      <c r="H535" s="28" t="n"/>
      <c r="I535" s="28" t="n"/>
      <c r="J535" s="28" t="n"/>
      <c r="K535" s="28" t="n"/>
    </row>
    <row r="536" ht="12.75" customHeight="1">
      <c r="A536" s="28" t="n"/>
      <c r="B536" s="28" t="n"/>
      <c r="C536" s="28" t="n"/>
      <c r="D536" s="28" t="n"/>
      <c r="E536" s="28" t="n"/>
      <c r="F536" s="28" t="n"/>
      <c r="G536" s="28" t="n"/>
      <c r="H536" s="28" t="n"/>
      <c r="I536" s="28" t="n"/>
      <c r="J536" s="28" t="n"/>
      <c r="K536" s="28" t="n"/>
    </row>
    <row r="537" ht="12.75" customHeight="1">
      <c r="A537" s="28" t="n"/>
      <c r="B537" s="28" t="n"/>
      <c r="C537" s="28" t="n"/>
      <c r="D537" s="28" t="n"/>
      <c r="E537" s="28" t="n"/>
      <c r="F537" s="28" t="n"/>
      <c r="G537" s="28" t="n"/>
      <c r="H537" s="28" t="n"/>
      <c r="I537" s="28" t="n"/>
      <c r="J537" s="28" t="n"/>
      <c r="K537" s="28" t="n"/>
    </row>
    <row r="538" ht="12.75" customHeight="1">
      <c r="A538" s="28" t="n"/>
      <c r="B538" s="28" t="n"/>
      <c r="C538" s="28" t="n"/>
      <c r="D538" s="28" t="n"/>
      <c r="E538" s="28" t="n"/>
      <c r="F538" s="28" t="n"/>
      <c r="G538" s="28" t="n"/>
      <c r="H538" s="28" t="n"/>
      <c r="I538" s="28" t="n"/>
      <c r="J538" s="28" t="n"/>
      <c r="K538" s="28" t="n"/>
    </row>
    <row r="539" ht="12.75" customHeight="1">
      <c r="A539" s="28" t="n"/>
      <c r="B539" s="28" t="n"/>
      <c r="C539" s="28" t="n"/>
      <c r="D539" s="28" t="n"/>
      <c r="E539" s="28" t="n"/>
      <c r="F539" s="28" t="n"/>
      <c r="G539" s="28" t="n"/>
      <c r="H539" s="28" t="n"/>
      <c r="I539" s="28" t="n"/>
      <c r="J539" s="28" t="n"/>
      <c r="K539" s="28" t="n"/>
    </row>
    <row r="540" ht="12.75" customHeight="1">
      <c r="A540" s="28" t="n"/>
      <c r="B540" s="28" t="n"/>
      <c r="C540" s="28" t="n"/>
      <c r="D540" s="28" t="n"/>
      <c r="E540" s="28" t="n"/>
      <c r="F540" s="28" t="n"/>
      <c r="G540" s="28" t="n"/>
      <c r="H540" s="28" t="n"/>
      <c r="I540" s="28" t="n"/>
      <c r="J540" s="28" t="n"/>
      <c r="K540" s="28" t="n"/>
    </row>
    <row r="541" ht="12.75" customHeight="1">
      <c r="A541" s="28" t="n"/>
      <c r="B541" s="28" t="n"/>
      <c r="C541" s="28" t="n"/>
      <c r="D541" s="28" t="n"/>
      <c r="E541" s="28" t="n"/>
      <c r="F541" s="28" t="n"/>
      <c r="G541" s="28" t="n"/>
      <c r="H541" s="28" t="n"/>
      <c r="I541" s="28" t="n"/>
      <c r="J541" s="28" t="n"/>
      <c r="K541" s="28" t="n"/>
    </row>
    <row r="542" ht="12.75" customHeight="1">
      <c r="A542" s="28" t="n"/>
      <c r="B542" s="28" t="n"/>
      <c r="C542" s="28" t="n"/>
      <c r="D542" s="28" t="n"/>
      <c r="E542" s="28" t="n"/>
      <c r="F542" s="28" t="n"/>
      <c r="G542" s="28" t="n"/>
      <c r="H542" s="28" t="n"/>
      <c r="I542" s="28" t="n"/>
      <c r="J542" s="28" t="n"/>
      <c r="K542" s="28" t="n"/>
    </row>
    <row r="543" ht="12.75" customHeight="1">
      <c r="A543" s="28" t="n"/>
      <c r="B543" s="28" t="n"/>
      <c r="C543" s="28" t="n"/>
      <c r="D543" s="28" t="n"/>
      <c r="E543" s="28" t="n"/>
      <c r="F543" s="28" t="n"/>
      <c r="G543" s="28" t="n"/>
      <c r="H543" s="28" t="n"/>
      <c r="I543" s="28" t="n"/>
      <c r="J543" s="28" t="n"/>
      <c r="K543" s="28" t="n"/>
    </row>
    <row r="544" ht="12.75" customHeight="1">
      <c r="A544" s="28" t="n"/>
      <c r="B544" s="28" t="n"/>
      <c r="C544" s="28" t="n"/>
      <c r="D544" s="28" t="n"/>
      <c r="E544" s="28" t="n"/>
      <c r="F544" s="28" t="n"/>
      <c r="G544" s="28" t="n"/>
      <c r="H544" s="28" t="n"/>
      <c r="I544" s="28" t="n"/>
      <c r="J544" s="28" t="n"/>
      <c r="K544" s="28" t="n"/>
    </row>
    <row r="545" ht="12.75" customHeight="1">
      <c r="A545" s="28" t="n"/>
      <c r="B545" s="28" t="n"/>
      <c r="C545" s="28" t="n"/>
      <c r="D545" s="28" t="n"/>
      <c r="E545" s="28" t="n"/>
      <c r="F545" s="28" t="n"/>
      <c r="G545" s="28" t="n"/>
      <c r="H545" s="28" t="n"/>
      <c r="I545" s="28" t="n"/>
      <c r="J545" s="28" t="n"/>
      <c r="K545" s="28" t="n"/>
    </row>
    <row r="546" ht="12.75" customHeight="1">
      <c r="A546" s="28" t="n"/>
      <c r="B546" s="28" t="n"/>
      <c r="C546" s="28" t="n"/>
      <c r="D546" s="28" t="n"/>
      <c r="E546" s="28" t="n"/>
      <c r="F546" s="28" t="n"/>
      <c r="G546" s="28" t="n"/>
      <c r="H546" s="28" t="n"/>
      <c r="I546" s="28" t="n"/>
      <c r="J546" s="28" t="n"/>
      <c r="K546" s="28" t="n"/>
    </row>
    <row r="547" ht="12.75" customHeight="1">
      <c r="A547" s="28" t="n"/>
      <c r="B547" s="28" t="n"/>
      <c r="C547" s="28" t="n"/>
      <c r="D547" s="28" t="n"/>
      <c r="E547" s="28" t="n"/>
      <c r="F547" s="28" t="n"/>
      <c r="G547" s="28" t="n"/>
      <c r="H547" s="28" t="n"/>
      <c r="I547" s="28" t="n"/>
      <c r="J547" s="28" t="n"/>
      <c r="K547" s="28" t="n"/>
    </row>
    <row r="548" ht="12.75" customHeight="1">
      <c r="A548" s="28" t="n"/>
      <c r="B548" s="28" t="n"/>
      <c r="C548" s="28" t="n"/>
      <c r="D548" s="28" t="n"/>
      <c r="E548" s="28" t="n"/>
      <c r="F548" s="28" t="n"/>
      <c r="G548" s="28" t="n"/>
      <c r="H548" s="28" t="n"/>
      <c r="I548" s="28" t="n"/>
      <c r="J548" s="28" t="n"/>
      <c r="K548" s="28" t="n"/>
    </row>
    <row r="549" ht="12.75" customHeight="1">
      <c r="A549" s="28" t="n"/>
      <c r="B549" s="28" t="n"/>
      <c r="C549" s="28" t="n"/>
      <c r="D549" s="28" t="n"/>
      <c r="E549" s="28" t="n"/>
      <c r="F549" s="28" t="n"/>
      <c r="G549" s="28" t="n"/>
      <c r="H549" s="28" t="n"/>
      <c r="I549" s="28" t="n"/>
      <c r="J549" s="28" t="n"/>
      <c r="K549" s="28" t="n"/>
    </row>
    <row r="550" ht="12.75" customHeight="1">
      <c r="A550" s="28" t="n"/>
      <c r="B550" s="28" t="n"/>
      <c r="C550" s="28" t="n"/>
      <c r="D550" s="28" t="n"/>
      <c r="E550" s="28" t="n"/>
      <c r="F550" s="28" t="n"/>
      <c r="G550" s="28" t="n"/>
      <c r="H550" s="28" t="n"/>
      <c r="I550" s="28" t="n"/>
      <c r="J550" s="28" t="n"/>
      <c r="K550" s="28" t="n"/>
    </row>
    <row r="551" ht="12.75" customHeight="1">
      <c r="A551" s="28" t="n"/>
      <c r="B551" s="28" t="n"/>
      <c r="C551" s="28" t="n"/>
      <c r="D551" s="28" t="n"/>
      <c r="E551" s="28" t="n"/>
      <c r="F551" s="28" t="n"/>
      <c r="G551" s="28" t="n"/>
      <c r="H551" s="28" t="n"/>
      <c r="I551" s="28" t="n"/>
      <c r="J551" s="28" t="n"/>
      <c r="K551" s="28" t="n"/>
    </row>
    <row r="552" ht="12.75" customHeight="1">
      <c r="A552" s="28" t="n"/>
      <c r="B552" s="28" t="n"/>
      <c r="C552" s="28" t="n"/>
      <c r="D552" s="28" t="n"/>
      <c r="E552" s="28" t="n"/>
      <c r="F552" s="28" t="n"/>
      <c r="G552" s="28" t="n"/>
      <c r="H552" s="28" t="n"/>
      <c r="I552" s="28" t="n"/>
      <c r="J552" s="28" t="n"/>
      <c r="K552" s="28" t="n"/>
    </row>
    <row r="553" ht="12.75" customHeight="1">
      <c r="A553" s="28" t="n"/>
      <c r="B553" s="28" t="n"/>
      <c r="C553" s="28" t="n"/>
      <c r="D553" s="28" t="n"/>
      <c r="E553" s="28" t="n"/>
      <c r="F553" s="28" t="n"/>
      <c r="G553" s="28" t="n"/>
      <c r="H553" s="28" t="n"/>
      <c r="I553" s="28" t="n"/>
      <c r="J553" s="28" t="n"/>
      <c r="K553" s="28" t="n"/>
    </row>
    <row r="554" ht="12.75" customHeight="1">
      <c r="A554" s="28" t="n"/>
      <c r="B554" s="28" t="n"/>
      <c r="C554" s="28" t="n"/>
      <c r="D554" s="28" t="n"/>
      <c r="E554" s="28" t="n"/>
      <c r="F554" s="28" t="n"/>
      <c r="G554" s="28" t="n"/>
      <c r="H554" s="28" t="n"/>
      <c r="I554" s="28" t="n"/>
      <c r="J554" s="28" t="n"/>
      <c r="K554" s="28" t="n"/>
    </row>
    <row r="555" ht="12.75" customHeight="1">
      <c r="A555" s="28" t="n"/>
      <c r="B555" s="28" t="n"/>
      <c r="C555" s="28" t="n"/>
      <c r="D555" s="28" t="n"/>
      <c r="E555" s="28" t="n"/>
      <c r="F555" s="28" t="n"/>
      <c r="G555" s="28" t="n"/>
      <c r="H555" s="28" t="n"/>
      <c r="I555" s="28" t="n"/>
      <c r="J555" s="28" t="n"/>
      <c r="K555" s="28" t="n"/>
    </row>
    <row r="556" ht="12.75" customHeight="1">
      <c r="A556" s="28" t="n"/>
      <c r="B556" s="28" t="n"/>
      <c r="C556" s="28" t="n"/>
      <c r="D556" s="28" t="n"/>
      <c r="E556" s="28" t="n"/>
      <c r="F556" s="28" t="n"/>
      <c r="G556" s="28" t="n"/>
      <c r="H556" s="28" t="n"/>
      <c r="I556" s="28" t="n"/>
      <c r="J556" s="28" t="n"/>
      <c r="K556" s="28" t="n"/>
    </row>
    <row r="557" ht="12.75" customHeight="1">
      <c r="A557" s="28" t="n"/>
      <c r="B557" s="28" t="n"/>
      <c r="C557" s="28" t="n"/>
      <c r="D557" s="28" t="n"/>
      <c r="E557" s="28" t="n"/>
      <c r="F557" s="28" t="n"/>
      <c r="G557" s="28" t="n"/>
      <c r="H557" s="28" t="n"/>
      <c r="I557" s="28" t="n"/>
      <c r="J557" s="28" t="n"/>
      <c r="K557" s="28" t="n"/>
    </row>
    <row r="558" ht="12.75" customHeight="1">
      <c r="A558" s="28" t="n"/>
      <c r="B558" s="28" t="n"/>
      <c r="C558" s="28" t="n"/>
      <c r="D558" s="28" t="n"/>
      <c r="E558" s="28" t="n"/>
      <c r="F558" s="28" t="n"/>
      <c r="G558" s="28" t="n"/>
      <c r="H558" s="28" t="n"/>
      <c r="I558" s="28" t="n"/>
      <c r="J558" s="28" t="n"/>
      <c r="K558" s="28" t="n"/>
    </row>
    <row r="559" ht="12.75" customHeight="1">
      <c r="A559" s="28" t="n"/>
      <c r="B559" s="28" t="n"/>
      <c r="C559" s="28" t="n"/>
      <c r="D559" s="28" t="n"/>
      <c r="E559" s="28" t="n"/>
      <c r="F559" s="28" t="n"/>
      <c r="G559" s="28" t="n"/>
      <c r="H559" s="28" t="n"/>
      <c r="I559" s="28" t="n"/>
      <c r="J559" s="28" t="n"/>
      <c r="K559" s="28" t="n"/>
    </row>
    <row r="560" ht="12.75" customHeight="1">
      <c r="A560" s="28" t="n"/>
      <c r="B560" s="28" t="n"/>
      <c r="C560" s="28" t="n"/>
      <c r="D560" s="28" t="n"/>
      <c r="E560" s="28" t="n"/>
      <c r="F560" s="28" t="n"/>
      <c r="G560" s="28" t="n"/>
      <c r="H560" s="28" t="n"/>
      <c r="I560" s="28" t="n"/>
      <c r="J560" s="28" t="n"/>
      <c r="K560" s="28" t="n"/>
    </row>
    <row r="561" ht="12.75" customHeight="1">
      <c r="A561" s="28" t="n"/>
      <c r="B561" s="28" t="n"/>
      <c r="C561" s="28" t="n"/>
      <c r="D561" s="28" t="n"/>
      <c r="E561" s="28" t="n"/>
      <c r="F561" s="28" t="n"/>
      <c r="G561" s="28" t="n"/>
      <c r="H561" s="28" t="n"/>
      <c r="I561" s="28" t="n"/>
      <c r="J561" s="28" t="n"/>
      <c r="K561" s="28" t="n"/>
    </row>
    <row r="562" ht="12.75" customHeight="1">
      <c r="A562" s="28" t="n"/>
      <c r="B562" s="28" t="n"/>
      <c r="C562" s="28" t="n"/>
      <c r="D562" s="28" t="n"/>
      <c r="E562" s="28" t="n"/>
      <c r="F562" s="28" t="n"/>
      <c r="G562" s="28" t="n"/>
      <c r="H562" s="28" t="n"/>
      <c r="I562" s="28" t="n"/>
      <c r="J562" s="28" t="n"/>
      <c r="K562" s="28" t="n"/>
    </row>
    <row r="563" ht="12.75" customHeight="1">
      <c r="A563" s="28" t="n"/>
      <c r="B563" s="28" t="n"/>
      <c r="C563" s="28" t="n"/>
      <c r="D563" s="28" t="n"/>
      <c r="E563" s="28" t="n"/>
      <c r="F563" s="28" t="n"/>
      <c r="G563" s="28" t="n"/>
      <c r="H563" s="28" t="n"/>
      <c r="I563" s="28" t="n"/>
      <c r="J563" s="28" t="n"/>
      <c r="K563" s="28" t="n"/>
    </row>
    <row r="564" ht="12.75" customHeight="1">
      <c r="A564" s="28" t="n"/>
      <c r="B564" s="28" t="n"/>
      <c r="C564" s="28" t="n"/>
      <c r="D564" s="28" t="n"/>
      <c r="E564" s="28" t="n"/>
      <c r="F564" s="28" t="n"/>
      <c r="G564" s="28" t="n"/>
      <c r="H564" s="28" t="n"/>
      <c r="I564" s="28" t="n"/>
      <c r="J564" s="28" t="n"/>
      <c r="K564" s="28" t="n"/>
    </row>
    <row r="565" ht="12.75" customHeight="1">
      <c r="A565" s="28" t="n"/>
      <c r="B565" s="28" t="n"/>
      <c r="C565" s="28" t="n"/>
      <c r="D565" s="28" t="n"/>
      <c r="E565" s="28" t="n"/>
      <c r="F565" s="28" t="n"/>
      <c r="G565" s="28" t="n"/>
      <c r="H565" s="28" t="n"/>
      <c r="I565" s="28" t="n"/>
      <c r="J565" s="28" t="n"/>
      <c r="K565" s="28" t="n"/>
    </row>
    <row r="566" ht="12.75" customHeight="1">
      <c r="A566" s="28" t="n"/>
      <c r="B566" s="28" t="n"/>
      <c r="C566" s="28" t="n"/>
      <c r="D566" s="28" t="n"/>
      <c r="E566" s="28" t="n"/>
      <c r="F566" s="28" t="n"/>
      <c r="G566" s="28" t="n"/>
      <c r="H566" s="28" t="n"/>
      <c r="I566" s="28" t="n"/>
      <c r="J566" s="28" t="n"/>
      <c r="K566" s="28" t="n"/>
    </row>
    <row r="567" ht="12.75" customHeight="1">
      <c r="A567" s="28" t="n"/>
      <c r="B567" s="28" t="n"/>
      <c r="C567" s="28" t="n"/>
      <c r="D567" s="28" t="n"/>
      <c r="E567" s="28" t="n"/>
      <c r="F567" s="28" t="n"/>
      <c r="G567" s="28" t="n"/>
      <c r="H567" s="28" t="n"/>
      <c r="I567" s="28" t="n"/>
      <c r="J567" s="28" t="n"/>
      <c r="K567" s="28" t="n"/>
    </row>
    <row r="568" ht="12.75" customHeight="1">
      <c r="A568" s="28" t="n"/>
      <c r="B568" s="28" t="n"/>
      <c r="C568" s="28" t="n"/>
      <c r="D568" s="28" t="n"/>
      <c r="E568" s="28" t="n"/>
      <c r="F568" s="28" t="n"/>
      <c r="G568" s="28" t="n"/>
      <c r="H568" s="28" t="n"/>
      <c r="I568" s="28" t="n"/>
      <c r="J568" s="28" t="n"/>
      <c r="K568" s="28" t="n"/>
    </row>
    <row r="569" ht="12.75" customHeight="1">
      <c r="A569" s="28" t="n"/>
      <c r="B569" s="28" t="n"/>
      <c r="C569" s="28" t="n"/>
      <c r="D569" s="28" t="n"/>
      <c r="E569" s="28" t="n"/>
      <c r="F569" s="28" t="n"/>
      <c r="G569" s="28" t="n"/>
      <c r="H569" s="28" t="n"/>
      <c r="I569" s="28" t="n"/>
      <c r="J569" s="28" t="n"/>
      <c r="K569" s="28" t="n"/>
    </row>
    <row r="570" ht="12.75" customHeight="1">
      <c r="A570" s="28" t="n"/>
      <c r="B570" s="28" t="n"/>
      <c r="C570" s="28" t="n"/>
      <c r="D570" s="28" t="n"/>
      <c r="E570" s="28" t="n"/>
      <c r="F570" s="28" t="n"/>
      <c r="G570" s="28" t="n"/>
      <c r="H570" s="28" t="n"/>
      <c r="I570" s="28" t="n"/>
      <c r="J570" s="28" t="n"/>
      <c r="K570" s="28" t="n"/>
    </row>
    <row r="571" ht="12.75" customHeight="1">
      <c r="A571" s="28" t="n"/>
      <c r="B571" s="28" t="n"/>
      <c r="C571" s="28" t="n"/>
      <c r="D571" s="28" t="n"/>
      <c r="E571" s="28" t="n"/>
      <c r="F571" s="28" t="n"/>
      <c r="G571" s="28" t="n"/>
      <c r="H571" s="28" t="n"/>
      <c r="I571" s="28" t="n"/>
      <c r="J571" s="28" t="n"/>
      <c r="K571" s="28" t="n"/>
    </row>
    <row r="572" ht="12.75" customHeight="1">
      <c r="A572" s="28" t="n"/>
      <c r="B572" s="28" t="n"/>
      <c r="C572" s="28" t="n"/>
      <c r="D572" s="28" t="n"/>
      <c r="E572" s="28" t="n"/>
      <c r="F572" s="28" t="n"/>
      <c r="G572" s="28" t="n"/>
      <c r="H572" s="28" t="n"/>
      <c r="I572" s="28" t="n"/>
      <c r="J572" s="28" t="n"/>
      <c r="K572" s="28" t="n"/>
    </row>
    <row r="573" ht="12.75" customHeight="1">
      <c r="A573" s="28" t="n"/>
      <c r="B573" s="28" t="n"/>
      <c r="C573" s="28" t="n"/>
      <c r="D573" s="28" t="n"/>
      <c r="E573" s="28" t="n"/>
      <c r="F573" s="28" t="n"/>
      <c r="G573" s="28" t="n"/>
      <c r="H573" s="28" t="n"/>
      <c r="I573" s="28" t="n"/>
      <c r="J573" s="28" t="n"/>
      <c r="K573" s="28" t="n"/>
    </row>
    <row r="574" ht="12.75" customHeight="1">
      <c r="A574" s="28" t="n"/>
      <c r="B574" s="28" t="n"/>
      <c r="C574" s="28" t="n"/>
      <c r="D574" s="28" t="n"/>
      <c r="E574" s="28" t="n"/>
      <c r="F574" s="28" t="n"/>
      <c r="G574" s="28" t="n"/>
      <c r="H574" s="28" t="n"/>
      <c r="I574" s="28" t="n"/>
      <c r="J574" s="28" t="n"/>
      <c r="K574" s="28" t="n"/>
    </row>
    <row r="575" ht="12.75" customHeight="1">
      <c r="A575" s="28" t="n"/>
      <c r="B575" s="28" t="n"/>
      <c r="C575" s="28" t="n"/>
      <c r="D575" s="28" t="n"/>
      <c r="E575" s="28" t="n"/>
      <c r="F575" s="28" t="n"/>
      <c r="G575" s="28" t="n"/>
      <c r="H575" s="28" t="n"/>
      <c r="I575" s="28" t="n"/>
      <c r="J575" s="28" t="n"/>
      <c r="K575" s="28" t="n"/>
    </row>
    <row r="576" ht="12.75" customHeight="1">
      <c r="A576" s="28" t="n"/>
      <c r="B576" s="28" t="n"/>
      <c r="C576" s="28" t="n"/>
      <c r="D576" s="28" t="n"/>
      <c r="E576" s="28" t="n"/>
      <c r="F576" s="28" t="n"/>
      <c r="G576" s="28" t="n"/>
      <c r="H576" s="28" t="n"/>
      <c r="I576" s="28" t="n"/>
      <c r="J576" s="28" t="n"/>
      <c r="K576" s="28" t="n"/>
    </row>
    <row r="577" ht="12.75" customHeight="1">
      <c r="A577" s="28" t="n"/>
      <c r="B577" s="28" t="n"/>
      <c r="C577" s="28" t="n"/>
      <c r="D577" s="28" t="n"/>
      <c r="E577" s="28" t="n"/>
      <c r="F577" s="28" t="n"/>
      <c r="G577" s="28" t="n"/>
      <c r="H577" s="28" t="n"/>
      <c r="I577" s="28" t="n"/>
      <c r="J577" s="28" t="n"/>
      <c r="K577" s="28" t="n"/>
    </row>
    <row r="578" ht="12.75" customHeight="1">
      <c r="A578" s="28" t="n"/>
      <c r="B578" s="28" t="n"/>
      <c r="C578" s="28" t="n"/>
      <c r="D578" s="28" t="n"/>
      <c r="E578" s="28" t="n"/>
      <c r="F578" s="28" t="n"/>
      <c r="G578" s="28" t="n"/>
      <c r="H578" s="28" t="n"/>
      <c r="I578" s="28" t="n"/>
      <c r="J578" s="28" t="n"/>
      <c r="K578" s="28" t="n"/>
    </row>
    <row r="579" ht="12.75" customHeight="1">
      <c r="A579" s="28" t="n"/>
      <c r="B579" s="28" t="n"/>
      <c r="C579" s="28" t="n"/>
      <c r="D579" s="28" t="n"/>
      <c r="E579" s="28" t="n"/>
      <c r="F579" s="28" t="n"/>
      <c r="G579" s="28" t="n"/>
      <c r="H579" s="28" t="n"/>
      <c r="I579" s="28" t="n"/>
      <c r="J579" s="28" t="n"/>
      <c r="K579" s="28" t="n"/>
    </row>
    <row r="580" ht="12.75" customHeight="1">
      <c r="A580" s="28" t="n"/>
      <c r="B580" s="28" t="n"/>
      <c r="C580" s="28" t="n"/>
      <c r="D580" s="28" t="n"/>
      <c r="E580" s="28" t="n"/>
      <c r="F580" s="28" t="n"/>
      <c r="G580" s="28" t="n"/>
      <c r="H580" s="28" t="n"/>
      <c r="I580" s="28" t="n"/>
      <c r="J580" s="28" t="n"/>
      <c r="K580" s="28" t="n"/>
    </row>
    <row r="581" ht="12.75" customHeight="1">
      <c r="A581" s="28" t="n"/>
      <c r="B581" s="28" t="n"/>
      <c r="C581" s="28" t="n"/>
      <c r="D581" s="28" t="n"/>
      <c r="E581" s="28" t="n"/>
      <c r="F581" s="28" t="n"/>
      <c r="G581" s="28" t="n"/>
      <c r="H581" s="28" t="n"/>
      <c r="I581" s="28" t="n"/>
      <c r="J581" s="28" t="n"/>
      <c r="K581" s="28" t="n"/>
    </row>
    <row r="582" ht="12.75" customHeight="1">
      <c r="A582" s="28" t="n"/>
      <c r="B582" s="28" t="n"/>
      <c r="C582" s="28" t="n"/>
      <c r="D582" s="28" t="n"/>
      <c r="E582" s="28" t="n"/>
      <c r="F582" s="28" t="n"/>
      <c r="G582" s="28" t="n"/>
      <c r="H582" s="28" t="n"/>
      <c r="I582" s="28" t="n"/>
      <c r="J582" s="28" t="n"/>
      <c r="K582" s="28" t="n"/>
    </row>
    <row r="583" ht="12.75" customHeight="1">
      <c r="A583" s="28" t="n"/>
      <c r="B583" s="28" t="n"/>
      <c r="C583" s="28" t="n"/>
      <c r="D583" s="28" t="n"/>
      <c r="E583" s="28" t="n"/>
      <c r="F583" s="28" t="n"/>
      <c r="G583" s="28" t="n"/>
      <c r="H583" s="28" t="n"/>
      <c r="I583" s="28" t="n"/>
      <c r="J583" s="28" t="n"/>
      <c r="K583" s="28" t="n"/>
    </row>
    <row r="584" ht="12.75" customHeight="1">
      <c r="A584" s="28" t="n"/>
      <c r="B584" s="28" t="n"/>
      <c r="C584" s="28" t="n"/>
      <c r="D584" s="28" t="n"/>
      <c r="E584" s="28" t="n"/>
      <c r="F584" s="28" t="n"/>
      <c r="G584" s="28" t="n"/>
      <c r="H584" s="28" t="n"/>
      <c r="I584" s="28" t="n"/>
      <c r="J584" s="28" t="n"/>
      <c r="K584" s="28" t="n"/>
    </row>
    <row r="585" ht="12.75" customHeight="1">
      <c r="A585" s="28" t="n"/>
      <c r="B585" s="28" t="n"/>
      <c r="C585" s="28" t="n"/>
      <c r="D585" s="28" t="n"/>
      <c r="E585" s="28" t="n"/>
      <c r="F585" s="28" t="n"/>
      <c r="G585" s="28" t="n"/>
      <c r="H585" s="28" t="n"/>
      <c r="I585" s="28" t="n"/>
      <c r="J585" s="28" t="n"/>
      <c r="K585" s="28" t="n"/>
    </row>
    <row r="586" ht="12.75" customHeight="1">
      <c r="A586" s="28" t="n"/>
      <c r="B586" s="28" t="n"/>
      <c r="C586" s="28" t="n"/>
      <c r="D586" s="28" t="n"/>
      <c r="E586" s="28" t="n"/>
      <c r="F586" s="28" t="n"/>
      <c r="G586" s="28" t="n"/>
      <c r="H586" s="28" t="n"/>
      <c r="I586" s="28" t="n"/>
      <c r="J586" s="28" t="n"/>
      <c r="K586" s="28" t="n"/>
    </row>
    <row r="587" ht="12.75" customHeight="1">
      <c r="A587" s="28" t="n"/>
      <c r="B587" s="28" t="n"/>
      <c r="C587" s="28" t="n"/>
      <c r="D587" s="28" t="n"/>
      <c r="E587" s="28" t="n"/>
      <c r="F587" s="28" t="n"/>
      <c r="G587" s="28" t="n"/>
      <c r="H587" s="28" t="n"/>
      <c r="I587" s="28" t="n"/>
      <c r="J587" s="28" t="n"/>
      <c r="K587" s="28" t="n"/>
    </row>
    <row r="588" ht="12.75" customHeight="1">
      <c r="A588" s="28" t="n"/>
      <c r="B588" s="28" t="n"/>
      <c r="C588" s="28" t="n"/>
      <c r="D588" s="28" t="n"/>
      <c r="E588" s="28" t="n"/>
      <c r="F588" s="28" t="n"/>
      <c r="G588" s="28" t="n"/>
      <c r="H588" s="28" t="n"/>
      <c r="I588" s="28" t="n"/>
      <c r="J588" s="28" t="n"/>
      <c r="K588" s="28" t="n"/>
    </row>
    <row r="589" ht="12.75" customHeight="1">
      <c r="A589" s="28" t="n"/>
      <c r="B589" s="28" t="n"/>
      <c r="C589" s="28" t="n"/>
      <c r="D589" s="28" t="n"/>
      <c r="E589" s="28" t="n"/>
      <c r="F589" s="28" t="n"/>
      <c r="G589" s="28" t="n"/>
      <c r="H589" s="28" t="n"/>
      <c r="I589" s="28" t="n"/>
      <c r="J589" s="28" t="n"/>
      <c r="K589" s="28" t="n"/>
    </row>
    <row r="590" ht="12.75" customHeight="1">
      <c r="A590" s="28" t="n"/>
      <c r="B590" s="28" t="n"/>
      <c r="C590" s="28" t="n"/>
      <c r="D590" s="28" t="n"/>
      <c r="E590" s="28" t="n"/>
      <c r="F590" s="28" t="n"/>
      <c r="G590" s="28" t="n"/>
      <c r="H590" s="28" t="n"/>
      <c r="I590" s="28" t="n"/>
      <c r="J590" s="28" t="n"/>
      <c r="K590" s="28" t="n"/>
    </row>
    <row r="591" ht="12.75" customHeight="1">
      <c r="A591" s="28" t="n"/>
      <c r="B591" s="28" t="n"/>
      <c r="C591" s="28" t="n"/>
      <c r="D591" s="28" t="n"/>
      <c r="E591" s="28" t="n"/>
      <c r="F591" s="28" t="n"/>
      <c r="G591" s="28" t="n"/>
      <c r="H591" s="28" t="n"/>
      <c r="I591" s="28" t="n"/>
      <c r="J591" s="28" t="n"/>
      <c r="K591" s="28" t="n"/>
    </row>
    <row r="592" ht="12.75" customHeight="1">
      <c r="A592" s="28" t="n"/>
      <c r="B592" s="28" t="n"/>
      <c r="C592" s="28" t="n"/>
      <c r="D592" s="28" t="n"/>
      <c r="E592" s="28" t="n"/>
      <c r="F592" s="28" t="n"/>
      <c r="G592" s="28" t="n"/>
      <c r="H592" s="28" t="n"/>
      <c r="I592" s="28" t="n"/>
      <c r="J592" s="28" t="n"/>
      <c r="K592" s="28" t="n"/>
    </row>
    <row r="593" ht="12.75" customHeight="1">
      <c r="A593" s="28" t="n"/>
      <c r="B593" s="28" t="n"/>
      <c r="C593" s="28" t="n"/>
      <c r="D593" s="28" t="n"/>
      <c r="E593" s="28" t="n"/>
      <c r="F593" s="28" t="n"/>
      <c r="G593" s="28" t="n"/>
      <c r="H593" s="28" t="n"/>
      <c r="I593" s="28" t="n"/>
      <c r="J593" s="28" t="n"/>
      <c r="K593" s="28" t="n"/>
    </row>
    <row r="594" ht="12.75" customHeight="1">
      <c r="A594" s="28" t="n"/>
      <c r="B594" s="28" t="n"/>
      <c r="C594" s="28" t="n"/>
      <c r="D594" s="28" t="n"/>
      <c r="E594" s="28" t="n"/>
      <c r="F594" s="28" t="n"/>
      <c r="G594" s="28" t="n"/>
      <c r="H594" s="28" t="n"/>
      <c r="I594" s="28" t="n"/>
      <c r="J594" s="28" t="n"/>
      <c r="K594" s="28" t="n"/>
    </row>
    <row r="595" ht="12.75" customHeight="1">
      <c r="A595" s="28" t="n"/>
      <c r="B595" s="28" t="n"/>
      <c r="C595" s="28" t="n"/>
      <c r="D595" s="28" t="n"/>
      <c r="E595" s="28" t="n"/>
      <c r="F595" s="28" t="n"/>
      <c r="G595" s="28" t="n"/>
      <c r="H595" s="28" t="n"/>
      <c r="I595" s="28" t="n"/>
      <c r="J595" s="28" t="n"/>
      <c r="K595" s="28" t="n"/>
    </row>
    <row r="596" ht="12.75" customHeight="1">
      <c r="A596" s="28" t="n"/>
      <c r="B596" s="28" t="n"/>
      <c r="C596" s="28" t="n"/>
      <c r="D596" s="28" t="n"/>
      <c r="E596" s="28" t="n"/>
      <c r="F596" s="28" t="n"/>
      <c r="G596" s="28" t="n"/>
      <c r="H596" s="28" t="n"/>
      <c r="I596" s="28" t="n"/>
      <c r="J596" s="28" t="n"/>
      <c r="K596" s="28" t="n"/>
    </row>
    <row r="597" ht="12.75" customHeight="1">
      <c r="A597" s="28" t="n"/>
      <c r="B597" s="28" t="n"/>
      <c r="C597" s="28" t="n"/>
      <c r="D597" s="28" t="n"/>
      <c r="E597" s="28" t="n"/>
      <c r="F597" s="28" t="n"/>
      <c r="G597" s="28" t="n"/>
      <c r="H597" s="28" t="n"/>
      <c r="I597" s="28" t="n"/>
      <c r="J597" s="28" t="n"/>
      <c r="K597" s="28" t="n"/>
    </row>
    <row r="598" ht="12.75" customHeight="1">
      <c r="A598" s="28" t="n"/>
      <c r="B598" s="28" t="n"/>
      <c r="C598" s="28" t="n"/>
      <c r="D598" s="28" t="n"/>
      <c r="E598" s="28" t="n"/>
      <c r="F598" s="28" t="n"/>
      <c r="G598" s="28" t="n"/>
      <c r="H598" s="28" t="n"/>
      <c r="I598" s="28" t="n"/>
      <c r="J598" s="28" t="n"/>
      <c r="K598" s="28" t="n"/>
    </row>
    <row r="599" ht="12.75" customHeight="1">
      <c r="A599" s="28" t="n"/>
      <c r="B599" s="28" t="n"/>
      <c r="C599" s="28" t="n"/>
      <c r="D599" s="28" t="n"/>
      <c r="E599" s="28" t="n"/>
      <c r="F599" s="28" t="n"/>
      <c r="G599" s="28" t="n"/>
      <c r="H599" s="28" t="n"/>
      <c r="I599" s="28" t="n"/>
      <c r="J599" s="28" t="n"/>
      <c r="K599" s="28" t="n"/>
    </row>
    <row r="600" ht="12.75" customHeight="1">
      <c r="A600" s="28" t="n"/>
      <c r="B600" s="28" t="n"/>
      <c r="C600" s="28" t="n"/>
      <c r="D600" s="28" t="n"/>
      <c r="E600" s="28" t="n"/>
      <c r="F600" s="28" t="n"/>
      <c r="G600" s="28" t="n"/>
      <c r="H600" s="28" t="n"/>
      <c r="I600" s="28" t="n"/>
      <c r="J600" s="28" t="n"/>
      <c r="K600" s="28" t="n"/>
    </row>
    <row r="601" ht="12.75" customHeight="1">
      <c r="A601" s="28" t="n"/>
      <c r="B601" s="28" t="n"/>
      <c r="C601" s="28" t="n"/>
      <c r="D601" s="28" t="n"/>
      <c r="E601" s="28" t="n"/>
      <c r="F601" s="28" t="n"/>
      <c r="G601" s="28" t="n"/>
      <c r="H601" s="28" t="n"/>
      <c r="I601" s="28" t="n"/>
      <c r="J601" s="28" t="n"/>
      <c r="K601" s="28" t="n"/>
    </row>
    <row r="602" ht="12.75" customHeight="1">
      <c r="A602" s="28" t="n"/>
      <c r="B602" s="28" t="n"/>
      <c r="C602" s="28" t="n"/>
      <c r="D602" s="28" t="n"/>
      <c r="E602" s="28" t="n"/>
      <c r="F602" s="28" t="n"/>
      <c r="G602" s="28" t="n"/>
      <c r="H602" s="28" t="n"/>
      <c r="I602" s="28" t="n"/>
      <c r="J602" s="28" t="n"/>
      <c r="K602" s="28" t="n"/>
    </row>
    <row r="603" ht="12.75" customHeight="1">
      <c r="A603" s="28" t="n"/>
      <c r="B603" s="28" t="n"/>
      <c r="C603" s="28" t="n"/>
      <c r="D603" s="28" t="n"/>
      <c r="E603" s="28" t="n"/>
      <c r="F603" s="28" t="n"/>
      <c r="G603" s="28" t="n"/>
      <c r="H603" s="28" t="n"/>
      <c r="I603" s="28" t="n"/>
      <c r="J603" s="28" t="n"/>
      <c r="K603" s="28" t="n"/>
    </row>
    <row r="604" ht="12.75" customHeight="1">
      <c r="A604" s="28" t="n"/>
      <c r="B604" s="28" t="n"/>
      <c r="C604" s="28" t="n"/>
      <c r="D604" s="28" t="n"/>
      <c r="E604" s="28" t="n"/>
      <c r="F604" s="28" t="n"/>
      <c r="G604" s="28" t="n"/>
      <c r="H604" s="28" t="n"/>
      <c r="I604" s="28" t="n"/>
      <c r="J604" s="28" t="n"/>
      <c r="K604" s="28" t="n"/>
    </row>
    <row r="605" ht="12.75" customHeight="1">
      <c r="A605" s="28" t="n"/>
      <c r="B605" s="28" t="n"/>
      <c r="C605" s="28" t="n"/>
      <c r="D605" s="28" t="n"/>
      <c r="E605" s="28" t="n"/>
      <c r="F605" s="28" t="n"/>
      <c r="G605" s="28" t="n"/>
      <c r="H605" s="28" t="n"/>
      <c r="I605" s="28" t="n"/>
      <c r="J605" s="28" t="n"/>
      <c r="K605" s="28" t="n"/>
    </row>
    <row r="606" ht="12.75" customHeight="1">
      <c r="A606" s="28" t="n"/>
      <c r="B606" s="28" t="n"/>
      <c r="C606" s="28" t="n"/>
      <c r="D606" s="28" t="n"/>
      <c r="E606" s="28" t="n"/>
      <c r="F606" s="28" t="n"/>
      <c r="G606" s="28" t="n"/>
      <c r="H606" s="28" t="n"/>
      <c r="I606" s="28" t="n"/>
      <c r="J606" s="28" t="n"/>
      <c r="K606" s="28" t="n"/>
    </row>
    <row r="607" ht="12.75" customHeight="1">
      <c r="A607" s="28" t="n"/>
      <c r="B607" s="28" t="n"/>
      <c r="C607" s="28" t="n"/>
      <c r="D607" s="28" t="n"/>
      <c r="E607" s="28" t="n"/>
      <c r="F607" s="28" t="n"/>
      <c r="G607" s="28" t="n"/>
      <c r="H607" s="28" t="n"/>
      <c r="I607" s="28" t="n"/>
      <c r="J607" s="28" t="n"/>
      <c r="K607" s="28" t="n"/>
    </row>
    <row r="608" ht="12.75" customHeight="1">
      <c r="A608" s="28" t="n"/>
      <c r="B608" s="28" t="n"/>
      <c r="C608" s="28" t="n"/>
      <c r="D608" s="28" t="n"/>
      <c r="E608" s="28" t="n"/>
      <c r="F608" s="28" t="n"/>
      <c r="G608" s="28" t="n"/>
      <c r="H608" s="28" t="n"/>
      <c r="I608" s="28" t="n"/>
      <c r="J608" s="28" t="n"/>
      <c r="K608" s="28" t="n"/>
    </row>
    <row r="609" ht="12.75" customHeight="1">
      <c r="A609" s="28" t="n"/>
      <c r="B609" s="28" t="n"/>
      <c r="C609" s="28" t="n"/>
      <c r="D609" s="28" t="n"/>
      <c r="E609" s="28" t="n"/>
      <c r="F609" s="28" t="n"/>
      <c r="G609" s="28" t="n"/>
      <c r="H609" s="28" t="n"/>
      <c r="I609" s="28" t="n"/>
      <c r="J609" s="28" t="n"/>
      <c r="K609" s="28" t="n"/>
    </row>
    <row r="610" ht="12.75" customHeight="1">
      <c r="A610" s="28" t="n"/>
      <c r="B610" s="28" t="n"/>
      <c r="C610" s="28" t="n"/>
      <c r="D610" s="28" t="n"/>
      <c r="E610" s="28" t="n"/>
      <c r="F610" s="28" t="n"/>
      <c r="G610" s="28" t="n"/>
      <c r="H610" s="28" t="n"/>
      <c r="I610" s="28" t="n"/>
      <c r="J610" s="28" t="n"/>
      <c r="K610" s="28" t="n"/>
    </row>
    <row r="611" ht="12.75" customHeight="1">
      <c r="A611" s="28" t="n"/>
      <c r="B611" s="28" t="n"/>
      <c r="C611" s="28" t="n"/>
      <c r="D611" s="28" t="n"/>
      <c r="E611" s="28" t="n"/>
      <c r="F611" s="28" t="n"/>
      <c r="G611" s="28" t="n"/>
      <c r="H611" s="28" t="n"/>
      <c r="I611" s="28" t="n"/>
      <c r="J611" s="28" t="n"/>
      <c r="K611" s="28" t="n"/>
    </row>
    <row r="612" ht="12.75" customHeight="1">
      <c r="A612" s="28" t="n"/>
      <c r="B612" s="28" t="n"/>
      <c r="C612" s="28" t="n"/>
      <c r="D612" s="28" t="n"/>
      <c r="E612" s="28" t="n"/>
      <c r="F612" s="28" t="n"/>
      <c r="G612" s="28" t="n"/>
      <c r="H612" s="28" t="n"/>
      <c r="I612" s="28" t="n"/>
      <c r="J612" s="28" t="n"/>
      <c r="K612" s="28" t="n"/>
    </row>
    <row r="613" ht="12.75" customHeight="1">
      <c r="A613" s="28" t="n"/>
      <c r="B613" s="28" t="n"/>
      <c r="C613" s="28" t="n"/>
      <c r="D613" s="28" t="n"/>
      <c r="E613" s="28" t="n"/>
      <c r="F613" s="28" t="n"/>
      <c r="G613" s="28" t="n"/>
      <c r="H613" s="28" t="n"/>
      <c r="I613" s="28" t="n"/>
      <c r="J613" s="28" t="n"/>
      <c r="K613" s="28" t="n"/>
    </row>
    <row r="614" ht="12.75" customHeight="1">
      <c r="A614" s="28" t="n"/>
      <c r="B614" s="28" t="n"/>
      <c r="C614" s="28" t="n"/>
      <c r="D614" s="28" t="n"/>
      <c r="E614" s="28" t="n"/>
      <c r="F614" s="28" t="n"/>
      <c r="G614" s="28" t="n"/>
      <c r="H614" s="28" t="n"/>
      <c r="I614" s="28" t="n"/>
      <c r="J614" s="28" t="n"/>
      <c r="K614" s="28" t="n"/>
    </row>
    <row r="615" ht="12.75" customHeight="1">
      <c r="A615" s="28" t="n"/>
      <c r="B615" s="28" t="n"/>
      <c r="C615" s="28" t="n"/>
      <c r="D615" s="28" t="n"/>
      <c r="E615" s="28" t="n"/>
      <c r="F615" s="28" t="n"/>
      <c r="G615" s="28" t="n"/>
      <c r="H615" s="28" t="n"/>
      <c r="I615" s="28" t="n"/>
      <c r="J615" s="28" t="n"/>
      <c r="K615" s="28" t="n"/>
    </row>
    <row r="616" ht="12.75" customHeight="1">
      <c r="A616" s="28" t="n"/>
      <c r="B616" s="28" t="n"/>
      <c r="C616" s="28" t="n"/>
      <c r="D616" s="28" t="n"/>
      <c r="E616" s="28" t="n"/>
      <c r="F616" s="28" t="n"/>
      <c r="G616" s="28" t="n"/>
      <c r="H616" s="28" t="n"/>
      <c r="I616" s="28" t="n"/>
      <c r="J616" s="28" t="n"/>
      <c r="K616" s="28" t="n"/>
    </row>
    <row r="617" ht="12.75" customHeight="1">
      <c r="A617" s="28" t="n"/>
      <c r="B617" s="28" t="n"/>
      <c r="C617" s="28" t="n"/>
      <c r="D617" s="28" t="n"/>
      <c r="E617" s="28" t="n"/>
      <c r="F617" s="28" t="n"/>
      <c r="G617" s="28" t="n"/>
      <c r="H617" s="28" t="n"/>
      <c r="I617" s="28" t="n"/>
      <c r="J617" s="28" t="n"/>
      <c r="K617" s="28" t="n"/>
    </row>
    <row r="618" ht="12.75" customHeight="1">
      <c r="A618" s="28" t="n"/>
      <c r="B618" s="28" t="n"/>
      <c r="C618" s="28" t="n"/>
      <c r="D618" s="28" t="n"/>
      <c r="E618" s="28" t="n"/>
      <c r="F618" s="28" t="n"/>
      <c r="G618" s="28" t="n"/>
      <c r="H618" s="28" t="n"/>
      <c r="I618" s="28" t="n"/>
      <c r="J618" s="28" t="n"/>
      <c r="K618" s="28" t="n"/>
    </row>
    <row r="619" ht="12.75" customHeight="1">
      <c r="A619" s="28" t="n"/>
      <c r="B619" s="28" t="n"/>
      <c r="C619" s="28" t="n"/>
      <c r="D619" s="28" t="n"/>
      <c r="E619" s="28" t="n"/>
      <c r="F619" s="28" t="n"/>
      <c r="G619" s="28" t="n"/>
      <c r="H619" s="28" t="n"/>
      <c r="I619" s="28" t="n"/>
      <c r="J619" s="28" t="n"/>
      <c r="K619" s="28" t="n"/>
    </row>
    <row r="620" ht="12.75" customHeight="1">
      <c r="A620" s="28" t="n"/>
      <c r="B620" s="28" t="n"/>
      <c r="C620" s="28" t="n"/>
      <c r="D620" s="28" t="n"/>
      <c r="E620" s="28" t="n"/>
      <c r="F620" s="28" t="n"/>
      <c r="G620" s="28" t="n"/>
      <c r="H620" s="28" t="n"/>
      <c r="I620" s="28" t="n"/>
      <c r="J620" s="28" t="n"/>
      <c r="K620" s="28" t="n"/>
    </row>
    <row r="621" ht="12.75" customHeight="1">
      <c r="A621" s="28" t="n"/>
      <c r="B621" s="28" t="n"/>
      <c r="C621" s="28" t="n"/>
      <c r="D621" s="28" t="n"/>
      <c r="E621" s="28" t="n"/>
      <c r="F621" s="28" t="n"/>
      <c r="G621" s="28" t="n"/>
      <c r="H621" s="28" t="n"/>
      <c r="I621" s="28" t="n"/>
      <c r="J621" s="28" t="n"/>
      <c r="K621" s="28" t="n"/>
    </row>
    <row r="622" ht="12.75" customHeight="1">
      <c r="A622" s="28" t="n"/>
      <c r="B622" s="28" t="n"/>
      <c r="C622" s="28" t="n"/>
      <c r="D622" s="28" t="n"/>
      <c r="E622" s="28" t="n"/>
      <c r="F622" s="28" t="n"/>
      <c r="G622" s="28" t="n"/>
      <c r="H622" s="28" t="n"/>
      <c r="I622" s="28" t="n"/>
      <c r="J622" s="28" t="n"/>
      <c r="K622" s="28" t="n"/>
    </row>
    <row r="623" ht="12.75" customHeight="1">
      <c r="A623" s="28" t="n"/>
      <c r="B623" s="28" t="n"/>
      <c r="C623" s="28" t="n"/>
      <c r="D623" s="28" t="n"/>
      <c r="E623" s="28" t="n"/>
      <c r="F623" s="28" t="n"/>
      <c r="G623" s="28" t="n"/>
      <c r="H623" s="28" t="n"/>
      <c r="I623" s="28" t="n"/>
      <c r="J623" s="28" t="n"/>
      <c r="K623" s="28" t="n"/>
    </row>
    <row r="624" ht="12.75" customHeight="1">
      <c r="A624" s="28" t="n"/>
      <c r="B624" s="28" t="n"/>
      <c r="C624" s="28" t="n"/>
      <c r="D624" s="28" t="n"/>
      <c r="E624" s="28" t="n"/>
      <c r="F624" s="28" t="n"/>
      <c r="G624" s="28" t="n"/>
      <c r="H624" s="28" t="n"/>
      <c r="I624" s="28" t="n"/>
      <c r="J624" s="28" t="n"/>
      <c r="K624" s="28" t="n"/>
    </row>
    <row r="625" ht="12.75" customHeight="1">
      <c r="A625" s="28" t="n"/>
      <c r="B625" s="28" t="n"/>
      <c r="C625" s="28" t="n"/>
      <c r="D625" s="28" t="n"/>
      <c r="E625" s="28" t="n"/>
      <c r="F625" s="28" t="n"/>
      <c r="G625" s="28" t="n"/>
      <c r="H625" s="28" t="n"/>
      <c r="I625" s="28" t="n"/>
      <c r="J625" s="28" t="n"/>
      <c r="K625" s="28" t="n"/>
    </row>
    <row r="626" ht="12.75" customHeight="1">
      <c r="A626" s="28" t="n"/>
      <c r="B626" s="28" t="n"/>
      <c r="C626" s="28" t="n"/>
      <c r="D626" s="28" t="n"/>
      <c r="E626" s="28" t="n"/>
      <c r="F626" s="28" t="n"/>
      <c r="G626" s="28" t="n"/>
      <c r="H626" s="28" t="n"/>
      <c r="I626" s="28" t="n"/>
      <c r="J626" s="28" t="n"/>
      <c r="K626" s="28" t="n"/>
    </row>
    <row r="627" ht="12.75" customHeight="1">
      <c r="A627" s="28" t="n"/>
      <c r="B627" s="28" t="n"/>
      <c r="C627" s="28" t="n"/>
      <c r="D627" s="28" t="n"/>
      <c r="E627" s="28" t="n"/>
      <c r="F627" s="28" t="n"/>
      <c r="G627" s="28" t="n"/>
      <c r="H627" s="28" t="n"/>
      <c r="I627" s="28" t="n"/>
      <c r="J627" s="28" t="n"/>
      <c r="K627" s="28" t="n"/>
    </row>
    <row r="628" ht="12.75" customHeight="1">
      <c r="A628" s="28" t="n"/>
      <c r="B628" s="28" t="n"/>
      <c r="C628" s="28" t="n"/>
      <c r="D628" s="28" t="n"/>
      <c r="E628" s="28" t="n"/>
      <c r="F628" s="28" t="n"/>
      <c r="G628" s="28" t="n"/>
      <c r="H628" s="28" t="n"/>
      <c r="I628" s="28" t="n"/>
      <c r="J628" s="28" t="n"/>
      <c r="K628" s="28" t="n"/>
    </row>
    <row r="629" ht="12.75" customHeight="1">
      <c r="A629" s="28" t="n"/>
      <c r="B629" s="28" t="n"/>
      <c r="C629" s="28" t="n"/>
      <c r="D629" s="28" t="n"/>
      <c r="E629" s="28" t="n"/>
      <c r="F629" s="28" t="n"/>
      <c r="G629" s="28" t="n"/>
      <c r="H629" s="28" t="n"/>
      <c r="I629" s="28" t="n"/>
      <c r="J629" s="28" t="n"/>
      <c r="K629" s="28" t="n"/>
    </row>
    <row r="630" ht="12.75" customHeight="1">
      <c r="A630" s="28" t="n"/>
      <c r="B630" s="28" t="n"/>
      <c r="C630" s="28" t="n"/>
      <c r="D630" s="28" t="n"/>
      <c r="E630" s="28" t="n"/>
      <c r="F630" s="28" t="n"/>
      <c r="G630" s="28" t="n"/>
      <c r="H630" s="28" t="n"/>
      <c r="I630" s="28" t="n"/>
      <c r="J630" s="28" t="n"/>
      <c r="K630" s="28" t="n"/>
    </row>
    <row r="631" ht="12.75" customHeight="1">
      <c r="A631" s="28" t="n"/>
      <c r="B631" s="28" t="n"/>
      <c r="C631" s="28" t="n"/>
      <c r="D631" s="28" t="n"/>
      <c r="E631" s="28" t="n"/>
      <c r="F631" s="28" t="n"/>
      <c r="G631" s="28" t="n"/>
      <c r="H631" s="28" t="n"/>
      <c r="I631" s="28" t="n"/>
      <c r="J631" s="28" t="n"/>
      <c r="K631" s="28" t="n"/>
    </row>
    <row r="632" ht="12.75" customHeight="1">
      <c r="A632" s="28" t="n"/>
      <c r="B632" s="28" t="n"/>
      <c r="C632" s="28" t="n"/>
      <c r="D632" s="28" t="n"/>
      <c r="E632" s="28" t="n"/>
      <c r="F632" s="28" t="n"/>
      <c r="G632" s="28" t="n"/>
      <c r="H632" s="28" t="n"/>
      <c r="I632" s="28" t="n"/>
      <c r="J632" s="28" t="n"/>
      <c r="K632" s="28" t="n"/>
    </row>
    <row r="633" ht="12.75" customHeight="1">
      <c r="A633" s="28" t="n"/>
      <c r="B633" s="28" t="n"/>
      <c r="C633" s="28" t="n"/>
      <c r="D633" s="28" t="n"/>
      <c r="E633" s="28" t="n"/>
      <c r="F633" s="28" t="n"/>
      <c r="G633" s="28" t="n"/>
      <c r="H633" s="28" t="n"/>
      <c r="I633" s="28" t="n"/>
      <c r="J633" s="28" t="n"/>
      <c r="K633" s="28" t="n"/>
    </row>
    <row r="634" ht="12.75" customHeight="1">
      <c r="A634" s="28" t="n"/>
      <c r="B634" s="28" t="n"/>
      <c r="C634" s="28" t="n"/>
      <c r="D634" s="28" t="n"/>
      <c r="E634" s="28" t="n"/>
      <c r="F634" s="28" t="n"/>
      <c r="G634" s="28" t="n"/>
      <c r="H634" s="28" t="n"/>
      <c r="I634" s="28" t="n"/>
      <c r="J634" s="28" t="n"/>
      <c r="K634" s="28" t="n"/>
    </row>
    <row r="635" ht="12.75" customHeight="1">
      <c r="A635" s="28" t="n"/>
      <c r="B635" s="28" t="n"/>
      <c r="C635" s="28" t="n"/>
      <c r="D635" s="28" t="n"/>
      <c r="E635" s="28" t="n"/>
      <c r="F635" s="28" t="n"/>
      <c r="G635" s="28" t="n"/>
      <c r="H635" s="28" t="n"/>
      <c r="I635" s="28" t="n"/>
      <c r="J635" s="28" t="n"/>
      <c r="K635" s="28" t="n"/>
    </row>
    <row r="636" ht="12.75" customHeight="1">
      <c r="A636" s="28" t="n"/>
      <c r="B636" s="28" t="n"/>
      <c r="C636" s="28" t="n"/>
      <c r="D636" s="28" t="n"/>
      <c r="E636" s="28" t="n"/>
      <c r="F636" s="28" t="n"/>
      <c r="G636" s="28" t="n"/>
      <c r="H636" s="28" t="n"/>
      <c r="I636" s="28" t="n"/>
      <c r="J636" s="28" t="n"/>
      <c r="K636" s="28" t="n"/>
    </row>
    <row r="637" ht="12.75" customHeight="1">
      <c r="A637" s="28" t="n"/>
      <c r="B637" s="28" t="n"/>
      <c r="C637" s="28" t="n"/>
      <c r="D637" s="28" t="n"/>
      <c r="E637" s="28" t="n"/>
      <c r="F637" s="28" t="n"/>
      <c r="G637" s="28" t="n"/>
      <c r="H637" s="28" t="n"/>
      <c r="I637" s="28" t="n"/>
      <c r="J637" s="28" t="n"/>
      <c r="K637" s="28" t="n"/>
    </row>
    <row r="638" ht="12.75" customHeight="1">
      <c r="A638" s="28" t="n"/>
      <c r="B638" s="28" t="n"/>
      <c r="C638" s="28" t="n"/>
      <c r="D638" s="28" t="n"/>
      <c r="E638" s="28" t="n"/>
      <c r="F638" s="28" t="n"/>
      <c r="G638" s="28" t="n"/>
      <c r="H638" s="28" t="n"/>
      <c r="I638" s="28" t="n"/>
      <c r="J638" s="28" t="n"/>
      <c r="K638" s="28" t="n"/>
    </row>
    <row r="639" ht="12.75" customHeight="1">
      <c r="A639" s="28" t="n"/>
      <c r="B639" s="28" t="n"/>
      <c r="C639" s="28" t="n"/>
      <c r="D639" s="28" t="n"/>
      <c r="E639" s="28" t="n"/>
      <c r="F639" s="28" t="n"/>
      <c r="G639" s="28" t="n"/>
      <c r="H639" s="28" t="n"/>
      <c r="I639" s="28" t="n"/>
      <c r="J639" s="28" t="n"/>
      <c r="K639" s="28" t="n"/>
    </row>
    <row r="640" ht="12.75" customHeight="1">
      <c r="A640" s="28" t="n"/>
      <c r="B640" s="28" t="n"/>
      <c r="C640" s="28" t="n"/>
      <c r="D640" s="28" t="n"/>
      <c r="E640" s="28" t="n"/>
      <c r="F640" s="28" t="n"/>
      <c r="G640" s="28" t="n"/>
      <c r="H640" s="28" t="n"/>
      <c r="I640" s="28" t="n"/>
      <c r="J640" s="28" t="n"/>
      <c r="K640" s="28" t="n"/>
    </row>
    <row r="641" ht="12.75" customHeight="1">
      <c r="A641" s="28" t="n"/>
      <c r="B641" s="28" t="n"/>
      <c r="C641" s="28" t="n"/>
      <c r="D641" s="28" t="n"/>
      <c r="E641" s="28" t="n"/>
      <c r="F641" s="28" t="n"/>
      <c r="G641" s="28" t="n"/>
      <c r="H641" s="28" t="n"/>
      <c r="I641" s="28" t="n"/>
      <c r="J641" s="28" t="n"/>
      <c r="K641" s="28" t="n"/>
    </row>
    <row r="642" ht="12.75" customHeight="1">
      <c r="A642" s="28" t="n"/>
      <c r="B642" s="28" t="n"/>
      <c r="C642" s="28" t="n"/>
      <c r="D642" s="28" t="n"/>
      <c r="E642" s="28" t="n"/>
      <c r="F642" s="28" t="n"/>
      <c r="G642" s="28" t="n"/>
      <c r="H642" s="28" t="n"/>
      <c r="I642" s="28" t="n"/>
      <c r="J642" s="28" t="n"/>
      <c r="K642" s="28" t="n"/>
    </row>
    <row r="643" ht="12.75" customHeight="1">
      <c r="A643" s="28" t="n"/>
      <c r="B643" s="28" t="n"/>
      <c r="C643" s="28" t="n"/>
      <c r="D643" s="28" t="n"/>
      <c r="E643" s="28" t="n"/>
      <c r="F643" s="28" t="n"/>
      <c r="G643" s="28" t="n"/>
      <c r="H643" s="28" t="n"/>
      <c r="I643" s="28" t="n"/>
      <c r="J643" s="28" t="n"/>
      <c r="K643" s="28" t="n"/>
    </row>
    <row r="644" ht="12.75" customHeight="1">
      <c r="A644" s="28" t="n"/>
      <c r="B644" s="28" t="n"/>
      <c r="C644" s="28" t="n"/>
      <c r="D644" s="28" t="n"/>
      <c r="E644" s="28" t="n"/>
      <c r="F644" s="28" t="n"/>
      <c r="G644" s="28" t="n"/>
      <c r="H644" s="28" t="n"/>
      <c r="I644" s="28" t="n"/>
      <c r="J644" s="28" t="n"/>
      <c r="K644" s="28" t="n"/>
    </row>
    <row r="645" ht="12.75" customHeight="1">
      <c r="A645" s="28" t="n"/>
      <c r="B645" s="28" t="n"/>
      <c r="C645" s="28" t="n"/>
      <c r="D645" s="28" t="n"/>
      <c r="E645" s="28" t="n"/>
      <c r="F645" s="28" t="n"/>
      <c r="G645" s="28" t="n"/>
      <c r="H645" s="28" t="n"/>
      <c r="I645" s="28" t="n"/>
      <c r="J645" s="28" t="n"/>
      <c r="K645" s="28" t="n"/>
    </row>
    <row r="646" ht="12.75" customHeight="1">
      <c r="A646" s="28" t="n"/>
      <c r="B646" s="28" t="n"/>
      <c r="C646" s="28" t="n"/>
      <c r="D646" s="28" t="n"/>
      <c r="E646" s="28" t="n"/>
      <c r="F646" s="28" t="n"/>
      <c r="G646" s="28" t="n"/>
      <c r="H646" s="28" t="n"/>
      <c r="I646" s="28" t="n"/>
      <c r="J646" s="28" t="n"/>
      <c r="K646" s="28" t="n"/>
    </row>
    <row r="647" ht="12.75" customHeight="1">
      <c r="A647" s="28" t="n"/>
      <c r="B647" s="28" t="n"/>
      <c r="C647" s="28" t="n"/>
      <c r="D647" s="28" t="n"/>
      <c r="E647" s="28" t="n"/>
      <c r="F647" s="28" t="n"/>
      <c r="G647" s="28" t="n"/>
      <c r="H647" s="28" t="n"/>
      <c r="I647" s="28" t="n"/>
      <c r="J647" s="28" t="n"/>
      <c r="K647" s="28" t="n"/>
    </row>
    <row r="648" ht="12.75" customHeight="1">
      <c r="A648" s="28" t="n"/>
      <c r="B648" s="28" t="n"/>
      <c r="C648" s="28" t="n"/>
      <c r="D648" s="28" t="n"/>
      <c r="E648" s="28" t="n"/>
      <c r="F648" s="28" t="n"/>
      <c r="G648" s="28" t="n"/>
      <c r="H648" s="28" t="n"/>
      <c r="I648" s="28" t="n"/>
      <c r="J648" s="28" t="n"/>
      <c r="K648" s="28" t="n"/>
    </row>
    <row r="649" ht="12.75" customHeight="1">
      <c r="A649" s="28" t="n"/>
      <c r="B649" s="28" t="n"/>
      <c r="C649" s="28" t="n"/>
      <c r="D649" s="28" t="n"/>
      <c r="E649" s="28" t="n"/>
      <c r="F649" s="28" t="n"/>
      <c r="G649" s="28" t="n"/>
      <c r="H649" s="28" t="n"/>
      <c r="I649" s="28" t="n"/>
      <c r="J649" s="28" t="n"/>
      <c r="K649" s="28" t="n"/>
    </row>
    <row r="650" ht="12.75" customHeight="1">
      <c r="A650" s="28" t="n"/>
      <c r="B650" s="28" t="n"/>
      <c r="C650" s="28" t="n"/>
      <c r="D650" s="28" t="n"/>
      <c r="E650" s="28" t="n"/>
      <c r="F650" s="28" t="n"/>
      <c r="G650" s="28" t="n"/>
      <c r="H650" s="28" t="n"/>
      <c r="I650" s="28" t="n"/>
      <c r="J650" s="28" t="n"/>
      <c r="K650" s="28" t="n"/>
    </row>
    <row r="651" ht="12.75" customHeight="1">
      <c r="A651" s="28" t="n"/>
      <c r="B651" s="28" t="n"/>
      <c r="C651" s="28" t="n"/>
      <c r="D651" s="28" t="n"/>
      <c r="E651" s="28" t="n"/>
      <c r="F651" s="28" t="n"/>
      <c r="G651" s="28" t="n"/>
      <c r="H651" s="28" t="n"/>
      <c r="I651" s="28" t="n"/>
      <c r="J651" s="28" t="n"/>
      <c r="K651" s="28" t="n"/>
    </row>
    <row r="652" ht="12.75" customHeight="1">
      <c r="A652" s="28" t="n"/>
      <c r="B652" s="28" t="n"/>
      <c r="C652" s="28" t="n"/>
      <c r="D652" s="28" t="n"/>
      <c r="E652" s="28" t="n"/>
      <c r="F652" s="28" t="n"/>
      <c r="G652" s="28" t="n"/>
      <c r="H652" s="28" t="n"/>
      <c r="I652" s="28" t="n"/>
      <c r="J652" s="28" t="n"/>
      <c r="K652" s="28" t="n"/>
    </row>
    <row r="653" ht="12.75" customHeight="1">
      <c r="A653" s="28" t="n"/>
      <c r="B653" s="28" t="n"/>
      <c r="C653" s="28" t="n"/>
      <c r="D653" s="28" t="n"/>
      <c r="E653" s="28" t="n"/>
      <c r="F653" s="28" t="n"/>
      <c r="G653" s="28" t="n"/>
      <c r="H653" s="28" t="n"/>
      <c r="I653" s="28" t="n"/>
      <c r="J653" s="28" t="n"/>
      <c r="K653" s="28" t="n"/>
    </row>
    <row r="654" ht="12.75" customHeight="1">
      <c r="A654" s="28" t="n"/>
      <c r="B654" s="28" t="n"/>
      <c r="C654" s="28" t="n"/>
      <c r="D654" s="28" t="n"/>
      <c r="E654" s="28" t="n"/>
      <c r="F654" s="28" t="n"/>
      <c r="G654" s="28" t="n"/>
      <c r="H654" s="28" t="n"/>
      <c r="I654" s="28" t="n"/>
      <c r="J654" s="28" t="n"/>
      <c r="K654" s="28" t="n"/>
    </row>
    <row r="655" ht="12.75" customHeight="1">
      <c r="A655" s="28" t="n"/>
      <c r="B655" s="28" t="n"/>
      <c r="C655" s="28" t="n"/>
      <c r="D655" s="28" t="n"/>
      <c r="E655" s="28" t="n"/>
      <c r="F655" s="28" t="n"/>
      <c r="G655" s="28" t="n"/>
      <c r="H655" s="28" t="n"/>
      <c r="I655" s="28" t="n"/>
      <c r="J655" s="28" t="n"/>
      <c r="K655" s="28" t="n"/>
    </row>
    <row r="656" ht="12.75" customHeight="1">
      <c r="A656" s="28" t="n"/>
      <c r="B656" s="28" t="n"/>
      <c r="C656" s="28" t="n"/>
      <c r="D656" s="28" t="n"/>
      <c r="E656" s="28" t="n"/>
      <c r="F656" s="28" t="n"/>
      <c r="G656" s="28" t="n"/>
      <c r="H656" s="28" t="n"/>
      <c r="I656" s="28" t="n"/>
      <c r="J656" s="28" t="n"/>
      <c r="K656" s="28" t="n"/>
    </row>
    <row r="657" ht="12.75" customHeight="1">
      <c r="A657" s="28" t="n"/>
      <c r="B657" s="28" t="n"/>
      <c r="C657" s="28" t="n"/>
      <c r="D657" s="28" t="n"/>
      <c r="E657" s="28" t="n"/>
      <c r="F657" s="28" t="n"/>
      <c r="G657" s="28" t="n"/>
      <c r="H657" s="28" t="n"/>
      <c r="I657" s="28" t="n"/>
      <c r="J657" s="28" t="n"/>
      <c r="K657" s="28" t="n"/>
    </row>
    <row r="658" ht="12.75" customHeight="1">
      <c r="A658" s="28" t="n"/>
      <c r="B658" s="28" t="n"/>
      <c r="C658" s="28" t="n"/>
      <c r="D658" s="28" t="n"/>
      <c r="E658" s="28" t="n"/>
      <c r="F658" s="28" t="n"/>
      <c r="G658" s="28" t="n"/>
      <c r="H658" s="28" t="n"/>
      <c r="I658" s="28" t="n"/>
      <c r="J658" s="28" t="n"/>
      <c r="K658" s="28" t="n"/>
    </row>
    <row r="659" ht="12.75" customHeight="1">
      <c r="A659" s="28" t="n"/>
      <c r="B659" s="28" t="n"/>
      <c r="C659" s="28" t="n"/>
      <c r="D659" s="28" t="n"/>
      <c r="E659" s="28" t="n"/>
      <c r="F659" s="28" t="n"/>
      <c r="G659" s="28" t="n"/>
      <c r="H659" s="28" t="n"/>
      <c r="I659" s="28" t="n"/>
      <c r="J659" s="28" t="n"/>
      <c r="K659" s="28" t="n"/>
    </row>
    <row r="660" ht="12.75" customHeight="1">
      <c r="A660" s="28" t="n"/>
      <c r="B660" s="28" t="n"/>
      <c r="C660" s="28" t="n"/>
      <c r="D660" s="28" t="n"/>
      <c r="E660" s="28" t="n"/>
      <c r="F660" s="28" t="n"/>
      <c r="G660" s="28" t="n"/>
      <c r="H660" s="28" t="n"/>
      <c r="I660" s="28" t="n"/>
      <c r="J660" s="28" t="n"/>
      <c r="K660" s="28" t="n"/>
    </row>
    <row r="661" ht="12.75" customHeight="1">
      <c r="A661" s="28" t="n"/>
      <c r="B661" s="28" t="n"/>
      <c r="C661" s="28" t="n"/>
      <c r="D661" s="28" t="n"/>
      <c r="E661" s="28" t="n"/>
      <c r="F661" s="28" t="n"/>
      <c r="G661" s="28" t="n"/>
      <c r="H661" s="28" t="n"/>
      <c r="I661" s="28" t="n"/>
      <c r="J661" s="28" t="n"/>
      <c r="K661" s="28" t="n"/>
    </row>
    <row r="662" ht="12.75" customHeight="1">
      <c r="A662" s="28" t="n"/>
      <c r="B662" s="28" t="n"/>
      <c r="C662" s="28" t="n"/>
      <c r="D662" s="28" t="n"/>
      <c r="E662" s="28" t="n"/>
      <c r="F662" s="28" t="n"/>
      <c r="G662" s="28" t="n"/>
      <c r="H662" s="28" t="n"/>
      <c r="I662" s="28" t="n"/>
      <c r="J662" s="28" t="n"/>
      <c r="K662" s="28" t="n"/>
    </row>
    <row r="663" ht="12.75" customHeight="1">
      <c r="A663" s="28" t="n"/>
      <c r="B663" s="28" t="n"/>
      <c r="C663" s="28" t="n"/>
      <c r="D663" s="28" t="n"/>
      <c r="E663" s="28" t="n"/>
      <c r="F663" s="28" t="n"/>
      <c r="G663" s="28" t="n"/>
      <c r="H663" s="28" t="n"/>
      <c r="I663" s="28" t="n"/>
      <c r="J663" s="28" t="n"/>
      <c r="K663" s="28" t="n"/>
    </row>
    <row r="664" ht="12.75" customHeight="1">
      <c r="A664" s="28" t="n"/>
      <c r="B664" s="28" t="n"/>
      <c r="C664" s="28" t="n"/>
      <c r="D664" s="28" t="n"/>
      <c r="E664" s="28" t="n"/>
      <c r="F664" s="28" t="n"/>
      <c r="G664" s="28" t="n"/>
      <c r="H664" s="28" t="n"/>
      <c r="I664" s="28" t="n"/>
      <c r="J664" s="28" t="n"/>
      <c r="K664" s="28" t="n"/>
    </row>
    <row r="665" ht="12.75" customHeight="1">
      <c r="A665" s="28" t="n"/>
      <c r="B665" s="28" t="n"/>
      <c r="C665" s="28" t="n"/>
      <c r="D665" s="28" t="n"/>
      <c r="E665" s="28" t="n"/>
      <c r="F665" s="28" t="n"/>
      <c r="G665" s="28" t="n"/>
      <c r="H665" s="28" t="n"/>
      <c r="I665" s="28" t="n"/>
      <c r="J665" s="28" t="n"/>
      <c r="K665" s="28" t="n"/>
    </row>
    <row r="666" ht="12.75" customHeight="1">
      <c r="A666" s="28" t="n"/>
      <c r="B666" s="28" t="n"/>
      <c r="C666" s="28" t="n"/>
      <c r="D666" s="28" t="n"/>
      <c r="E666" s="28" t="n"/>
      <c r="F666" s="28" t="n"/>
      <c r="G666" s="28" t="n"/>
      <c r="H666" s="28" t="n"/>
      <c r="I666" s="28" t="n"/>
      <c r="J666" s="28" t="n"/>
      <c r="K666" s="28" t="n"/>
    </row>
    <row r="667" ht="12.75" customHeight="1">
      <c r="A667" s="28" t="n"/>
      <c r="B667" s="28" t="n"/>
      <c r="C667" s="28" t="n"/>
      <c r="D667" s="28" t="n"/>
      <c r="E667" s="28" t="n"/>
      <c r="F667" s="28" t="n"/>
      <c r="G667" s="28" t="n"/>
      <c r="H667" s="28" t="n"/>
      <c r="I667" s="28" t="n"/>
      <c r="J667" s="28" t="n"/>
      <c r="K667" s="28" t="n"/>
    </row>
    <row r="668" ht="12.75" customHeight="1">
      <c r="A668" s="28" t="n"/>
      <c r="B668" s="28" t="n"/>
      <c r="C668" s="28" t="n"/>
      <c r="D668" s="28" t="n"/>
      <c r="E668" s="28" t="n"/>
      <c r="F668" s="28" t="n"/>
      <c r="G668" s="28" t="n"/>
      <c r="H668" s="28" t="n"/>
      <c r="I668" s="28" t="n"/>
      <c r="J668" s="28" t="n"/>
      <c r="K668" s="28" t="n"/>
    </row>
    <row r="669" ht="12.75" customHeight="1">
      <c r="A669" s="28" t="n"/>
      <c r="B669" s="28" t="n"/>
      <c r="C669" s="28" t="n"/>
      <c r="D669" s="28" t="n"/>
      <c r="E669" s="28" t="n"/>
      <c r="F669" s="28" t="n"/>
      <c r="G669" s="28" t="n"/>
      <c r="H669" s="28" t="n"/>
      <c r="I669" s="28" t="n"/>
      <c r="J669" s="28" t="n"/>
      <c r="K669" s="28" t="n"/>
    </row>
    <row r="670" ht="12.75" customHeight="1">
      <c r="A670" s="28" t="n"/>
      <c r="B670" s="28" t="n"/>
      <c r="C670" s="28" t="n"/>
      <c r="D670" s="28" t="n"/>
      <c r="E670" s="28" t="n"/>
      <c r="F670" s="28" t="n"/>
      <c r="G670" s="28" t="n"/>
      <c r="H670" s="28" t="n"/>
      <c r="I670" s="28" t="n"/>
      <c r="J670" s="28" t="n"/>
      <c r="K670" s="28" t="n"/>
    </row>
    <row r="671" ht="12.75" customHeight="1">
      <c r="A671" s="28" t="n"/>
      <c r="B671" s="28" t="n"/>
      <c r="C671" s="28" t="n"/>
      <c r="D671" s="28" t="n"/>
      <c r="E671" s="28" t="n"/>
      <c r="F671" s="28" t="n"/>
      <c r="G671" s="28" t="n"/>
      <c r="H671" s="28" t="n"/>
      <c r="I671" s="28" t="n"/>
      <c r="J671" s="28" t="n"/>
      <c r="K671" s="28" t="n"/>
    </row>
    <row r="672" ht="12.75" customHeight="1">
      <c r="A672" s="28" t="n"/>
      <c r="B672" s="28" t="n"/>
      <c r="C672" s="28" t="n"/>
      <c r="D672" s="28" t="n"/>
      <c r="E672" s="28" t="n"/>
      <c r="F672" s="28" t="n"/>
      <c r="G672" s="28" t="n"/>
      <c r="H672" s="28" t="n"/>
      <c r="I672" s="28" t="n"/>
      <c r="J672" s="28" t="n"/>
      <c r="K672" s="28" t="n"/>
    </row>
    <row r="673" ht="12.75" customHeight="1">
      <c r="A673" s="28" t="n"/>
      <c r="B673" s="28" t="n"/>
      <c r="C673" s="28" t="n"/>
      <c r="D673" s="28" t="n"/>
      <c r="E673" s="28" t="n"/>
      <c r="F673" s="28" t="n"/>
      <c r="G673" s="28" t="n"/>
      <c r="H673" s="28" t="n"/>
      <c r="I673" s="28" t="n"/>
      <c r="J673" s="28" t="n"/>
      <c r="K673" s="28" t="n"/>
    </row>
    <row r="674" ht="12.75" customHeight="1">
      <c r="A674" s="28" t="n"/>
      <c r="B674" s="28" t="n"/>
      <c r="C674" s="28" t="n"/>
      <c r="D674" s="28" t="n"/>
      <c r="E674" s="28" t="n"/>
      <c r="F674" s="28" t="n"/>
      <c r="G674" s="28" t="n"/>
      <c r="H674" s="28" t="n"/>
      <c r="I674" s="28" t="n"/>
      <c r="J674" s="28" t="n"/>
      <c r="K674" s="28" t="n"/>
    </row>
    <row r="675" ht="12.75" customHeight="1">
      <c r="A675" s="28" t="n"/>
      <c r="B675" s="28" t="n"/>
      <c r="C675" s="28" t="n"/>
      <c r="D675" s="28" t="n"/>
      <c r="E675" s="28" t="n"/>
      <c r="F675" s="28" t="n"/>
      <c r="G675" s="28" t="n"/>
      <c r="H675" s="28" t="n"/>
      <c r="I675" s="28" t="n"/>
      <c r="J675" s="28" t="n"/>
      <c r="K675" s="28" t="n"/>
    </row>
    <row r="676" ht="12.75" customHeight="1">
      <c r="A676" s="28" t="n"/>
      <c r="B676" s="28" t="n"/>
      <c r="C676" s="28" t="n"/>
      <c r="D676" s="28" t="n"/>
      <c r="E676" s="28" t="n"/>
      <c r="F676" s="28" t="n"/>
      <c r="G676" s="28" t="n"/>
      <c r="H676" s="28" t="n"/>
      <c r="I676" s="28" t="n"/>
      <c r="J676" s="28" t="n"/>
      <c r="K676" s="28" t="n"/>
    </row>
    <row r="677" ht="12.75" customHeight="1">
      <c r="A677" s="28" t="n"/>
      <c r="B677" s="28" t="n"/>
      <c r="C677" s="28" t="n"/>
      <c r="D677" s="28" t="n"/>
      <c r="E677" s="28" t="n"/>
      <c r="F677" s="28" t="n"/>
      <c r="G677" s="28" t="n"/>
      <c r="H677" s="28" t="n"/>
      <c r="I677" s="28" t="n"/>
      <c r="J677" s="28" t="n"/>
      <c r="K677" s="28" t="n"/>
    </row>
    <row r="678" ht="12.75" customHeight="1">
      <c r="A678" s="28" t="n"/>
      <c r="B678" s="28" t="n"/>
      <c r="C678" s="28" t="n"/>
      <c r="D678" s="28" t="n"/>
      <c r="E678" s="28" t="n"/>
      <c r="F678" s="28" t="n"/>
      <c r="G678" s="28" t="n"/>
      <c r="H678" s="28" t="n"/>
      <c r="I678" s="28" t="n"/>
      <c r="J678" s="28" t="n"/>
      <c r="K678" s="28" t="n"/>
    </row>
    <row r="679" ht="12.75" customHeight="1">
      <c r="A679" s="28" t="n"/>
      <c r="B679" s="28" t="n"/>
      <c r="C679" s="28" t="n"/>
      <c r="D679" s="28" t="n"/>
      <c r="E679" s="28" t="n"/>
      <c r="F679" s="28" t="n"/>
      <c r="G679" s="28" t="n"/>
      <c r="H679" s="28" t="n"/>
      <c r="I679" s="28" t="n"/>
      <c r="J679" s="28" t="n"/>
      <c r="K679" s="28" t="n"/>
    </row>
    <row r="680" ht="12.75" customHeight="1">
      <c r="A680" s="28" t="n"/>
      <c r="B680" s="28" t="n"/>
      <c r="C680" s="28" t="n"/>
      <c r="D680" s="28" t="n"/>
      <c r="E680" s="28" t="n"/>
      <c r="F680" s="28" t="n"/>
      <c r="G680" s="28" t="n"/>
      <c r="H680" s="28" t="n"/>
      <c r="I680" s="28" t="n"/>
      <c r="J680" s="28" t="n"/>
      <c r="K680" s="28" t="n"/>
    </row>
    <row r="681" ht="12.75" customHeight="1">
      <c r="A681" s="28" t="n"/>
      <c r="B681" s="28" t="n"/>
      <c r="C681" s="28" t="n"/>
      <c r="D681" s="28" t="n"/>
      <c r="E681" s="28" t="n"/>
      <c r="F681" s="28" t="n"/>
      <c r="G681" s="28" t="n"/>
      <c r="H681" s="28" t="n"/>
      <c r="I681" s="28" t="n"/>
      <c r="J681" s="28" t="n"/>
      <c r="K681" s="28" t="n"/>
    </row>
    <row r="682" ht="12.75" customHeight="1">
      <c r="A682" s="28" t="n"/>
      <c r="B682" s="28" t="n"/>
      <c r="C682" s="28" t="n"/>
      <c r="D682" s="28" t="n"/>
      <c r="E682" s="28" t="n"/>
      <c r="F682" s="28" t="n"/>
      <c r="G682" s="28" t="n"/>
      <c r="H682" s="28" t="n"/>
      <c r="I682" s="28" t="n"/>
      <c r="J682" s="28" t="n"/>
      <c r="K682" s="28" t="n"/>
    </row>
    <row r="683" ht="12.75" customHeight="1">
      <c r="A683" s="28" t="n"/>
      <c r="B683" s="28" t="n"/>
      <c r="C683" s="28" t="n"/>
      <c r="D683" s="28" t="n"/>
      <c r="E683" s="28" t="n"/>
      <c r="F683" s="28" t="n"/>
      <c r="G683" s="28" t="n"/>
      <c r="H683" s="28" t="n"/>
      <c r="I683" s="28" t="n"/>
      <c r="J683" s="28" t="n"/>
      <c r="K683" s="28" t="n"/>
    </row>
    <row r="684" ht="12.75" customHeight="1">
      <c r="A684" s="28" t="n"/>
      <c r="B684" s="28" t="n"/>
      <c r="C684" s="28" t="n"/>
      <c r="D684" s="28" t="n"/>
      <c r="E684" s="28" t="n"/>
      <c r="F684" s="28" t="n"/>
      <c r="G684" s="28" t="n"/>
      <c r="H684" s="28" t="n"/>
      <c r="I684" s="28" t="n"/>
      <c r="J684" s="28" t="n"/>
      <c r="K684" s="28" t="n"/>
    </row>
    <row r="685" ht="12.75" customHeight="1">
      <c r="A685" s="28" t="n"/>
      <c r="B685" s="28" t="n"/>
      <c r="C685" s="28" t="n"/>
      <c r="D685" s="28" t="n"/>
      <c r="E685" s="28" t="n"/>
      <c r="F685" s="28" t="n"/>
      <c r="G685" s="28" t="n"/>
      <c r="H685" s="28" t="n"/>
      <c r="I685" s="28" t="n"/>
      <c r="J685" s="28" t="n"/>
      <c r="K685" s="28" t="n"/>
    </row>
    <row r="686" ht="12.75" customHeight="1">
      <c r="A686" s="28" t="n"/>
      <c r="B686" s="28" t="n"/>
      <c r="C686" s="28" t="n"/>
      <c r="D686" s="28" t="n"/>
      <c r="E686" s="28" t="n"/>
      <c r="F686" s="28" t="n"/>
      <c r="G686" s="28" t="n"/>
      <c r="H686" s="28" t="n"/>
      <c r="I686" s="28" t="n"/>
      <c r="J686" s="28" t="n"/>
      <c r="K686" s="28" t="n"/>
    </row>
    <row r="687" ht="12.75" customHeight="1">
      <c r="A687" s="28" t="n"/>
      <c r="B687" s="28" t="n"/>
      <c r="C687" s="28" t="n"/>
      <c r="D687" s="28" t="n"/>
      <c r="E687" s="28" t="n"/>
      <c r="F687" s="28" t="n"/>
      <c r="G687" s="28" t="n"/>
      <c r="H687" s="28" t="n"/>
      <c r="I687" s="28" t="n"/>
      <c r="J687" s="28" t="n"/>
      <c r="K687" s="28" t="n"/>
    </row>
    <row r="688" ht="12.75" customHeight="1">
      <c r="A688" s="28" t="n"/>
      <c r="B688" s="28" t="n"/>
      <c r="C688" s="28" t="n"/>
      <c r="D688" s="28" t="n"/>
      <c r="E688" s="28" t="n"/>
      <c r="F688" s="28" t="n"/>
      <c r="G688" s="28" t="n"/>
      <c r="H688" s="28" t="n"/>
      <c r="I688" s="28" t="n"/>
      <c r="J688" s="28" t="n"/>
      <c r="K688" s="28" t="n"/>
    </row>
    <row r="689" ht="12.75" customHeight="1">
      <c r="A689" s="28" t="n"/>
      <c r="B689" s="28" t="n"/>
      <c r="C689" s="28" t="n"/>
      <c r="D689" s="28" t="n"/>
      <c r="E689" s="28" t="n"/>
      <c r="F689" s="28" t="n"/>
      <c r="G689" s="28" t="n"/>
      <c r="H689" s="28" t="n"/>
      <c r="I689" s="28" t="n"/>
      <c r="J689" s="28" t="n"/>
      <c r="K689" s="28" t="n"/>
    </row>
    <row r="690" ht="12.75" customHeight="1">
      <c r="A690" s="28" t="n"/>
      <c r="B690" s="28" t="n"/>
      <c r="C690" s="28" t="n"/>
      <c r="D690" s="28" t="n"/>
      <c r="E690" s="28" t="n"/>
      <c r="F690" s="28" t="n"/>
      <c r="G690" s="28" t="n"/>
      <c r="H690" s="28" t="n"/>
      <c r="I690" s="28" t="n"/>
      <c r="J690" s="28" t="n"/>
      <c r="K690" s="28" t="n"/>
    </row>
    <row r="691" ht="12.75" customHeight="1">
      <c r="A691" s="28" t="n"/>
      <c r="B691" s="28" t="n"/>
      <c r="C691" s="28" t="n"/>
      <c r="D691" s="28" t="n"/>
      <c r="E691" s="28" t="n"/>
      <c r="F691" s="28" t="n"/>
      <c r="G691" s="28" t="n"/>
      <c r="H691" s="28" t="n"/>
      <c r="I691" s="28" t="n"/>
      <c r="J691" s="28" t="n"/>
      <c r="K691" s="28" t="n"/>
    </row>
    <row r="692" ht="12.75" customHeight="1">
      <c r="A692" s="28" t="n"/>
      <c r="B692" s="28" t="n"/>
      <c r="C692" s="28" t="n"/>
      <c r="D692" s="28" t="n"/>
      <c r="E692" s="28" t="n"/>
      <c r="F692" s="28" t="n"/>
      <c r="G692" s="28" t="n"/>
      <c r="H692" s="28" t="n"/>
      <c r="I692" s="28" t="n"/>
      <c r="J692" s="28" t="n"/>
      <c r="K692" s="28" t="n"/>
    </row>
    <row r="693" ht="12.75" customHeight="1">
      <c r="A693" s="28" t="n"/>
      <c r="B693" s="28" t="n"/>
      <c r="C693" s="28" t="n"/>
      <c r="D693" s="28" t="n"/>
      <c r="E693" s="28" t="n"/>
      <c r="F693" s="28" t="n"/>
      <c r="G693" s="28" t="n"/>
      <c r="H693" s="28" t="n"/>
      <c r="I693" s="28" t="n"/>
      <c r="J693" s="28" t="n"/>
      <c r="K693" s="28" t="n"/>
    </row>
    <row r="694" ht="12.75" customHeight="1">
      <c r="A694" s="28" t="n"/>
      <c r="B694" s="28" t="n"/>
      <c r="C694" s="28" t="n"/>
      <c r="D694" s="28" t="n"/>
      <c r="E694" s="28" t="n"/>
      <c r="F694" s="28" t="n"/>
      <c r="G694" s="28" t="n"/>
      <c r="H694" s="28" t="n"/>
      <c r="I694" s="28" t="n"/>
      <c r="J694" s="28" t="n"/>
      <c r="K694" s="28" t="n"/>
    </row>
    <row r="695" ht="12.75" customHeight="1">
      <c r="A695" s="28" t="n"/>
      <c r="B695" s="28" t="n"/>
      <c r="C695" s="28" t="n"/>
      <c r="D695" s="28" t="n"/>
      <c r="E695" s="28" t="n"/>
      <c r="F695" s="28" t="n"/>
      <c r="G695" s="28" t="n"/>
      <c r="H695" s="28" t="n"/>
      <c r="I695" s="28" t="n"/>
      <c r="J695" s="28" t="n"/>
      <c r="K695" s="28" t="n"/>
    </row>
    <row r="696" ht="12.75" customHeight="1">
      <c r="A696" s="28" t="n"/>
      <c r="B696" s="28" t="n"/>
      <c r="C696" s="28" t="n"/>
      <c r="D696" s="28" t="n"/>
      <c r="E696" s="28" t="n"/>
      <c r="F696" s="28" t="n"/>
      <c r="G696" s="28" t="n"/>
      <c r="H696" s="28" t="n"/>
      <c r="I696" s="28" t="n"/>
      <c r="J696" s="28" t="n"/>
      <c r="K696" s="28" t="n"/>
    </row>
    <row r="697" ht="12.75" customHeight="1">
      <c r="A697" s="28" t="n"/>
      <c r="B697" s="28" t="n"/>
      <c r="C697" s="28" t="n"/>
      <c r="D697" s="28" t="n"/>
      <c r="E697" s="28" t="n"/>
      <c r="F697" s="28" t="n"/>
      <c r="G697" s="28" t="n"/>
      <c r="H697" s="28" t="n"/>
      <c r="I697" s="28" t="n"/>
      <c r="J697" s="28" t="n"/>
      <c r="K697" s="28" t="n"/>
    </row>
    <row r="698" ht="12.75" customHeight="1">
      <c r="A698" s="28" t="n"/>
      <c r="B698" s="28" t="n"/>
      <c r="C698" s="28" t="n"/>
      <c r="D698" s="28" t="n"/>
      <c r="E698" s="28" t="n"/>
      <c r="F698" s="28" t="n"/>
      <c r="G698" s="28" t="n"/>
      <c r="H698" s="28" t="n"/>
      <c r="I698" s="28" t="n"/>
      <c r="J698" s="28" t="n"/>
      <c r="K698" s="28" t="n"/>
    </row>
    <row r="699" ht="12.75" customHeight="1">
      <c r="A699" s="28" t="n"/>
      <c r="B699" s="28" t="n"/>
      <c r="C699" s="28" t="n"/>
      <c r="D699" s="28" t="n"/>
      <c r="E699" s="28" t="n"/>
      <c r="F699" s="28" t="n"/>
      <c r="G699" s="28" t="n"/>
      <c r="H699" s="28" t="n"/>
      <c r="I699" s="28" t="n"/>
      <c r="J699" s="28" t="n"/>
      <c r="K699" s="28" t="n"/>
    </row>
    <row r="700" ht="12.75" customHeight="1">
      <c r="A700" s="28" t="n"/>
      <c r="B700" s="28" t="n"/>
      <c r="C700" s="28" t="n"/>
      <c r="D700" s="28" t="n"/>
      <c r="E700" s="28" t="n"/>
      <c r="F700" s="28" t="n"/>
      <c r="G700" s="28" t="n"/>
      <c r="H700" s="28" t="n"/>
      <c r="I700" s="28" t="n"/>
      <c r="J700" s="28" t="n"/>
      <c r="K700" s="28" t="n"/>
    </row>
    <row r="701" ht="12.75" customHeight="1">
      <c r="A701" s="28" t="n"/>
      <c r="B701" s="28" t="n"/>
      <c r="C701" s="28" t="n"/>
      <c r="D701" s="28" t="n"/>
      <c r="E701" s="28" t="n"/>
      <c r="F701" s="28" t="n"/>
      <c r="G701" s="28" t="n"/>
      <c r="H701" s="28" t="n"/>
      <c r="I701" s="28" t="n"/>
      <c r="J701" s="28" t="n"/>
      <c r="K701" s="28" t="n"/>
    </row>
    <row r="702" ht="12.75" customHeight="1">
      <c r="A702" s="28" t="n"/>
      <c r="B702" s="28" t="n"/>
      <c r="C702" s="28" t="n"/>
      <c r="D702" s="28" t="n"/>
      <c r="E702" s="28" t="n"/>
      <c r="F702" s="28" t="n"/>
      <c r="G702" s="28" t="n"/>
      <c r="H702" s="28" t="n"/>
      <c r="I702" s="28" t="n"/>
      <c r="J702" s="28" t="n"/>
      <c r="K702" s="28" t="n"/>
    </row>
    <row r="703" ht="12.75" customHeight="1">
      <c r="A703" s="28" t="n"/>
      <c r="B703" s="28" t="n"/>
      <c r="C703" s="28" t="n"/>
      <c r="D703" s="28" t="n"/>
      <c r="E703" s="28" t="n"/>
      <c r="F703" s="28" t="n"/>
      <c r="G703" s="28" t="n"/>
      <c r="H703" s="28" t="n"/>
      <c r="I703" s="28" t="n"/>
      <c r="J703" s="28" t="n"/>
      <c r="K703" s="28" t="n"/>
    </row>
    <row r="704" ht="12.75" customHeight="1">
      <c r="A704" s="28" t="n"/>
      <c r="B704" s="28" t="n"/>
      <c r="C704" s="28" t="n"/>
      <c r="D704" s="28" t="n"/>
      <c r="E704" s="28" t="n"/>
      <c r="F704" s="28" t="n"/>
      <c r="G704" s="28" t="n"/>
      <c r="H704" s="28" t="n"/>
      <c r="I704" s="28" t="n"/>
      <c r="J704" s="28" t="n"/>
      <c r="K704" s="28" t="n"/>
    </row>
    <row r="705" ht="12.75" customHeight="1">
      <c r="A705" s="28" t="n"/>
      <c r="B705" s="28" t="n"/>
      <c r="C705" s="28" t="n"/>
      <c r="D705" s="28" t="n"/>
      <c r="E705" s="28" t="n"/>
      <c r="F705" s="28" t="n"/>
      <c r="G705" s="28" t="n"/>
      <c r="H705" s="28" t="n"/>
      <c r="I705" s="28" t="n"/>
      <c r="J705" s="28" t="n"/>
      <c r="K705" s="28" t="n"/>
    </row>
    <row r="706" ht="12.75" customHeight="1">
      <c r="A706" s="28" t="n"/>
      <c r="B706" s="28" t="n"/>
      <c r="C706" s="28" t="n"/>
      <c r="D706" s="28" t="n"/>
      <c r="E706" s="28" t="n"/>
      <c r="F706" s="28" t="n"/>
      <c r="G706" s="28" t="n"/>
      <c r="H706" s="28" t="n"/>
      <c r="I706" s="28" t="n"/>
      <c r="J706" s="28" t="n"/>
      <c r="K706" s="28" t="n"/>
    </row>
    <row r="707" ht="12.75" customHeight="1">
      <c r="A707" s="28" t="n"/>
      <c r="B707" s="28" t="n"/>
      <c r="C707" s="28" t="n"/>
      <c r="D707" s="28" t="n"/>
      <c r="E707" s="28" t="n"/>
      <c r="F707" s="28" t="n"/>
      <c r="G707" s="28" t="n"/>
      <c r="H707" s="28" t="n"/>
      <c r="I707" s="28" t="n"/>
      <c r="J707" s="28" t="n"/>
      <c r="K707" s="28" t="n"/>
    </row>
    <row r="708" ht="12.75" customHeight="1">
      <c r="A708" s="28" t="n"/>
      <c r="B708" s="28" t="n"/>
      <c r="C708" s="28" t="n"/>
      <c r="D708" s="28" t="n"/>
      <c r="E708" s="28" t="n"/>
      <c r="F708" s="28" t="n"/>
      <c r="G708" s="28" t="n"/>
      <c r="H708" s="28" t="n"/>
      <c r="I708" s="28" t="n"/>
      <c r="J708" s="28" t="n"/>
      <c r="K708" s="28" t="n"/>
    </row>
    <row r="709" ht="12.75" customHeight="1">
      <c r="A709" s="28" t="n"/>
      <c r="B709" s="28" t="n"/>
      <c r="C709" s="28" t="n"/>
      <c r="D709" s="28" t="n"/>
      <c r="E709" s="28" t="n"/>
      <c r="F709" s="28" t="n"/>
      <c r="G709" s="28" t="n"/>
      <c r="H709" s="28" t="n"/>
      <c r="I709" s="28" t="n"/>
      <c r="J709" s="28" t="n"/>
      <c r="K709" s="28" t="n"/>
    </row>
    <row r="710" ht="12.75" customHeight="1">
      <c r="A710" s="28" t="n"/>
      <c r="B710" s="28" t="n"/>
      <c r="C710" s="28" t="n"/>
      <c r="D710" s="28" t="n"/>
      <c r="E710" s="28" t="n"/>
      <c r="F710" s="28" t="n"/>
      <c r="G710" s="28" t="n"/>
      <c r="H710" s="28" t="n"/>
      <c r="I710" s="28" t="n"/>
      <c r="J710" s="28" t="n"/>
      <c r="K710" s="28" t="n"/>
    </row>
    <row r="711" ht="12.75" customHeight="1">
      <c r="A711" s="28" t="n"/>
      <c r="B711" s="28" t="n"/>
      <c r="C711" s="28" t="n"/>
      <c r="D711" s="28" t="n"/>
      <c r="E711" s="28" t="n"/>
      <c r="F711" s="28" t="n"/>
      <c r="G711" s="28" t="n"/>
      <c r="H711" s="28" t="n"/>
      <c r="I711" s="28" t="n"/>
      <c r="J711" s="28" t="n"/>
      <c r="K711" s="28" t="n"/>
    </row>
    <row r="712" ht="12.75" customHeight="1">
      <c r="A712" s="28" t="n"/>
      <c r="B712" s="28" t="n"/>
      <c r="C712" s="28" t="n"/>
      <c r="D712" s="28" t="n"/>
      <c r="E712" s="28" t="n"/>
      <c r="F712" s="28" t="n"/>
      <c r="G712" s="28" t="n"/>
      <c r="H712" s="28" t="n"/>
      <c r="I712" s="28" t="n"/>
      <c r="J712" s="28" t="n"/>
      <c r="K712" s="28" t="n"/>
    </row>
    <row r="713" ht="12.75" customHeight="1">
      <c r="A713" s="28" t="n"/>
      <c r="B713" s="28" t="n"/>
      <c r="C713" s="28" t="n"/>
      <c r="D713" s="28" t="n"/>
      <c r="E713" s="28" t="n"/>
      <c r="F713" s="28" t="n"/>
      <c r="G713" s="28" t="n"/>
      <c r="H713" s="28" t="n"/>
      <c r="I713" s="28" t="n"/>
      <c r="J713" s="28" t="n"/>
      <c r="K713" s="28" t="n"/>
    </row>
    <row r="714" ht="12.75" customHeight="1">
      <c r="A714" s="28" t="n"/>
      <c r="B714" s="28" t="n"/>
      <c r="C714" s="28" t="n"/>
      <c r="D714" s="28" t="n"/>
      <c r="E714" s="28" t="n"/>
      <c r="F714" s="28" t="n"/>
      <c r="G714" s="28" t="n"/>
      <c r="H714" s="28" t="n"/>
      <c r="I714" s="28" t="n"/>
      <c r="J714" s="28" t="n"/>
      <c r="K714" s="28" t="n"/>
    </row>
    <row r="715" ht="12.75" customHeight="1">
      <c r="A715" s="28" t="n"/>
      <c r="B715" s="28" t="n"/>
      <c r="C715" s="28" t="n"/>
      <c r="D715" s="28" t="n"/>
      <c r="E715" s="28" t="n"/>
      <c r="F715" s="28" t="n"/>
      <c r="G715" s="28" t="n"/>
      <c r="H715" s="28" t="n"/>
      <c r="I715" s="28" t="n"/>
      <c r="J715" s="28" t="n"/>
      <c r="K715" s="28" t="n"/>
    </row>
    <row r="716" ht="12.75" customHeight="1">
      <c r="A716" s="28" t="n"/>
      <c r="B716" s="28" t="n"/>
      <c r="C716" s="28" t="n"/>
      <c r="D716" s="28" t="n"/>
      <c r="E716" s="28" t="n"/>
      <c r="F716" s="28" t="n"/>
      <c r="G716" s="28" t="n"/>
      <c r="H716" s="28" t="n"/>
      <c r="I716" s="28" t="n"/>
      <c r="J716" s="28" t="n"/>
      <c r="K716" s="28" t="n"/>
    </row>
    <row r="717" ht="12.75" customHeight="1">
      <c r="A717" s="28" t="n"/>
      <c r="B717" s="28" t="n"/>
      <c r="C717" s="28" t="n"/>
      <c r="D717" s="28" t="n"/>
      <c r="E717" s="28" t="n"/>
      <c r="F717" s="28" t="n"/>
      <c r="G717" s="28" t="n"/>
      <c r="H717" s="28" t="n"/>
      <c r="I717" s="28" t="n"/>
      <c r="J717" s="28" t="n"/>
      <c r="K717" s="28" t="n"/>
    </row>
    <row r="718" ht="12.75" customHeight="1">
      <c r="A718" s="28" t="n"/>
      <c r="B718" s="28" t="n"/>
      <c r="C718" s="28" t="n"/>
      <c r="D718" s="28" t="n"/>
      <c r="E718" s="28" t="n"/>
      <c r="F718" s="28" t="n"/>
      <c r="G718" s="28" t="n"/>
      <c r="H718" s="28" t="n"/>
      <c r="I718" s="28" t="n"/>
      <c r="J718" s="28" t="n"/>
      <c r="K718" s="28" t="n"/>
    </row>
    <row r="719" ht="12.75" customHeight="1">
      <c r="A719" s="28" t="n"/>
      <c r="B719" s="28" t="n"/>
      <c r="C719" s="28" t="n"/>
      <c r="D719" s="28" t="n"/>
      <c r="E719" s="28" t="n"/>
      <c r="F719" s="28" t="n"/>
      <c r="G719" s="28" t="n"/>
      <c r="H719" s="28" t="n"/>
      <c r="I719" s="28" t="n"/>
      <c r="J719" s="28" t="n"/>
      <c r="K719" s="28" t="n"/>
    </row>
    <row r="720" ht="12.75" customHeight="1">
      <c r="A720" s="28" t="n"/>
      <c r="B720" s="28" t="n"/>
      <c r="C720" s="28" t="n"/>
      <c r="D720" s="28" t="n"/>
      <c r="E720" s="28" t="n"/>
      <c r="F720" s="28" t="n"/>
      <c r="G720" s="28" t="n"/>
      <c r="H720" s="28" t="n"/>
      <c r="I720" s="28" t="n"/>
      <c r="J720" s="28" t="n"/>
      <c r="K720" s="28" t="n"/>
    </row>
    <row r="721" ht="12.75" customHeight="1">
      <c r="A721" s="28" t="n"/>
      <c r="B721" s="28" t="n"/>
      <c r="C721" s="28" t="n"/>
      <c r="D721" s="28" t="n"/>
      <c r="E721" s="28" t="n"/>
      <c r="F721" s="28" t="n"/>
      <c r="G721" s="28" t="n"/>
      <c r="H721" s="28" t="n"/>
      <c r="I721" s="28" t="n"/>
      <c r="J721" s="28" t="n"/>
      <c r="K721" s="28" t="n"/>
    </row>
    <row r="722" ht="12.75" customHeight="1">
      <c r="A722" s="28" t="n"/>
      <c r="B722" s="28" t="n"/>
      <c r="C722" s="28" t="n"/>
      <c r="D722" s="28" t="n"/>
      <c r="E722" s="28" t="n"/>
      <c r="F722" s="28" t="n"/>
      <c r="G722" s="28" t="n"/>
      <c r="H722" s="28" t="n"/>
      <c r="I722" s="28" t="n"/>
      <c r="J722" s="28" t="n"/>
      <c r="K722" s="28" t="n"/>
    </row>
    <row r="723" ht="12.75" customHeight="1">
      <c r="A723" s="28" t="n"/>
      <c r="B723" s="28" t="n"/>
      <c r="C723" s="28" t="n"/>
      <c r="D723" s="28" t="n"/>
      <c r="E723" s="28" t="n"/>
      <c r="F723" s="28" t="n"/>
      <c r="G723" s="28" t="n"/>
      <c r="H723" s="28" t="n"/>
      <c r="I723" s="28" t="n"/>
      <c r="J723" s="28" t="n"/>
      <c r="K723" s="28" t="n"/>
    </row>
    <row r="724" ht="12.75" customHeight="1">
      <c r="A724" s="28" t="n"/>
      <c r="B724" s="28" t="n"/>
      <c r="C724" s="28" t="n"/>
      <c r="D724" s="28" t="n"/>
      <c r="E724" s="28" t="n"/>
      <c r="F724" s="28" t="n"/>
      <c r="G724" s="28" t="n"/>
      <c r="H724" s="28" t="n"/>
      <c r="I724" s="28" t="n"/>
      <c r="J724" s="28" t="n"/>
      <c r="K724" s="28" t="n"/>
    </row>
    <row r="725" ht="12.75" customHeight="1">
      <c r="A725" s="28" t="n"/>
      <c r="B725" s="28" t="n"/>
      <c r="C725" s="28" t="n"/>
      <c r="D725" s="28" t="n"/>
      <c r="E725" s="28" t="n"/>
      <c r="F725" s="28" t="n"/>
      <c r="G725" s="28" t="n"/>
      <c r="H725" s="28" t="n"/>
      <c r="I725" s="28" t="n"/>
      <c r="J725" s="28" t="n"/>
      <c r="K725" s="28" t="n"/>
    </row>
    <row r="726" ht="12.75" customHeight="1">
      <c r="A726" s="28" t="n"/>
      <c r="B726" s="28" t="n"/>
      <c r="C726" s="28" t="n"/>
      <c r="D726" s="28" t="n"/>
      <c r="E726" s="28" t="n"/>
      <c r="F726" s="28" t="n"/>
      <c r="G726" s="28" t="n"/>
      <c r="H726" s="28" t="n"/>
      <c r="I726" s="28" t="n"/>
      <c r="J726" s="28" t="n"/>
      <c r="K726" s="28" t="n"/>
    </row>
    <row r="727" ht="12.75" customHeight="1">
      <c r="A727" s="28" t="n"/>
      <c r="B727" s="28" t="n"/>
      <c r="C727" s="28" t="n"/>
      <c r="D727" s="28" t="n"/>
      <c r="E727" s="28" t="n"/>
      <c r="F727" s="28" t="n"/>
      <c r="G727" s="28" t="n"/>
      <c r="H727" s="28" t="n"/>
      <c r="I727" s="28" t="n"/>
      <c r="J727" s="28" t="n"/>
      <c r="K727" s="28" t="n"/>
    </row>
    <row r="728" ht="12.75" customHeight="1">
      <c r="A728" s="28" t="n"/>
      <c r="B728" s="28" t="n"/>
      <c r="C728" s="28" t="n"/>
      <c r="D728" s="28" t="n"/>
      <c r="E728" s="28" t="n"/>
      <c r="F728" s="28" t="n"/>
      <c r="G728" s="28" t="n"/>
      <c r="H728" s="28" t="n"/>
      <c r="I728" s="28" t="n"/>
      <c r="J728" s="28" t="n"/>
      <c r="K728" s="28" t="n"/>
    </row>
    <row r="729" ht="12.75" customHeight="1">
      <c r="A729" s="28" t="n"/>
      <c r="B729" s="28" t="n"/>
      <c r="C729" s="28" t="n"/>
      <c r="D729" s="28" t="n"/>
      <c r="E729" s="28" t="n"/>
      <c r="F729" s="28" t="n"/>
      <c r="G729" s="28" t="n"/>
      <c r="H729" s="28" t="n"/>
      <c r="I729" s="28" t="n"/>
      <c r="J729" s="28" t="n"/>
      <c r="K729" s="28" t="n"/>
    </row>
    <row r="730" ht="12.75" customHeight="1">
      <c r="A730" s="28" t="n"/>
      <c r="B730" s="28" t="n"/>
      <c r="C730" s="28" t="n"/>
      <c r="D730" s="28" t="n"/>
      <c r="E730" s="28" t="n"/>
      <c r="F730" s="28" t="n"/>
      <c r="G730" s="28" t="n"/>
      <c r="H730" s="28" t="n"/>
      <c r="I730" s="28" t="n"/>
      <c r="J730" s="28" t="n"/>
      <c r="K730" s="28" t="n"/>
    </row>
    <row r="731" ht="12.75" customHeight="1">
      <c r="A731" s="28" t="n"/>
      <c r="B731" s="28" t="n"/>
      <c r="C731" s="28" t="n"/>
      <c r="D731" s="28" t="n"/>
      <c r="E731" s="28" t="n"/>
      <c r="F731" s="28" t="n"/>
      <c r="G731" s="28" t="n"/>
      <c r="H731" s="28" t="n"/>
      <c r="I731" s="28" t="n"/>
      <c r="J731" s="28" t="n"/>
      <c r="K731" s="28" t="n"/>
    </row>
    <row r="732" ht="12.75" customHeight="1">
      <c r="A732" s="28" t="n"/>
      <c r="B732" s="28" t="n"/>
      <c r="C732" s="28" t="n"/>
      <c r="D732" s="28" t="n"/>
      <c r="E732" s="28" t="n"/>
      <c r="F732" s="28" t="n"/>
      <c r="G732" s="28" t="n"/>
      <c r="H732" s="28" t="n"/>
      <c r="I732" s="28" t="n"/>
      <c r="J732" s="28" t="n"/>
      <c r="K732" s="28" t="n"/>
    </row>
    <row r="733" ht="12.75" customHeight="1">
      <c r="A733" s="28" t="n"/>
      <c r="B733" s="28" t="n"/>
      <c r="C733" s="28" t="n"/>
      <c r="D733" s="28" t="n"/>
      <c r="E733" s="28" t="n"/>
      <c r="F733" s="28" t="n"/>
      <c r="G733" s="28" t="n"/>
      <c r="H733" s="28" t="n"/>
      <c r="I733" s="28" t="n"/>
      <c r="J733" s="28" t="n"/>
      <c r="K733" s="28" t="n"/>
    </row>
    <row r="734" ht="12.75" customHeight="1">
      <c r="A734" s="28" t="n"/>
      <c r="B734" s="28" t="n"/>
      <c r="C734" s="28" t="n"/>
      <c r="D734" s="28" t="n"/>
      <c r="E734" s="28" t="n"/>
      <c r="F734" s="28" t="n"/>
      <c r="G734" s="28" t="n"/>
      <c r="H734" s="28" t="n"/>
      <c r="I734" s="28" t="n"/>
      <c r="J734" s="28" t="n"/>
      <c r="K734" s="28" t="n"/>
    </row>
    <row r="735" ht="12.75" customHeight="1">
      <c r="A735" s="28" t="n"/>
      <c r="B735" s="28" t="n"/>
      <c r="C735" s="28" t="n"/>
      <c r="D735" s="28" t="n"/>
      <c r="E735" s="28" t="n"/>
      <c r="F735" s="28" t="n"/>
      <c r="G735" s="28" t="n"/>
      <c r="H735" s="28" t="n"/>
      <c r="I735" s="28" t="n"/>
      <c r="J735" s="28" t="n"/>
      <c r="K735" s="28" t="n"/>
    </row>
    <row r="736" ht="12.75" customHeight="1">
      <c r="A736" s="28" t="n"/>
      <c r="B736" s="28" t="n"/>
      <c r="C736" s="28" t="n"/>
      <c r="D736" s="28" t="n"/>
      <c r="E736" s="28" t="n"/>
      <c r="F736" s="28" t="n"/>
      <c r="G736" s="28" t="n"/>
      <c r="H736" s="28" t="n"/>
      <c r="I736" s="28" t="n"/>
      <c r="J736" s="28" t="n"/>
      <c r="K736" s="28" t="n"/>
    </row>
    <row r="737" ht="12.75" customHeight="1">
      <c r="A737" s="28" t="n"/>
      <c r="B737" s="28" t="n"/>
      <c r="C737" s="28" t="n"/>
      <c r="D737" s="28" t="n"/>
      <c r="E737" s="28" t="n"/>
      <c r="F737" s="28" t="n"/>
      <c r="G737" s="28" t="n"/>
      <c r="H737" s="28" t="n"/>
      <c r="I737" s="28" t="n"/>
      <c r="J737" s="28" t="n"/>
      <c r="K737" s="28" t="n"/>
    </row>
    <row r="738" ht="12.75" customHeight="1">
      <c r="A738" s="28" t="n"/>
      <c r="B738" s="28" t="n"/>
      <c r="C738" s="28" t="n"/>
      <c r="D738" s="28" t="n"/>
      <c r="E738" s="28" t="n"/>
      <c r="F738" s="28" t="n"/>
      <c r="G738" s="28" t="n"/>
      <c r="H738" s="28" t="n"/>
      <c r="I738" s="28" t="n"/>
      <c r="J738" s="28" t="n"/>
      <c r="K738" s="28" t="n"/>
    </row>
    <row r="739" ht="12.75" customHeight="1">
      <c r="A739" s="28" t="n"/>
      <c r="B739" s="28" t="n"/>
      <c r="C739" s="28" t="n"/>
      <c r="D739" s="28" t="n"/>
      <c r="E739" s="28" t="n"/>
      <c r="F739" s="28" t="n"/>
      <c r="G739" s="28" t="n"/>
      <c r="H739" s="28" t="n"/>
      <c r="I739" s="28" t="n"/>
      <c r="J739" s="28" t="n"/>
      <c r="K739" s="28" t="n"/>
    </row>
    <row r="740" ht="12.75" customHeight="1">
      <c r="A740" s="28" t="n"/>
      <c r="B740" s="28" t="n"/>
      <c r="C740" s="28" t="n"/>
      <c r="D740" s="28" t="n"/>
      <c r="E740" s="28" t="n"/>
      <c r="F740" s="28" t="n"/>
      <c r="G740" s="28" t="n"/>
      <c r="H740" s="28" t="n"/>
      <c r="I740" s="28" t="n"/>
      <c r="J740" s="28" t="n"/>
      <c r="K740" s="28" t="n"/>
    </row>
    <row r="741" ht="12.75" customHeight="1">
      <c r="A741" s="28" t="n"/>
      <c r="B741" s="28" t="n"/>
      <c r="C741" s="28" t="n"/>
      <c r="D741" s="28" t="n"/>
      <c r="E741" s="28" t="n"/>
      <c r="F741" s="28" t="n"/>
      <c r="G741" s="28" t="n"/>
      <c r="H741" s="28" t="n"/>
      <c r="I741" s="28" t="n"/>
      <c r="J741" s="28" t="n"/>
      <c r="K741" s="28" t="n"/>
    </row>
    <row r="742" ht="12.75" customHeight="1">
      <c r="A742" s="28" t="n"/>
      <c r="B742" s="28" t="n"/>
      <c r="C742" s="28" t="n"/>
      <c r="D742" s="28" t="n"/>
      <c r="E742" s="28" t="n"/>
      <c r="F742" s="28" t="n"/>
      <c r="G742" s="28" t="n"/>
      <c r="H742" s="28" t="n"/>
      <c r="I742" s="28" t="n"/>
      <c r="J742" s="28" t="n"/>
      <c r="K742" s="28" t="n"/>
    </row>
    <row r="743" ht="12.75" customHeight="1">
      <c r="A743" s="28" t="n"/>
      <c r="B743" s="28" t="n"/>
      <c r="C743" s="28" t="n"/>
      <c r="D743" s="28" t="n"/>
      <c r="E743" s="28" t="n"/>
      <c r="F743" s="28" t="n"/>
      <c r="G743" s="28" t="n"/>
      <c r="H743" s="28" t="n"/>
      <c r="I743" s="28" t="n"/>
      <c r="J743" s="28" t="n"/>
      <c r="K743" s="28" t="n"/>
    </row>
    <row r="744" ht="12.75" customHeight="1">
      <c r="A744" s="28" t="n"/>
      <c r="B744" s="28" t="n"/>
      <c r="C744" s="28" t="n"/>
      <c r="D744" s="28" t="n"/>
      <c r="E744" s="28" t="n"/>
      <c r="F744" s="28" t="n"/>
      <c r="G744" s="28" t="n"/>
      <c r="H744" s="28" t="n"/>
      <c r="I744" s="28" t="n"/>
      <c r="J744" s="28" t="n"/>
      <c r="K744" s="28" t="n"/>
    </row>
    <row r="745" ht="12.75" customHeight="1">
      <c r="A745" s="28" t="n"/>
      <c r="B745" s="28" t="n"/>
      <c r="C745" s="28" t="n"/>
      <c r="D745" s="28" t="n"/>
      <c r="E745" s="28" t="n"/>
      <c r="F745" s="28" t="n"/>
      <c r="G745" s="28" t="n"/>
      <c r="H745" s="28" t="n"/>
      <c r="I745" s="28" t="n"/>
      <c r="J745" s="28" t="n"/>
      <c r="K745" s="28" t="n"/>
    </row>
    <row r="746" ht="12.75" customHeight="1">
      <c r="A746" s="28" t="n"/>
      <c r="B746" s="28" t="n"/>
      <c r="C746" s="28" t="n"/>
      <c r="D746" s="28" t="n"/>
      <c r="E746" s="28" t="n"/>
      <c r="F746" s="28" t="n"/>
      <c r="G746" s="28" t="n"/>
      <c r="H746" s="28" t="n"/>
      <c r="I746" s="28" t="n"/>
      <c r="J746" s="28" t="n"/>
      <c r="K746" s="28" t="n"/>
    </row>
    <row r="747" ht="12.75" customHeight="1">
      <c r="A747" s="28" t="n"/>
      <c r="B747" s="28" t="n"/>
      <c r="C747" s="28" t="n"/>
      <c r="D747" s="28" t="n"/>
      <c r="E747" s="28" t="n"/>
      <c r="F747" s="28" t="n"/>
      <c r="G747" s="28" t="n"/>
      <c r="H747" s="28" t="n"/>
      <c r="I747" s="28" t="n"/>
      <c r="J747" s="28" t="n"/>
      <c r="K747" s="28" t="n"/>
    </row>
    <row r="748" ht="12.75" customHeight="1">
      <c r="A748" s="28" t="n"/>
      <c r="B748" s="28" t="n"/>
      <c r="C748" s="28" t="n"/>
      <c r="D748" s="28" t="n"/>
      <c r="E748" s="28" t="n"/>
      <c r="F748" s="28" t="n"/>
      <c r="G748" s="28" t="n"/>
      <c r="H748" s="28" t="n"/>
      <c r="I748" s="28" t="n"/>
      <c r="J748" s="28" t="n"/>
      <c r="K748" s="28" t="n"/>
    </row>
    <row r="749" ht="12.75" customHeight="1">
      <c r="A749" s="28" t="n"/>
      <c r="B749" s="28" t="n"/>
      <c r="C749" s="28" t="n"/>
      <c r="D749" s="28" t="n"/>
      <c r="E749" s="28" t="n"/>
      <c r="F749" s="28" t="n"/>
      <c r="G749" s="28" t="n"/>
      <c r="H749" s="28" t="n"/>
      <c r="I749" s="28" t="n"/>
      <c r="J749" s="28" t="n"/>
      <c r="K749" s="28" t="n"/>
    </row>
    <row r="750" ht="12.75" customHeight="1">
      <c r="A750" s="28" t="n"/>
      <c r="B750" s="28" t="n"/>
      <c r="C750" s="28" t="n"/>
      <c r="D750" s="28" t="n"/>
      <c r="E750" s="28" t="n"/>
      <c r="F750" s="28" t="n"/>
      <c r="G750" s="28" t="n"/>
      <c r="H750" s="28" t="n"/>
      <c r="I750" s="28" t="n"/>
      <c r="J750" s="28" t="n"/>
      <c r="K750" s="28" t="n"/>
    </row>
    <row r="751" ht="12.75" customHeight="1">
      <c r="A751" s="28" t="n"/>
      <c r="B751" s="28" t="n"/>
      <c r="C751" s="28" t="n"/>
      <c r="D751" s="28" t="n"/>
      <c r="E751" s="28" t="n"/>
      <c r="F751" s="28" t="n"/>
      <c r="G751" s="28" t="n"/>
      <c r="H751" s="28" t="n"/>
      <c r="I751" s="28" t="n"/>
      <c r="J751" s="28" t="n"/>
      <c r="K751" s="28" t="n"/>
    </row>
    <row r="752" ht="12.75" customHeight="1">
      <c r="A752" s="28" t="n"/>
      <c r="B752" s="28" t="n"/>
      <c r="C752" s="28" t="n"/>
      <c r="D752" s="28" t="n"/>
      <c r="E752" s="28" t="n"/>
      <c r="F752" s="28" t="n"/>
      <c r="G752" s="28" t="n"/>
      <c r="H752" s="28" t="n"/>
      <c r="I752" s="28" t="n"/>
      <c r="J752" s="28" t="n"/>
      <c r="K752" s="28" t="n"/>
    </row>
    <row r="753" ht="12.75" customHeight="1">
      <c r="A753" s="28" t="n"/>
      <c r="B753" s="28" t="n"/>
      <c r="C753" s="28" t="n"/>
      <c r="D753" s="28" t="n"/>
      <c r="E753" s="28" t="n"/>
      <c r="F753" s="28" t="n"/>
      <c r="G753" s="28" t="n"/>
      <c r="H753" s="28" t="n"/>
      <c r="I753" s="28" t="n"/>
      <c r="J753" s="28" t="n"/>
      <c r="K753" s="28" t="n"/>
    </row>
    <row r="754" ht="12.75" customHeight="1">
      <c r="A754" s="28" t="n"/>
      <c r="B754" s="28" t="n"/>
      <c r="C754" s="28" t="n"/>
      <c r="D754" s="28" t="n"/>
      <c r="E754" s="28" t="n"/>
      <c r="F754" s="28" t="n"/>
      <c r="G754" s="28" t="n"/>
      <c r="H754" s="28" t="n"/>
      <c r="I754" s="28" t="n"/>
      <c r="J754" s="28" t="n"/>
      <c r="K754" s="28" t="n"/>
    </row>
    <row r="755" ht="12.75" customHeight="1">
      <c r="A755" s="28" t="n"/>
      <c r="B755" s="28" t="n"/>
      <c r="C755" s="28" t="n"/>
      <c r="D755" s="28" t="n"/>
      <c r="E755" s="28" t="n"/>
      <c r="F755" s="28" t="n"/>
      <c r="G755" s="28" t="n"/>
      <c r="H755" s="28" t="n"/>
      <c r="I755" s="28" t="n"/>
      <c r="J755" s="28" t="n"/>
      <c r="K755" s="28" t="n"/>
    </row>
    <row r="756" ht="12.75" customHeight="1">
      <c r="A756" s="28" t="n"/>
      <c r="B756" s="28" t="n"/>
      <c r="C756" s="28" t="n"/>
      <c r="D756" s="28" t="n"/>
      <c r="E756" s="28" t="n"/>
      <c r="F756" s="28" t="n"/>
      <c r="G756" s="28" t="n"/>
      <c r="H756" s="28" t="n"/>
      <c r="I756" s="28" t="n"/>
      <c r="J756" s="28" t="n"/>
      <c r="K756" s="28" t="n"/>
    </row>
    <row r="757" ht="12.75" customHeight="1">
      <c r="A757" s="28" t="n"/>
      <c r="B757" s="28" t="n"/>
      <c r="C757" s="28" t="n"/>
      <c r="D757" s="28" t="n"/>
      <c r="E757" s="28" t="n"/>
      <c r="F757" s="28" t="n"/>
      <c r="G757" s="28" t="n"/>
      <c r="H757" s="28" t="n"/>
      <c r="I757" s="28" t="n"/>
      <c r="J757" s="28" t="n"/>
      <c r="K757" s="28" t="n"/>
    </row>
    <row r="758" ht="12.75" customHeight="1">
      <c r="A758" s="28" t="n"/>
      <c r="B758" s="28" t="n"/>
      <c r="C758" s="28" t="n"/>
      <c r="D758" s="28" t="n"/>
      <c r="E758" s="28" t="n"/>
      <c r="F758" s="28" t="n"/>
      <c r="G758" s="28" t="n"/>
      <c r="H758" s="28" t="n"/>
      <c r="I758" s="28" t="n"/>
      <c r="J758" s="28" t="n"/>
      <c r="K758" s="28" t="n"/>
    </row>
    <row r="759" ht="12.75" customHeight="1">
      <c r="A759" s="28" t="n"/>
      <c r="B759" s="28" t="n"/>
      <c r="C759" s="28" t="n"/>
      <c r="D759" s="28" t="n"/>
      <c r="E759" s="28" t="n"/>
      <c r="F759" s="28" t="n"/>
      <c r="G759" s="28" t="n"/>
      <c r="H759" s="28" t="n"/>
      <c r="I759" s="28" t="n"/>
      <c r="J759" s="28" t="n"/>
      <c r="K759" s="28" t="n"/>
    </row>
    <row r="760" ht="12.75" customHeight="1">
      <c r="A760" s="28" t="n"/>
      <c r="B760" s="28" t="n"/>
      <c r="C760" s="28" t="n"/>
      <c r="D760" s="28" t="n"/>
      <c r="E760" s="28" t="n"/>
      <c r="F760" s="28" t="n"/>
      <c r="G760" s="28" t="n"/>
      <c r="H760" s="28" t="n"/>
      <c r="I760" s="28" t="n"/>
      <c r="J760" s="28" t="n"/>
      <c r="K760" s="28" t="n"/>
    </row>
    <row r="761" ht="12.75" customHeight="1">
      <c r="A761" s="28" t="n"/>
      <c r="B761" s="28" t="n"/>
      <c r="C761" s="28" t="n"/>
      <c r="D761" s="28" t="n"/>
      <c r="E761" s="28" t="n"/>
      <c r="F761" s="28" t="n"/>
      <c r="G761" s="28" t="n"/>
      <c r="H761" s="28" t="n"/>
      <c r="I761" s="28" t="n"/>
      <c r="J761" s="28" t="n"/>
      <c r="K761" s="28" t="n"/>
    </row>
    <row r="762" ht="12.75" customHeight="1">
      <c r="A762" s="28" t="n"/>
      <c r="B762" s="28" t="n"/>
      <c r="C762" s="28" t="n"/>
      <c r="D762" s="28" t="n"/>
      <c r="E762" s="28" t="n"/>
      <c r="F762" s="28" t="n"/>
      <c r="G762" s="28" t="n"/>
      <c r="H762" s="28" t="n"/>
      <c r="I762" s="28" t="n"/>
      <c r="J762" s="28" t="n"/>
      <c r="K762" s="28" t="n"/>
    </row>
    <row r="763" ht="12.75" customHeight="1">
      <c r="A763" s="28" t="n"/>
      <c r="B763" s="28" t="n"/>
      <c r="C763" s="28" t="n"/>
      <c r="D763" s="28" t="n"/>
      <c r="E763" s="28" t="n"/>
      <c r="F763" s="28" t="n"/>
      <c r="G763" s="28" t="n"/>
      <c r="H763" s="28" t="n"/>
      <c r="I763" s="28" t="n"/>
      <c r="J763" s="28" t="n"/>
      <c r="K763" s="28" t="n"/>
    </row>
    <row r="764" ht="12.75" customHeight="1">
      <c r="A764" s="28" t="n"/>
      <c r="B764" s="28" t="n"/>
      <c r="C764" s="28" t="n"/>
      <c r="D764" s="28" t="n"/>
      <c r="E764" s="28" t="n"/>
      <c r="F764" s="28" t="n"/>
      <c r="G764" s="28" t="n"/>
      <c r="H764" s="28" t="n"/>
      <c r="I764" s="28" t="n"/>
      <c r="J764" s="28" t="n"/>
      <c r="K764" s="28" t="n"/>
    </row>
    <row r="765" ht="12.75" customHeight="1">
      <c r="A765" s="28" t="n"/>
      <c r="B765" s="28" t="n"/>
      <c r="C765" s="28" t="n"/>
      <c r="D765" s="28" t="n"/>
      <c r="E765" s="28" t="n"/>
      <c r="F765" s="28" t="n"/>
      <c r="G765" s="28" t="n"/>
      <c r="H765" s="28" t="n"/>
      <c r="I765" s="28" t="n"/>
      <c r="J765" s="28" t="n"/>
      <c r="K765" s="28" t="n"/>
    </row>
    <row r="766" ht="12.75" customHeight="1">
      <c r="A766" s="28" t="n"/>
      <c r="B766" s="28" t="n"/>
      <c r="C766" s="28" t="n"/>
      <c r="D766" s="28" t="n"/>
      <c r="E766" s="28" t="n"/>
      <c r="F766" s="28" t="n"/>
      <c r="G766" s="28" t="n"/>
      <c r="H766" s="28" t="n"/>
      <c r="I766" s="28" t="n"/>
      <c r="J766" s="28" t="n"/>
      <c r="K766" s="28" t="n"/>
    </row>
    <row r="767" ht="12.75" customHeight="1">
      <c r="A767" s="28" t="n"/>
      <c r="B767" s="28" t="n"/>
      <c r="C767" s="28" t="n"/>
      <c r="D767" s="28" t="n"/>
      <c r="E767" s="28" t="n"/>
      <c r="F767" s="28" t="n"/>
      <c r="G767" s="28" t="n"/>
      <c r="H767" s="28" t="n"/>
      <c r="I767" s="28" t="n"/>
      <c r="J767" s="28" t="n"/>
      <c r="K767" s="28" t="n"/>
    </row>
    <row r="768" ht="12.75" customHeight="1">
      <c r="A768" s="28" t="n"/>
      <c r="B768" s="28" t="n"/>
      <c r="C768" s="28" t="n"/>
      <c r="D768" s="28" t="n"/>
      <c r="E768" s="28" t="n"/>
      <c r="F768" s="28" t="n"/>
      <c r="G768" s="28" t="n"/>
      <c r="H768" s="28" t="n"/>
      <c r="I768" s="28" t="n"/>
      <c r="J768" s="28" t="n"/>
      <c r="K768" s="28" t="n"/>
    </row>
    <row r="769" ht="12.75" customHeight="1">
      <c r="A769" s="28" t="n"/>
      <c r="B769" s="28" t="n"/>
      <c r="C769" s="28" t="n"/>
      <c r="D769" s="28" t="n"/>
      <c r="E769" s="28" t="n"/>
      <c r="F769" s="28" t="n"/>
      <c r="G769" s="28" t="n"/>
      <c r="H769" s="28" t="n"/>
      <c r="I769" s="28" t="n"/>
      <c r="J769" s="28" t="n"/>
      <c r="K769" s="28" t="n"/>
    </row>
    <row r="770" ht="12.75" customHeight="1">
      <c r="A770" s="28" t="n"/>
      <c r="B770" s="28" t="n"/>
      <c r="C770" s="28" t="n"/>
      <c r="D770" s="28" t="n"/>
      <c r="E770" s="28" t="n"/>
      <c r="F770" s="28" t="n"/>
      <c r="G770" s="28" t="n"/>
      <c r="H770" s="28" t="n"/>
      <c r="I770" s="28" t="n"/>
      <c r="J770" s="28" t="n"/>
      <c r="K770" s="28" t="n"/>
    </row>
    <row r="771" ht="12.75" customHeight="1">
      <c r="A771" s="28" t="n"/>
      <c r="B771" s="28" t="n"/>
      <c r="C771" s="28" t="n"/>
      <c r="D771" s="28" t="n"/>
      <c r="E771" s="28" t="n"/>
      <c r="F771" s="28" t="n"/>
      <c r="G771" s="28" t="n"/>
      <c r="H771" s="28" t="n"/>
      <c r="I771" s="28" t="n"/>
      <c r="J771" s="28" t="n"/>
      <c r="K771" s="28" t="n"/>
    </row>
    <row r="772" ht="12.75" customHeight="1">
      <c r="A772" s="28" t="n"/>
      <c r="B772" s="28" t="n"/>
      <c r="C772" s="28" t="n"/>
      <c r="D772" s="28" t="n"/>
      <c r="E772" s="28" t="n"/>
      <c r="F772" s="28" t="n"/>
      <c r="G772" s="28" t="n"/>
      <c r="H772" s="28" t="n"/>
      <c r="I772" s="28" t="n"/>
      <c r="J772" s="28" t="n"/>
      <c r="K772" s="28" t="n"/>
    </row>
    <row r="773" ht="12.75" customHeight="1">
      <c r="A773" s="28" t="n"/>
      <c r="B773" s="28" t="n"/>
      <c r="C773" s="28" t="n"/>
      <c r="D773" s="28" t="n"/>
      <c r="E773" s="28" t="n"/>
      <c r="F773" s="28" t="n"/>
      <c r="G773" s="28" t="n"/>
      <c r="H773" s="28" t="n"/>
      <c r="I773" s="28" t="n"/>
      <c r="J773" s="28" t="n"/>
      <c r="K773" s="28" t="n"/>
    </row>
    <row r="774" ht="12.75" customHeight="1">
      <c r="A774" s="28" t="n"/>
      <c r="B774" s="28" t="n"/>
      <c r="C774" s="28" t="n"/>
      <c r="D774" s="28" t="n"/>
      <c r="E774" s="28" t="n"/>
      <c r="F774" s="28" t="n"/>
      <c r="G774" s="28" t="n"/>
      <c r="H774" s="28" t="n"/>
      <c r="I774" s="28" t="n"/>
      <c r="J774" s="28" t="n"/>
      <c r="K774" s="28" t="n"/>
    </row>
    <row r="775" ht="12.75" customHeight="1">
      <c r="A775" s="28" t="n"/>
      <c r="B775" s="28" t="n"/>
      <c r="C775" s="28" t="n"/>
      <c r="D775" s="28" t="n"/>
      <c r="E775" s="28" t="n"/>
      <c r="F775" s="28" t="n"/>
      <c r="G775" s="28" t="n"/>
      <c r="H775" s="28" t="n"/>
      <c r="I775" s="28" t="n"/>
      <c r="J775" s="28" t="n"/>
      <c r="K775" s="28" t="n"/>
    </row>
    <row r="776" ht="12.75" customHeight="1">
      <c r="A776" s="28" t="n"/>
      <c r="B776" s="28" t="n"/>
      <c r="C776" s="28" t="n"/>
      <c r="D776" s="28" t="n"/>
      <c r="E776" s="28" t="n"/>
      <c r="F776" s="28" t="n"/>
      <c r="G776" s="28" t="n"/>
      <c r="H776" s="28" t="n"/>
      <c r="I776" s="28" t="n"/>
      <c r="J776" s="28" t="n"/>
      <c r="K776" s="28" t="n"/>
    </row>
    <row r="777" ht="12.75" customHeight="1">
      <c r="A777" s="28" t="n"/>
      <c r="B777" s="28" t="n"/>
      <c r="C777" s="28" t="n"/>
      <c r="D777" s="28" t="n"/>
      <c r="E777" s="28" t="n"/>
      <c r="F777" s="28" t="n"/>
      <c r="G777" s="28" t="n"/>
      <c r="H777" s="28" t="n"/>
      <c r="I777" s="28" t="n"/>
      <c r="J777" s="28" t="n"/>
      <c r="K777" s="28" t="n"/>
    </row>
    <row r="778" ht="12.75" customHeight="1">
      <c r="A778" s="28" t="n"/>
      <c r="B778" s="28" t="n"/>
      <c r="C778" s="28" t="n"/>
      <c r="D778" s="28" t="n"/>
      <c r="E778" s="28" t="n"/>
      <c r="F778" s="28" t="n"/>
      <c r="G778" s="28" t="n"/>
      <c r="H778" s="28" t="n"/>
      <c r="I778" s="28" t="n"/>
      <c r="J778" s="28" t="n"/>
      <c r="K778" s="28" t="n"/>
    </row>
    <row r="779" ht="12.75" customHeight="1">
      <c r="A779" s="28" t="n"/>
      <c r="B779" s="28" t="n"/>
      <c r="C779" s="28" t="n"/>
      <c r="D779" s="28" t="n"/>
      <c r="E779" s="28" t="n"/>
      <c r="F779" s="28" t="n"/>
      <c r="G779" s="28" t="n"/>
      <c r="H779" s="28" t="n"/>
      <c r="I779" s="28" t="n"/>
      <c r="J779" s="28" t="n"/>
      <c r="K779" s="28" t="n"/>
    </row>
    <row r="780" ht="12.75" customHeight="1">
      <c r="A780" s="28" t="n"/>
      <c r="B780" s="28" t="n"/>
      <c r="C780" s="28" t="n"/>
      <c r="D780" s="28" t="n"/>
      <c r="E780" s="28" t="n"/>
      <c r="F780" s="28" t="n"/>
      <c r="G780" s="28" t="n"/>
      <c r="H780" s="28" t="n"/>
      <c r="I780" s="28" t="n"/>
      <c r="J780" s="28" t="n"/>
      <c r="K780" s="28" t="n"/>
    </row>
    <row r="781" ht="12.75" customHeight="1">
      <c r="A781" s="28" t="n"/>
      <c r="B781" s="28" t="n"/>
      <c r="C781" s="28" t="n"/>
      <c r="D781" s="28" t="n"/>
      <c r="E781" s="28" t="n"/>
      <c r="F781" s="28" t="n"/>
      <c r="G781" s="28" t="n"/>
      <c r="H781" s="28" t="n"/>
      <c r="I781" s="28" t="n"/>
      <c r="J781" s="28" t="n"/>
      <c r="K781" s="28" t="n"/>
    </row>
    <row r="782" ht="12.75" customHeight="1">
      <c r="A782" s="28" t="n"/>
      <c r="B782" s="28" t="n"/>
      <c r="C782" s="28" t="n"/>
      <c r="D782" s="28" t="n"/>
      <c r="E782" s="28" t="n"/>
      <c r="F782" s="28" t="n"/>
      <c r="G782" s="28" t="n"/>
      <c r="H782" s="28" t="n"/>
      <c r="I782" s="28" t="n"/>
      <c r="J782" s="28" t="n"/>
      <c r="K782" s="28" t="n"/>
    </row>
    <row r="783" ht="12.75" customHeight="1">
      <c r="A783" s="28" t="n"/>
      <c r="B783" s="28" t="n"/>
      <c r="C783" s="28" t="n"/>
      <c r="D783" s="28" t="n"/>
      <c r="E783" s="28" t="n"/>
      <c r="F783" s="28" t="n"/>
      <c r="G783" s="28" t="n"/>
      <c r="H783" s="28" t="n"/>
      <c r="I783" s="28" t="n"/>
      <c r="J783" s="28" t="n"/>
      <c r="K783" s="28" t="n"/>
    </row>
    <row r="784" ht="12.75" customHeight="1">
      <c r="A784" s="28" t="n"/>
      <c r="B784" s="28" t="n"/>
      <c r="C784" s="28" t="n"/>
      <c r="D784" s="28" t="n"/>
      <c r="E784" s="28" t="n"/>
      <c r="F784" s="28" t="n"/>
      <c r="G784" s="28" t="n"/>
      <c r="H784" s="28" t="n"/>
      <c r="I784" s="28" t="n"/>
      <c r="J784" s="28" t="n"/>
      <c r="K784" s="28" t="n"/>
    </row>
    <row r="785" ht="12.75" customHeight="1">
      <c r="A785" s="28" t="n"/>
      <c r="B785" s="28" t="n"/>
      <c r="C785" s="28" t="n"/>
      <c r="D785" s="28" t="n"/>
      <c r="E785" s="28" t="n"/>
      <c r="F785" s="28" t="n"/>
      <c r="G785" s="28" t="n"/>
      <c r="H785" s="28" t="n"/>
      <c r="I785" s="28" t="n"/>
      <c r="J785" s="28" t="n"/>
      <c r="K785" s="28" t="n"/>
    </row>
    <row r="786" ht="12.75" customHeight="1">
      <c r="A786" s="28" t="n"/>
      <c r="B786" s="28" t="n"/>
      <c r="C786" s="28" t="n"/>
      <c r="D786" s="28" t="n"/>
      <c r="E786" s="28" t="n"/>
      <c r="F786" s="28" t="n"/>
      <c r="G786" s="28" t="n"/>
      <c r="H786" s="28" t="n"/>
      <c r="I786" s="28" t="n"/>
      <c r="J786" s="28" t="n"/>
      <c r="K786" s="28" t="n"/>
    </row>
    <row r="787" ht="12.75" customHeight="1">
      <c r="A787" s="28" t="n"/>
      <c r="B787" s="28" t="n"/>
      <c r="C787" s="28" t="n"/>
      <c r="D787" s="28" t="n"/>
      <c r="E787" s="28" t="n"/>
      <c r="F787" s="28" t="n"/>
      <c r="G787" s="28" t="n"/>
      <c r="H787" s="28" t="n"/>
      <c r="I787" s="28" t="n"/>
      <c r="J787" s="28" t="n"/>
      <c r="K787" s="28" t="n"/>
    </row>
    <row r="788" ht="12.75" customHeight="1">
      <c r="A788" s="28" t="n"/>
      <c r="B788" s="28" t="n"/>
      <c r="C788" s="28" t="n"/>
      <c r="D788" s="28" t="n"/>
      <c r="E788" s="28" t="n"/>
      <c r="F788" s="28" t="n"/>
      <c r="G788" s="28" t="n"/>
      <c r="H788" s="28" t="n"/>
      <c r="I788" s="28" t="n"/>
      <c r="J788" s="28" t="n"/>
      <c r="K788" s="28" t="n"/>
    </row>
    <row r="789" ht="12.75" customHeight="1">
      <c r="A789" s="28" t="n"/>
      <c r="B789" s="28" t="n"/>
      <c r="C789" s="28" t="n"/>
      <c r="D789" s="28" t="n"/>
      <c r="E789" s="28" t="n"/>
      <c r="F789" s="28" t="n"/>
      <c r="G789" s="28" t="n"/>
      <c r="H789" s="28" t="n"/>
      <c r="I789" s="28" t="n"/>
      <c r="J789" s="28" t="n"/>
      <c r="K789" s="28" t="n"/>
    </row>
    <row r="790" ht="12.75" customHeight="1">
      <c r="A790" s="28" t="n"/>
      <c r="B790" s="28" t="n"/>
      <c r="C790" s="28" t="n"/>
      <c r="D790" s="28" t="n"/>
      <c r="E790" s="28" t="n"/>
      <c r="F790" s="28" t="n"/>
      <c r="G790" s="28" t="n"/>
      <c r="H790" s="28" t="n"/>
      <c r="I790" s="28" t="n"/>
      <c r="J790" s="28" t="n"/>
      <c r="K790" s="28" t="n"/>
    </row>
    <row r="791" ht="12.75" customHeight="1">
      <c r="A791" s="28" t="n"/>
      <c r="B791" s="28" t="n"/>
      <c r="C791" s="28" t="n"/>
      <c r="D791" s="28" t="n"/>
      <c r="E791" s="28" t="n"/>
      <c r="F791" s="28" t="n"/>
      <c r="G791" s="28" t="n"/>
      <c r="H791" s="28" t="n"/>
      <c r="I791" s="28" t="n"/>
      <c r="J791" s="28" t="n"/>
      <c r="K791" s="28" t="n"/>
    </row>
    <row r="792" ht="12.75" customHeight="1">
      <c r="A792" s="28" t="n"/>
      <c r="B792" s="28" t="n"/>
      <c r="C792" s="28" t="n"/>
      <c r="D792" s="28" t="n"/>
      <c r="E792" s="28" t="n"/>
      <c r="F792" s="28" t="n"/>
      <c r="G792" s="28" t="n"/>
      <c r="H792" s="28" t="n"/>
      <c r="I792" s="28" t="n"/>
      <c r="J792" s="28" t="n"/>
      <c r="K792" s="28" t="n"/>
    </row>
    <row r="793" ht="12.75" customHeight="1">
      <c r="A793" s="28" t="n"/>
      <c r="B793" s="28" t="n"/>
      <c r="C793" s="28" t="n"/>
      <c r="D793" s="28" t="n"/>
      <c r="E793" s="28" t="n"/>
      <c r="F793" s="28" t="n"/>
      <c r="G793" s="28" t="n"/>
      <c r="H793" s="28" t="n"/>
      <c r="I793" s="28" t="n"/>
      <c r="J793" s="28" t="n"/>
      <c r="K793" s="28" t="n"/>
    </row>
    <row r="794" ht="12.75" customHeight="1">
      <c r="A794" s="28" t="n"/>
      <c r="B794" s="28" t="n"/>
      <c r="C794" s="28" t="n"/>
      <c r="D794" s="28" t="n"/>
      <c r="E794" s="28" t="n"/>
      <c r="F794" s="28" t="n"/>
      <c r="G794" s="28" t="n"/>
      <c r="H794" s="28" t="n"/>
      <c r="I794" s="28" t="n"/>
      <c r="J794" s="28" t="n"/>
      <c r="K794" s="28" t="n"/>
    </row>
    <row r="795" ht="12.75" customHeight="1">
      <c r="A795" s="28" t="n"/>
      <c r="B795" s="28" t="n"/>
      <c r="C795" s="28" t="n"/>
      <c r="D795" s="28" t="n"/>
      <c r="E795" s="28" t="n"/>
      <c r="F795" s="28" t="n"/>
      <c r="G795" s="28" t="n"/>
      <c r="H795" s="28" t="n"/>
      <c r="I795" s="28" t="n"/>
      <c r="J795" s="28" t="n"/>
      <c r="K795" s="28" t="n"/>
    </row>
    <row r="796" ht="12.75" customHeight="1">
      <c r="A796" s="28" t="n"/>
      <c r="B796" s="28" t="n"/>
      <c r="C796" s="28" t="n"/>
      <c r="D796" s="28" t="n"/>
      <c r="E796" s="28" t="n"/>
      <c r="F796" s="28" t="n"/>
      <c r="G796" s="28" t="n"/>
      <c r="H796" s="28" t="n"/>
      <c r="I796" s="28" t="n"/>
      <c r="J796" s="28" t="n"/>
      <c r="K796" s="28" t="n"/>
    </row>
    <row r="797" ht="12.75" customHeight="1">
      <c r="A797" s="28" t="n"/>
      <c r="B797" s="28" t="n"/>
      <c r="C797" s="28" t="n"/>
      <c r="D797" s="28" t="n"/>
      <c r="E797" s="28" t="n"/>
      <c r="F797" s="28" t="n"/>
      <c r="G797" s="28" t="n"/>
      <c r="H797" s="28" t="n"/>
      <c r="I797" s="28" t="n"/>
      <c r="J797" s="28" t="n"/>
      <c r="K797" s="28" t="n"/>
    </row>
    <row r="798" ht="12.75" customHeight="1">
      <c r="A798" s="28" t="n"/>
      <c r="B798" s="28" t="n"/>
      <c r="C798" s="28" t="n"/>
      <c r="D798" s="28" t="n"/>
      <c r="E798" s="28" t="n"/>
      <c r="F798" s="28" t="n"/>
      <c r="G798" s="28" t="n"/>
      <c r="H798" s="28" t="n"/>
      <c r="I798" s="28" t="n"/>
      <c r="J798" s="28" t="n"/>
      <c r="K798" s="28" t="n"/>
    </row>
    <row r="799" ht="12.75" customHeight="1">
      <c r="A799" s="28" t="n"/>
      <c r="B799" s="28" t="n"/>
      <c r="C799" s="28" t="n"/>
      <c r="D799" s="28" t="n"/>
      <c r="E799" s="28" t="n"/>
      <c r="F799" s="28" t="n"/>
      <c r="G799" s="28" t="n"/>
      <c r="H799" s="28" t="n"/>
      <c r="I799" s="28" t="n"/>
      <c r="J799" s="28" t="n"/>
      <c r="K799" s="28" t="n"/>
    </row>
    <row r="800" ht="12.75" customHeight="1">
      <c r="A800" s="28" t="n"/>
      <c r="B800" s="28" t="n"/>
      <c r="C800" s="28" t="n"/>
      <c r="D800" s="28" t="n"/>
      <c r="E800" s="28" t="n"/>
      <c r="F800" s="28" t="n"/>
      <c r="G800" s="28" t="n"/>
      <c r="H800" s="28" t="n"/>
      <c r="I800" s="28" t="n"/>
      <c r="J800" s="28" t="n"/>
      <c r="K800" s="28" t="n"/>
    </row>
    <row r="801" ht="12.75" customHeight="1">
      <c r="A801" s="28" t="n"/>
      <c r="B801" s="28" t="n"/>
      <c r="C801" s="28" t="n"/>
      <c r="D801" s="28" t="n"/>
      <c r="E801" s="28" t="n"/>
      <c r="F801" s="28" t="n"/>
      <c r="G801" s="28" t="n"/>
      <c r="H801" s="28" t="n"/>
      <c r="I801" s="28" t="n"/>
      <c r="J801" s="28" t="n"/>
      <c r="K801" s="28" t="n"/>
    </row>
    <row r="802" ht="12.75" customHeight="1">
      <c r="A802" s="28" t="n"/>
      <c r="B802" s="28" t="n"/>
      <c r="C802" s="28" t="n"/>
      <c r="D802" s="28" t="n"/>
      <c r="E802" s="28" t="n"/>
      <c r="F802" s="28" t="n"/>
      <c r="G802" s="28" t="n"/>
      <c r="H802" s="28" t="n"/>
      <c r="I802" s="28" t="n"/>
      <c r="J802" s="28" t="n"/>
      <c r="K802" s="28" t="n"/>
    </row>
    <row r="803" ht="12.75" customHeight="1">
      <c r="A803" s="28" t="n"/>
      <c r="B803" s="28" t="n"/>
      <c r="C803" s="28" t="n"/>
      <c r="D803" s="28" t="n"/>
      <c r="E803" s="28" t="n"/>
      <c r="F803" s="28" t="n"/>
      <c r="G803" s="28" t="n"/>
      <c r="H803" s="28" t="n"/>
      <c r="I803" s="28" t="n"/>
      <c r="J803" s="28" t="n"/>
      <c r="K803" s="28" t="n"/>
    </row>
    <row r="804" ht="12.75" customHeight="1">
      <c r="A804" s="28" t="n"/>
      <c r="B804" s="28" t="n"/>
      <c r="C804" s="28" t="n"/>
      <c r="D804" s="28" t="n"/>
      <c r="E804" s="28" t="n"/>
      <c r="F804" s="28" t="n"/>
      <c r="G804" s="28" t="n"/>
      <c r="H804" s="28" t="n"/>
      <c r="I804" s="28" t="n"/>
      <c r="J804" s="28" t="n"/>
      <c r="K804" s="28" t="n"/>
    </row>
    <row r="805" ht="12.75" customHeight="1">
      <c r="A805" s="28" t="n"/>
      <c r="B805" s="28" t="n"/>
      <c r="C805" s="28" t="n"/>
      <c r="D805" s="28" t="n"/>
      <c r="E805" s="28" t="n"/>
      <c r="F805" s="28" t="n"/>
      <c r="G805" s="28" t="n"/>
      <c r="H805" s="28" t="n"/>
      <c r="I805" s="28" t="n"/>
      <c r="J805" s="28" t="n"/>
      <c r="K805" s="28" t="n"/>
    </row>
    <row r="806" ht="12.75" customHeight="1">
      <c r="A806" s="28" t="n"/>
      <c r="B806" s="28" t="n"/>
      <c r="C806" s="28" t="n"/>
      <c r="D806" s="28" t="n"/>
      <c r="E806" s="28" t="n"/>
      <c r="F806" s="28" t="n"/>
      <c r="G806" s="28" t="n"/>
      <c r="H806" s="28" t="n"/>
      <c r="I806" s="28" t="n"/>
      <c r="J806" s="28" t="n"/>
      <c r="K806" s="28" t="n"/>
    </row>
    <row r="807" ht="12.75" customHeight="1">
      <c r="A807" s="28" t="n"/>
      <c r="B807" s="28" t="n"/>
      <c r="C807" s="28" t="n"/>
      <c r="D807" s="28" t="n"/>
      <c r="E807" s="28" t="n"/>
      <c r="F807" s="28" t="n"/>
      <c r="G807" s="28" t="n"/>
      <c r="H807" s="28" t="n"/>
      <c r="I807" s="28" t="n"/>
      <c r="J807" s="28" t="n"/>
      <c r="K807" s="28" t="n"/>
    </row>
    <row r="808" ht="12.75" customHeight="1">
      <c r="A808" s="28" t="n"/>
      <c r="B808" s="28" t="n"/>
      <c r="C808" s="28" t="n"/>
      <c r="D808" s="28" t="n"/>
      <c r="E808" s="28" t="n"/>
      <c r="F808" s="28" t="n"/>
      <c r="G808" s="28" t="n"/>
      <c r="H808" s="28" t="n"/>
      <c r="I808" s="28" t="n"/>
      <c r="J808" s="28" t="n"/>
      <c r="K808" s="28" t="n"/>
    </row>
    <row r="809" ht="12.75" customHeight="1">
      <c r="A809" s="28" t="n"/>
      <c r="B809" s="28" t="n"/>
      <c r="C809" s="28" t="n"/>
      <c r="D809" s="28" t="n"/>
      <c r="E809" s="28" t="n"/>
      <c r="F809" s="28" t="n"/>
      <c r="G809" s="28" t="n"/>
      <c r="H809" s="28" t="n"/>
      <c r="I809" s="28" t="n"/>
      <c r="J809" s="28" t="n"/>
      <c r="K809" s="28" t="n"/>
    </row>
    <row r="810" ht="12.75" customHeight="1">
      <c r="A810" s="28" t="n"/>
      <c r="B810" s="28" t="n"/>
      <c r="C810" s="28" t="n"/>
      <c r="D810" s="28" t="n"/>
      <c r="E810" s="28" t="n"/>
      <c r="F810" s="28" t="n"/>
      <c r="G810" s="28" t="n"/>
      <c r="H810" s="28" t="n"/>
      <c r="I810" s="28" t="n"/>
      <c r="J810" s="28" t="n"/>
      <c r="K810" s="28" t="n"/>
    </row>
    <row r="811" ht="12.75" customHeight="1">
      <c r="A811" s="28" t="n"/>
      <c r="B811" s="28" t="n"/>
      <c r="C811" s="28" t="n"/>
      <c r="D811" s="28" t="n"/>
      <c r="E811" s="28" t="n"/>
      <c r="F811" s="28" t="n"/>
      <c r="G811" s="28" t="n"/>
      <c r="H811" s="28" t="n"/>
      <c r="I811" s="28" t="n"/>
      <c r="J811" s="28" t="n"/>
      <c r="K811" s="28" t="n"/>
    </row>
    <row r="812" ht="12.75" customHeight="1">
      <c r="A812" s="28" t="n"/>
      <c r="B812" s="28" t="n"/>
      <c r="C812" s="28" t="n"/>
      <c r="D812" s="28" t="n"/>
      <c r="E812" s="28" t="n"/>
      <c r="F812" s="28" t="n"/>
      <c r="G812" s="28" t="n"/>
      <c r="H812" s="28" t="n"/>
      <c r="I812" s="28" t="n"/>
      <c r="J812" s="28" t="n"/>
      <c r="K812" s="28" t="n"/>
    </row>
    <row r="813" ht="12.75" customHeight="1">
      <c r="A813" s="28" t="n"/>
      <c r="B813" s="28" t="n"/>
      <c r="C813" s="28" t="n"/>
      <c r="D813" s="28" t="n"/>
      <c r="E813" s="28" t="n"/>
      <c r="F813" s="28" t="n"/>
      <c r="G813" s="28" t="n"/>
      <c r="H813" s="28" t="n"/>
      <c r="I813" s="28" t="n"/>
      <c r="J813" s="28" t="n"/>
      <c r="K813" s="28" t="n"/>
    </row>
    <row r="814" ht="12.75" customHeight="1">
      <c r="A814" s="28" t="n"/>
      <c r="B814" s="28" t="n"/>
      <c r="C814" s="28" t="n"/>
      <c r="D814" s="28" t="n"/>
      <c r="E814" s="28" t="n"/>
      <c r="F814" s="28" t="n"/>
      <c r="G814" s="28" t="n"/>
      <c r="H814" s="28" t="n"/>
      <c r="I814" s="28" t="n"/>
      <c r="J814" s="28" t="n"/>
      <c r="K814" s="28" t="n"/>
    </row>
    <row r="815" ht="12.75" customHeight="1">
      <c r="A815" s="28" t="n"/>
      <c r="B815" s="28" t="n"/>
      <c r="C815" s="28" t="n"/>
      <c r="D815" s="28" t="n"/>
      <c r="E815" s="28" t="n"/>
      <c r="F815" s="28" t="n"/>
      <c r="G815" s="28" t="n"/>
      <c r="H815" s="28" t="n"/>
      <c r="I815" s="28" t="n"/>
      <c r="J815" s="28" t="n"/>
      <c r="K815" s="28" t="n"/>
    </row>
    <row r="816" ht="12.75" customHeight="1">
      <c r="A816" s="28" t="n"/>
      <c r="B816" s="28" t="n"/>
      <c r="C816" s="28" t="n"/>
      <c r="D816" s="28" t="n"/>
      <c r="E816" s="28" t="n"/>
      <c r="F816" s="28" t="n"/>
      <c r="G816" s="28" t="n"/>
      <c r="H816" s="28" t="n"/>
      <c r="I816" s="28" t="n"/>
      <c r="J816" s="28" t="n"/>
      <c r="K816" s="28" t="n"/>
    </row>
    <row r="817" ht="12.75" customHeight="1">
      <c r="A817" s="28" t="n"/>
      <c r="B817" s="28" t="n"/>
      <c r="C817" s="28" t="n"/>
      <c r="D817" s="28" t="n"/>
      <c r="E817" s="28" t="n"/>
      <c r="F817" s="28" t="n"/>
      <c r="G817" s="28" t="n"/>
      <c r="H817" s="28" t="n"/>
      <c r="I817" s="28" t="n"/>
      <c r="J817" s="28" t="n"/>
      <c r="K817" s="28" t="n"/>
    </row>
    <row r="818" ht="12.75" customHeight="1">
      <c r="A818" s="28" t="n"/>
      <c r="B818" s="28" t="n"/>
      <c r="C818" s="28" t="n"/>
      <c r="D818" s="28" t="n"/>
      <c r="E818" s="28" t="n"/>
      <c r="F818" s="28" t="n"/>
      <c r="G818" s="28" t="n"/>
      <c r="H818" s="28" t="n"/>
      <c r="I818" s="28" t="n"/>
      <c r="J818" s="28" t="n"/>
      <c r="K818" s="28" t="n"/>
    </row>
    <row r="819" ht="12.75" customHeight="1">
      <c r="A819" s="28" t="n"/>
      <c r="B819" s="28" t="n"/>
      <c r="C819" s="28" t="n"/>
      <c r="D819" s="28" t="n"/>
      <c r="E819" s="28" t="n"/>
      <c r="F819" s="28" t="n"/>
      <c r="G819" s="28" t="n"/>
      <c r="H819" s="28" t="n"/>
      <c r="I819" s="28" t="n"/>
      <c r="J819" s="28" t="n"/>
      <c r="K819" s="28" t="n"/>
    </row>
    <row r="820" ht="12.75" customHeight="1">
      <c r="A820" s="28" t="n"/>
      <c r="B820" s="28" t="n"/>
      <c r="C820" s="28" t="n"/>
      <c r="D820" s="28" t="n"/>
      <c r="E820" s="28" t="n"/>
      <c r="F820" s="28" t="n"/>
      <c r="G820" s="28" t="n"/>
      <c r="H820" s="28" t="n"/>
      <c r="I820" s="28" t="n"/>
      <c r="J820" s="28" t="n"/>
      <c r="K820" s="28" t="n"/>
    </row>
    <row r="821" ht="12.75" customHeight="1">
      <c r="A821" s="28" t="n"/>
      <c r="B821" s="28" t="n"/>
      <c r="C821" s="28" t="n"/>
      <c r="D821" s="28" t="n"/>
      <c r="E821" s="28" t="n"/>
      <c r="F821" s="28" t="n"/>
      <c r="G821" s="28" t="n"/>
      <c r="H821" s="28" t="n"/>
      <c r="I821" s="28" t="n"/>
      <c r="J821" s="28" t="n"/>
      <c r="K821" s="28" t="n"/>
    </row>
    <row r="822" ht="12.75" customHeight="1">
      <c r="A822" s="28" t="n"/>
      <c r="B822" s="28" t="n"/>
      <c r="C822" s="28" t="n"/>
      <c r="D822" s="28" t="n"/>
      <c r="E822" s="28" t="n"/>
      <c r="F822" s="28" t="n"/>
      <c r="G822" s="28" t="n"/>
      <c r="H822" s="28" t="n"/>
      <c r="I822" s="28" t="n"/>
      <c r="J822" s="28" t="n"/>
      <c r="K822" s="28" t="n"/>
    </row>
    <row r="823" ht="12.75" customHeight="1">
      <c r="A823" s="28" t="n"/>
      <c r="B823" s="28" t="n"/>
      <c r="C823" s="28" t="n"/>
      <c r="D823" s="28" t="n"/>
      <c r="E823" s="28" t="n"/>
      <c r="F823" s="28" t="n"/>
      <c r="G823" s="28" t="n"/>
      <c r="H823" s="28" t="n"/>
      <c r="I823" s="28" t="n"/>
      <c r="J823" s="28" t="n"/>
      <c r="K823" s="28" t="n"/>
    </row>
    <row r="824" ht="12.75" customHeight="1">
      <c r="A824" s="28" t="n"/>
      <c r="B824" s="28" t="n"/>
      <c r="C824" s="28" t="n"/>
      <c r="D824" s="28" t="n"/>
      <c r="E824" s="28" t="n"/>
      <c r="F824" s="28" t="n"/>
      <c r="G824" s="28" t="n"/>
      <c r="H824" s="28" t="n"/>
      <c r="I824" s="28" t="n"/>
      <c r="J824" s="28" t="n"/>
      <c r="K824" s="28" t="n"/>
    </row>
    <row r="825" ht="12.75" customHeight="1">
      <c r="A825" s="28" t="n"/>
      <c r="B825" s="28" t="n"/>
      <c r="C825" s="28" t="n"/>
      <c r="D825" s="28" t="n"/>
      <c r="E825" s="28" t="n"/>
      <c r="F825" s="28" t="n"/>
      <c r="G825" s="28" t="n"/>
      <c r="H825" s="28" t="n"/>
      <c r="I825" s="28" t="n"/>
      <c r="J825" s="28" t="n"/>
      <c r="K825" s="28" t="n"/>
    </row>
    <row r="826" ht="12.75" customHeight="1">
      <c r="A826" s="28" t="n"/>
      <c r="B826" s="28" t="n"/>
      <c r="C826" s="28" t="n"/>
      <c r="D826" s="28" t="n"/>
      <c r="E826" s="28" t="n"/>
      <c r="F826" s="28" t="n"/>
      <c r="G826" s="28" t="n"/>
      <c r="H826" s="28" t="n"/>
      <c r="I826" s="28" t="n"/>
      <c r="J826" s="28" t="n"/>
      <c r="K826" s="28" t="n"/>
    </row>
    <row r="827" ht="12.75" customHeight="1">
      <c r="A827" s="28" t="n"/>
      <c r="B827" s="28" t="n"/>
      <c r="C827" s="28" t="n"/>
      <c r="D827" s="28" t="n"/>
      <c r="E827" s="28" t="n"/>
      <c r="F827" s="28" t="n"/>
      <c r="G827" s="28" t="n"/>
      <c r="H827" s="28" t="n"/>
      <c r="I827" s="28" t="n"/>
      <c r="J827" s="28" t="n"/>
      <c r="K827" s="28" t="n"/>
    </row>
    <row r="828" ht="12.75" customHeight="1">
      <c r="A828" s="28" t="n"/>
      <c r="B828" s="28" t="n"/>
      <c r="C828" s="28" t="n"/>
      <c r="D828" s="28" t="n"/>
      <c r="E828" s="28" t="n"/>
      <c r="F828" s="28" t="n"/>
      <c r="G828" s="28" t="n"/>
      <c r="H828" s="28" t="n"/>
      <c r="I828" s="28" t="n"/>
      <c r="J828" s="28" t="n"/>
      <c r="K828" s="28" t="n"/>
    </row>
    <row r="829" ht="12.75" customHeight="1">
      <c r="A829" s="28" t="n"/>
      <c r="B829" s="28" t="n"/>
      <c r="C829" s="28" t="n"/>
      <c r="D829" s="28" t="n"/>
      <c r="E829" s="28" t="n"/>
      <c r="F829" s="28" t="n"/>
      <c r="G829" s="28" t="n"/>
      <c r="H829" s="28" t="n"/>
      <c r="I829" s="28" t="n"/>
      <c r="J829" s="28" t="n"/>
      <c r="K829" s="28" t="n"/>
    </row>
    <row r="830" ht="12.75" customHeight="1">
      <c r="A830" s="28" t="n"/>
      <c r="B830" s="28" t="n"/>
      <c r="C830" s="28" t="n"/>
      <c r="D830" s="28" t="n"/>
      <c r="E830" s="28" t="n"/>
      <c r="F830" s="28" t="n"/>
      <c r="G830" s="28" t="n"/>
      <c r="H830" s="28" t="n"/>
      <c r="I830" s="28" t="n"/>
      <c r="J830" s="28" t="n"/>
      <c r="K830" s="28" t="n"/>
    </row>
    <row r="831" ht="12.75" customHeight="1">
      <c r="A831" s="28" t="n"/>
      <c r="B831" s="28" t="n"/>
      <c r="C831" s="28" t="n"/>
      <c r="D831" s="28" t="n"/>
      <c r="E831" s="28" t="n"/>
      <c r="F831" s="28" t="n"/>
      <c r="G831" s="28" t="n"/>
      <c r="H831" s="28" t="n"/>
      <c r="I831" s="28" t="n"/>
      <c r="J831" s="28" t="n"/>
      <c r="K831" s="28" t="n"/>
    </row>
    <row r="832" ht="12.75" customHeight="1">
      <c r="A832" s="28" t="n"/>
      <c r="B832" s="28" t="n"/>
      <c r="C832" s="28" t="n"/>
      <c r="D832" s="28" t="n"/>
      <c r="E832" s="28" t="n"/>
      <c r="F832" s="28" t="n"/>
      <c r="G832" s="28" t="n"/>
      <c r="H832" s="28" t="n"/>
      <c r="I832" s="28" t="n"/>
      <c r="J832" s="28" t="n"/>
      <c r="K832" s="28" t="n"/>
    </row>
    <row r="833" ht="12.75" customHeight="1">
      <c r="A833" s="28" t="n"/>
      <c r="B833" s="28" t="n"/>
      <c r="C833" s="28" t="n"/>
      <c r="D833" s="28" t="n"/>
      <c r="E833" s="28" t="n"/>
      <c r="F833" s="28" t="n"/>
      <c r="G833" s="28" t="n"/>
      <c r="H833" s="28" t="n"/>
      <c r="I833" s="28" t="n"/>
      <c r="J833" s="28" t="n"/>
      <c r="K833" s="28" t="n"/>
    </row>
    <row r="834" ht="12.75" customHeight="1">
      <c r="A834" s="28" t="n"/>
      <c r="B834" s="28" t="n"/>
      <c r="C834" s="28" t="n"/>
      <c r="D834" s="28" t="n"/>
      <c r="E834" s="28" t="n"/>
      <c r="F834" s="28" t="n"/>
      <c r="G834" s="28" t="n"/>
      <c r="H834" s="28" t="n"/>
      <c r="I834" s="28" t="n"/>
      <c r="J834" s="28" t="n"/>
      <c r="K834" s="28" t="n"/>
    </row>
    <row r="835" ht="12.75" customHeight="1">
      <c r="A835" s="28" t="n"/>
      <c r="B835" s="28" t="n"/>
      <c r="C835" s="28" t="n"/>
      <c r="D835" s="28" t="n"/>
      <c r="E835" s="28" t="n"/>
      <c r="F835" s="28" t="n"/>
      <c r="G835" s="28" t="n"/>
      <c r="H835" s="28" t="n"/>
      <c r="I835" s="28" t="n"/>
      <c r="J835" s="28" t="n"/>
      <c r="K835" s="28" t="n"/>
    </row>
    <row r="836" ht="12.75" customHeight="1">
      <c r="A836" s="28" t="n"/>
      <c r="B836" s="28" t="n"/>
      <c r="C836" s="28" t="n"/>
      <c r="D836" s="28" t="n"/>
      <c r="E836" s="28" t="n"/>
      <c r="F836" s="28" t="n"/>
      <c r="G836" s="28" t="n"/>
      <c r="H836" s="28" t="n"/>
      <c r="I836" s="28" t="n"/>
      <c r="J836" s="28" t="n"/>
      <c r="K836" s="28" t="n"/>
    </row>
    <row r="837" ht="12.75" customHeight="1">
      <c r="A837" s="28" t="n"/>
      <c r="B837" s="28" t="n"/>
      <c r="C837" s="28" t="n"/>
      <c r="D837" s="28" t="n"/>
      <c r="E837" s="28" t="n"/>
      <c r="F837" s="28" t="n"/>
      <c r="G837" s="28" t="n"/>
      <c r="H837" s="28" t="n"/>
      <c r="I837" s="28" t="n"/>
      <c r="J837" s="28" t="n"/>
      <c r="K837" s="28" t="n"/>
    </row>
    <row r="838" ht="12.75" customHeight="1">
      <c r="A838" s="28" t="n"/>
      <c r="B838" s="28" t="n"/>
      <c r="C838" s="28" t="n"/>
      <c r="D838" s="28" t="n"/>
      <c r="E838" s="28" t="n"/>
      <c r="F838" s="28" t="n"/>
      <c r="G838" s="28" t="n"/>
      <c r="H838" s="28" t="n"/>
      <c r="I838" s="28" t="n"/>
      <c r="J838" s="28" t="n"/>
      <c r="K838" s="28" t="n"/>
    </row>
    <row r="839" ht="12.75" customHeight="1">
      <c r="A839" s="28" t="n"/>
      <c r="B839" s="28" t="n"/>
      <c r="C839" s="28" t="n"/>
      <c r="D839" s="28" t="n"/>
      <c r="E839" s="28" t="n"/>
      <c r="F839" s="28" t="n"/>
      <c r="G839" s="28" t="n"/>
      <c r="H839" s="28" t="n"/>
      <c r="I839" s="28" t="n"/>
      <c r="J839" s="28" t="n"/>
      <c r="K839" s="28" t="n"/>
    </row>
    <row r="840" ht="12.75" customHeight="1">
      <c r="A840" s="28" t="n"/>
      <c r="B840" s="28" t="n"/>
      <c r="C840" s="28" t="n"/>
      <c r="D840" s="28" t="n"/>
      <c r="E840" s="28" t="n"/>
      <c r="F840" s="28" t="n"/>
      <c r="G840" s="28" t="n"/>
      <c r="H840" s="28" t="n"/>
      <c r="I840" s="28" t="n"/>
      <c r="J840" s="28" t="n"/>
      <c r="K840" s="28" t="n"/>
    </row>
    <row r="841" ht="12.75" customHeight="1">
      <c r="A841" s="28" t="n"/>
      <c r="B841" s="28" t="n"/>
      <c r="C841" s="28" t="n"/>
      <c r="D841" s="28" t="n"/>
      <c r="E841" s="28" t="n"/>
      <c r="F841" s="28" t="n"/>
      <c r="G841" s="28" t="n"/>
      <c r="H841" s="28" t="n"/>
      <c r="I841" s="28" t="n"/>
      <c r="J841" s="28" t="n"/>
      <c r="K841" s="28" t="n"/>
    </row>
    <row r="842" ht="12.75" customHeight="1">
      <c r="A842" s="28" t="n"/>
      <c r="B842" s="28" t="n"/>
      <c r="C842" s="28" t="n"/>
      <c r="D842" s="28" t="n"/>
      <c r="E842" s="28" t="n"/>
      <c r="F842" s="28" t="n"/>
      <c r="G842" s="28" t="n"/>
      <c r="H842" s="28" t="n"/>
      <c r="I842" s="28" t="n"/>
      <c r="J842" s="28" t="n"/>
      <c r="K842" s="28" t="n"/>
    </row>
    <row r="843" ht="12.75" customHeight="1">
      <c r="A843" s="28" t="n"/>
      <c r="B843" s="28" t="n"/>
      <c r="C843" s="28" t="n"/>
      <c r="D843" s="28" t="n"/>
      <c r="E843" s="28" t="n"/>
      <c r="F843" s="28" t="n"/>
      <c r="G843" s="28" t="n"/>
      <c r="H843" s="28" t="n"/>
      <c r="I843" s="28" t="n"/>
      <c r="J843" s="28" t="n"/>
      <c r="K843" s="28" t="n"/>
    </row>
    <row r="844" ht="12.75" customHeight="1">
      <c r="A844" s="28" t="n"/>
      <c r="B844" s="28" t="n"/>
      <c r="C844" s="28" t="n"/>
      <c r="D844" s="28" t="n"/>
      <c r="E844" s="28" t="n"/>
      <c r="F844" s="28" t="n"/>
      <c r="G844" s="28" t="n"/>
      <c r="H844" s="28" t="n"/>
      <c r="I844" s="28" t="n"/>
      <c r="J844" s="28" t="n"/>
      <c r="K844" s="28" t="n"/>
    </row>
    <row r="845" ht="12.75" customHeight="1">
      <c r="A845" s="28" t="n"/>
      <c r="B845" s="28" t="n"/>
      <c r="C845" s="28" t="n"/>
      <c r="D845" s="28" t="n"/>
      <c r="E845" s="28" t="n"/>
      <c r="F845" s="28" t="n"/>
      <c r="G845" s="28" t="n"/>
      <c r="H845" s="28" t="n"/>
      <c r="I845" s="28" t="n"/>
      <c r="J845" s="28" t="n"/>
      <c r="K845" s="28" t="n"/>
    </row>
    <row r="846" ht="12.75" customHeight="1">
      <c r="A846" s="28" t="n"/>
      <c r="B846" s="28" t="n"/>
      <c r="C846" s="28" t="n"/>
      <c r="D846" s="28" t="n"/>
      <c r="E846" s="28" t="n"/>
      <c r="F846" s="28" t="n"/>
      <c r="G846" s="28" t="n"/>
      <c r="H846" s="28" t="n"/>
      <c r="I846" s="28" t="n"/>
      <c r="J846" s="28" t="n"/>
      <c r="K846" s="28" t="n"/>
    </row>
    <row r="847" ht="12.75" customHeight="1">
      <c r="A847" s="28" t="n"/>
      <c r="B847" s="28" t="n"/>
      <c r="C847" s="28" t="n"/>
      <c r="D847" s="28" t="n"/>
      <c r="E847" s="28" t="n"/>
      <c r="F847" s="28" t="n"/>
      <c r="G847" s="28" t="n"/>
      <c r="H847" s="28" t="n"/>
      <c r="I847" s="28" t="n"/>
      <c r="J847" s="28" t="n"/>
      <c r="K847" s="28" t="n"/>
    </row>
    <row r="848" ht="12.75" customHeight="1">
      <c r="A848" s="28" t="n"/>
      <c r="B848" s="28" t="n"/>
      <c r="C848" s="28" t="n"/>
      <c r="D848" s="28" t="n"/>
      <c r="E848" s="28" t="n"/>
      <c r="F848" s="28" t="n"/>
      <c r="G848" s="28" t="n"/>
      <c r="H848" s="28" t="n"/>
      <c r="I848" s="28" t="n"/>
      <c r="J848" s="28" t="n"/>
      <c r="K848" s="28" t="n"/>
    </row>
    <row r="849" ht="12.75" customHeight="1">
      <c r="A849" s="28" t="n"/>
      <c r="B849" s="28" t="n"/>
      <c r="C849" s="28" t="n"/>
      <c r="D849" s="28" t="n"/>
      <c r="E849" s="28" t="n"/>
      <c r="F849" s="28" t="n"/>
      <c r="G849" s="28" t="n"/>
      <c r="H849" s="28" t="n"/>
      <c r="I849" s="28" t="n"/>
      <c r="J849" s="28" t="n"/>
      <c r="K849" s="28" t="n"/>
    </row>
    <row r="850" ht="12.75" customHeight="1">
      <c r="A850" s="28" t="n"/>
      <c r="B850" s="28" t="n"/>
      <c r="C850" s="28" t="n"/>
      <c r="D850" s="28" t="n"/>
      <c r="E850" s="28" t="n"/>
      <c r="F850" s="28" t="n"/>
      <c r="G850" s="28" t="n"/>
      <c r="H850" s="28" t="n"/>
      <c r="I850" s="28" t="n"/>
      <c r="J850" s="28" t="n"/>
      <c r="K850" s="28" t="n"/>
    </row>
    <row r="851" ht="12.75" customHeight="1">
      <c r="A851" s="28" t="n"/>
      <c r="B851" s="28" t="n"/>
      <c r="C851" s="28" t="n"/>
      <c r="D851" s="28" t="n"/>
      <c r="E851" s="28" t="n"/>
      <c r="F851" s="28" t="n"/>
      <c r="G851" s="28" t="n"/>
      <c r="H851" s="28" t="n"/>
      <c r="I851" s="28" t="n"/>
      <c r="J851" s="28" t="n"/>
      <c r="K851" s="28" t="n"/>
    </row>
    <row r="852" ht="12.75" customHeight="1">
      <c r="A852" s="28" t="n"/>
      <c r="B852" s="28" t="n"/>
      <c r="C852" s="28" t="n"/>
      <c r="D852" s="28" t="n"/>
      <c r="E852" s="28" t="n"/>
      <c r="F852" s="28" t="n"/>
      <c r="G852" s="28" t="n"/>
      <c r="H852" s="28" t="n"/>
      <c r="I852" s="28" t="n"/>
      <c r="J852" s="28" t="n"/>
      <c r="K852" s="28" t="n"/>
    </row>
    <row r="853" ht="12.75" customHeight="1">
      <c r="A853" s="28" t="n"/>
      <c r="B853" s="28" t="n"/>
      <c r="C853" s="28" t="n"/>
      <c r="D853" s="28" t="n"/>
      <c r="E853" s="28" t="n"/>
      <c r="F853" s="28" t="n"/>
      <c r="G853" s="28" t="n"/>
      <c r="H853" s="28" t="n"/>
      <c r="I853" s="28" t="n"/>
      <c r="J853" s="28" t="n"/>
      <c r="K853" s="28" t="n"/>
    </row>
    <row r="854" ht="12.75" customHeight="1">
      <c r="A854" s="28" t="n"/>
      <c r="B854" s="28" t="n"/>
      <c r="C854" s="28" t="n"/>
      <c r="D854" s="28" t="n"/>
      <c r="E854" s="28" t="n"/>
      <c r="F854" s="28" t="n"/>
      <c r="G854" s="28" t="n"/>
      <c r="H854" s="28" t="n"/>
      <c r="I854" s="28" t="n"/>
      <c r="J854" s="28" t="n"/>
      <c r="K854" s="28" t="n"/>
    </row>
    <row r="855" ht="12.75" customHeight="1">
      <c r="A855" s="28" t="n"/>
      <c r="B855" s="28" t="n"/>
      <c r="C855" s="28" t="n"/>
      <c r="D855" s="28" t="n"/>
      <c r="E855" s="28" t="n"/>
      <c r="F855" s="28" t="n"/>
      <c r="G855" s="28" t="n"/>
      <c r="H855" s="28" t="n"/>
      <c r="I855" s="28" t="n"/>
      <c r="J855" s="28" t="n"/>
      <c r="K855" s="28" t="n"/>
    </row>
    <row r="856" ht="12.75" customHeight="1">
      <c r="A856" s="28" t="n"/>
      <c r="B856" s="28" t="n"/>
      <c r="C856" s="28" t="n"/>
      <c r="D856" s="28" t="n"/>
      <c r="E856" s="28" t="n"/>
      <c r="F856" s="28" t="n"/>
      <c r="G856" s="28" t="n"/>
      <c r="H856" s="28" t="n"/>
      <c r="I856" s="28" t="n"/>
      <c r="J856" s="28" t="n"/>
      <c r="K856" s="28" t="n"/>
    </row>
    <row r="857" ht="12.75" customHeight="1">
      <c r="A857" s="28" t="n"/>
      <c r="B857" s="28" t="n"/>
      <c r="C857" s="28" t="n"/>
      <c r="D857" s="28" t="n"/>
      <c r="E857" s="28" t="n"/>
      <c r="F857" s="28" t="n"/>
      <c r="G857" s="28" t="n"/>
      <c r="H857" s="28" t="n"/>
      <c r="I857" s="28" t="n"/>
      <c r="J857" s="28" t="n"/>
      <c r="K857" s="28" t="n"/>
    </row>
    <row r="858" ht="12.75" customHeight="1">
      <c r="A858" s="28" t="n"/>
      <c r="B858" s="28" t="n"/>
      <c r="C858" s="28" t="n"/>
      <c r="D858" s="28" t="n"/>
      <c r="E858" s="28" t="n"/>
      <c r="F858" s="28" t="n"/>
      <c r="G858" s="28" t="n"/>
      <c r="H858" s="28" t="n"/>
      <c r="I858" s="28" t="n"/>
      <c r="J858" s="28" t="n"/>
      <c r="K858" s="28" t="n"/>
    </row>
    <row r="859" ht="12.75" customHeight="1">
      <c r="A859" s="28" t="n"/>
      <c r="B859" s="28" t="n"/>
      <c r="C859" s="28" t="n"/>
      <c r="D859" s="28" t="n"/>
      <c r="E859" s="28" t="n"/>
      <c r="F859" s="28" t="n"/>
      <c r="G859" s="28" t="n"/>
      <c r="H859" s="28" t="n"/>
      <c r="I859" s="28" t="n"/>
      <c r="J859" s="28" t="n"/>
      <c r="K859" s="28" t="n"/>
    </row>
    <row r="860" ht="12.75" customHeight="1">
      <c r="A860" s="28" t="n"/>
      <c r="B860" s="28" t="n"/>
      <c r="C860" s="28" t="n"/>
      <c r="D860" s="28" t="n"/>
      <c r="E860" s="28" t="n"/>
      <c r="F860" s="28" t="n"/>
      <c r="G860" s="28" t="n"/>
      <c r="H860" s="28" t="n"/>
      <c r="I860" s="28" t="n"/>
      <c r="J860" s="28" t="n"/>
      <c r="K860" s="28" t="n"/>
    </row>
    <row r="861" ht="12.75" customHeight="1">
      <c r="A861" s="28" t="n"/>
      <c r="B861" s="28" t="n"/>
      <c r="C861" s="28" t="n"/>
      <c r="D861" s="28" t="n"/>
      <c r="E861" s="28" t="n"/>
      <c r="F861" s="28" t="n"/>
      <c r="G861" s="28" t="n"/>
      <c r="H861" s="28" t="n"/>
      <c r="I861" s="28" t="n"/>
      <c r="J861" s="28" t="n"/>
      <c r="K861" s="28" t="n"/>
    </row>
    <row r="862" ht="12.75" customHeight="1">
      <c r="A862" s="28" t="n"/>
      <c r="B862" s="28" t="n"/>
      <c r="C862" s="28" t="n"/>
      <c r="D862" s="28" t="n"/>
      <c r="E862" s="28" t="n"/>
      <c r="F862" s="28" t="n"/>
      <c r="G862" s="28" t="n"/>
      <c r="H862" s="28" t="n"/>
      <c r="I862" s="28" t="n"/>
      <c r="J862" s="28" t="n"/>
      <c r="K862" s="28" t="n"/>
    </row>
    <row r="863" ht="12.75" customHeight="1">
      <c r="A863" s="28" t="n"/>
      <c r="B863" s="28" t="n"/>
      <c r="C863" s="28" t="n"/>
      <c r="D863" s="28" t="n"/>
      <c r="E863" s="28" t="n"/>
      <c r="F863" s="28" t="n"/>
      <c r="G863" s="28" t="n"/>
      <c r="H863" s="28" t="n"/>
      <c r="I863" s="28" t="n"/>
      <c r="J863" s="28" t="n"/>
      <c r="K863" s="28" t="n"/>
    </row>
    <row r="864" ht="12.75" customHeight="1">
      <c r="A864" s="28" t="n"/>
      <c r="B864" s="28" t="n"/>
      <c r="C864" s="28" t="n"/>
      <c r="D864" s="28" t="n"/>
      <c r="E864" s="28" t="n"/>
      <c r="F864" s="28" t="n"/>
      <c r="G864" s="28" t="n"/>
      <c r="H864" s="28" t="n"/>
      <c r="I864" s="28" t="n"/>
      <c r="J864" s="28" t="n"/>
      <c r="K864" s="28" t="n"/>
    </row>
    <row r="865" ht="12.75" customHeight="1">
      <c r="A865" s="28" t="n"/>
      <c r="B865" s="28" t="n"/>
      <c r="C865" s="28" t="n"/>
      <c r="D865" s="28" t="n"/>
      <c r="E865" s="28" t="n"/>
      <c r="F865" s="28" t="n"/>
      <c r="G865" s="28" t="n"/>
      <c r="H865" s="28" t="n"/>
      <c r="I865" s="28" t="n"/>
      <c r="J865" s="28" t="n"/>
      <c r="K865" s="28" t="n"/>
    </row>
    <row r="866" ht="12.75" customHeight="1">
      <c r="A866" s="28" t="n"/>
      <c r="B866" s="28" t="n"/>
      <c r="C866" s="28" t="n"/>
      <c r="D866" s="28" t="n"/>
      <c r="E866" s="28" t="n"/>
      <c r="F866" s="28" t="n"/>
      <c r="G866" s="28" t="n"/>
      <c r="H866" s="28" t="n"/>
      <c r="I866" s="28" t="n"/>
      <c r="J866" s="28" t="n"/>
      <c r="K866" s="28" t="n"/>
    </row>
    <row r="867" ht="12.75" customHeight="1">
      <c r="A867" s="28" t="n"/>
      <c r="B867" s="28" t="n"/>
      <c r="C867" s="28" t="n"/>
      <c r="D867" s="28" t="n"/>
      <c r="E867" s="28" t="n"/>
      <c r="F867" s="28" t="n"/>
      <c r="G867" s="28" t="n"/>
      <c r="H867" s="28" t="n"/>
      <c r="I867" s="28" t="n"/>
      <c r="J867" s="28" t="n"/>
      <c r="K867" s="28" t="n"/>
    </row>
    <row r="868" ht="12.75" customHeight="1">
      <c r="A868" s="28" t="n"/>
      <c r="B868" s="28" t="n"/>
      <c r="C868" s="28" t="n"/>
      <c r="D868" s="28" t="n"/>
      <c r="E868" s="28" t="n"/>
      <c r="F868" s="28" t="n"/>
      <c r="G868" s="28" t="n"/>
      <c r="H868" s="28" t="n"/>
      <c r="I868" s="28" t="n"/>
      <c r="J868" s="28" t="n"/>
      <c r="K868" s="28" t="n"/>
    </row>
    <row r="869" ht="12.75" customHeight="1">
      <c r="A869" s="28" t="n"/>
      <c r="B869" s="28" t="n"/>
      <c r="C869" s="28" t="n"/>
      <c r="D869" s="28" t="n"/>
      <c r="E869" s="28" t="n"/>
      <c r="F869" s="28" t="n"/>
      <c r="G869" s="28" t="n"/>
      <c r="H869" s="28" t="n"/>
      <c r="I869" s="28" t="n"/>
      <c r="J869" s="28" t="n"/>
      <c r="K869" s="28" t="n"/>
    </row>
    <row r="870" ht="12.75" customHeight="1">
      <c r="A870" s="28" t="n"/>
      <c r="B870" s="28" t="n"/>
      <c r="C870" s="28" t="n"/>
      <c r="D870" s="28" t="n"/>
      <c r="E870" s="28" t="n"/>
      <c r="F870" s="28" t="n"/>
      <c r="G870" s="28" t="n"/>
      <c r="H870" s="28" t="n"/>
      <c r="I870" s="28" t="n"/>
      <c r="J870" s="28" t="n"/>
      <c r="K870" s="28" t="n"/>
    </row>
    <row r="871" ht="12.75" customHeight="1">
      <c r="A871" s="28" t="n"/>
      <c r="B871" s="28" t="n"/>
      <c r="C871" s="28" t="n"/>
      <c r="D871" s="28" t="n"/>
      <c r="E871" s="28" t="n"/>
      <c r="F871" s="28" t="n"/>
      <c r="G871" s="28" t="n"/>
      <c r="H871" s="28" t="n"/>
      <c r="I871" s="28" t="n"/>
      <c r="J871" s="28" t="n"/>
      <c r="K871" s="28" t="n"/>
    </row>
    <row r="872" ht="12.75" customHeight="1">
      <c r="A872" s="28" t="n"/>
      <c r="B872" s="28" t="n"/>
      <c r="C872" s="28" t="n"/>
      <c r="D872" s="28" t="n"/>
      <c r="E872" s="28" t="n"/>
      <c r="F872" s="28" t="n"/>
      <c r="G872" s="28" t="n"/>
      <c r="H872" s="28" t="n"/>
      <c r="I872" s="28" t="n"/>
      <c r="J872" s="28" t="n"/>
      <c r="K872" s="28" t="n"/>
    </row>
    <row r="873" ht="12.75" customHeight="1">
      <c r="A873" s="28" t="n"/>
      <c r="B873" s="28" t="n"/>
      <c r="C873" s="28" t="n"/>
      <c r="D873" s="28" t="n"/>
      <c r="E873" s="28" t="n"/>
      <c r="F873" s="28" t="n"/>
      <c r="G873" s="28" t="n"/>
      <c r="H873" s="28" t="n"/>
      <c r="I873" s="28" t="n"/>
      <c r="J873" s="28" t="n"/>
      <c r="K873" s="28" t="n"/>
    </row>
    <row r="874" ht="12.75" customHeight="1">
      <c r="A874" s="28" t="n"/>
      <c r="B874" s="28" t="n"/>
      <c r="C874" s="28" t="n"/>
      <c r="D874" s="28" t="n"/>
      <c r="E874" s="28" t="n"/>
      <c r="F874" s="28" t="n"/>
      <c r="G874" s="28" t="n"/>
      <c r="H874" s="28" t="n"/>
      <c r="I874" s="28" t="n"/>
      <c r="J874" s="28" t="n"/>
      <c r="K874" s="28" t="n"/>
    </row>
    <row r="875" ht="12.75" customHeight="1">
      <c r="A875" s="28" t="n"/>
      <c r="B875" s="28" t="n"/>
      <c r="C875" s="28" t="n"/>
      <c r="D875" s="28" t="n"/>
      <c r="E875" s="28" t="n"/>
      <c r="F875" s="28" t="n"/>
      <c r="G875" s="28" t="n"/>
      <c r="H875" s="28" t="n"/>
      <c r="I875" s="28" t="n"/>
      <c r="J875" s="28" t="n"/>
      <c r="K875" s="28" t="n"/>
    </row>
    <row r="876" ht="12.75" customHeight="1">
      <c r="A876" s="28" t="n"/>
      <c r="B876" s="28" t="n"/>
      <c r="C876" s="28" t="n"/>
      <c r="D876" s="28" t="n"/>
      <c r="E876" s="28" t="n"/>
      <c r="F876" s="28" t="n"/>
      <c r="G876" s="28" t="n"/>
      <c r="H876" s="28" t="n"/>
      <c r="I876" s="28" t="n"/>
      <c r="J876" s="28" t="n"/>
      <c r="K876" s="28" t="n"/>
    </row>
    <row r="877" ht="12.75" customHeight="1">
      <c r="A877" s="28" t="n"/>
      <c r="B877" s="28" t="n"/>
      <c r="C877" s="28" t="n"/>
      <c r="D877" s="28" t="n"/>
      <c r="E877" s="28" t="n"/>
      <c r="F877" s="28" t="n"/>
      <c r="G877" s="28" t="n"/>
      <c r="H877" s="28" t="n"/>
      <c r="I877" s="28" t="n"/>
      <c r="J877" s="28" t="n"/>
      <c r="K877" s="28" t="n"/>
    </row>
    <row r="878" ht="12.75" customHeight="1">
      <c r="A878" s="28" t="n"/>
      <c r="B878" s="28" t="n"/>
      <c r="C878" s="28" t="n"/>
      <c r="D878" s="28" t="n"/>
      <c r="E878" s="28" t="n"/>
      <c r="F878" s="28" t="n"/>
      <c r="G878" s="28" t="n"/>
      <c r="H878" s="28" t="n"/>
      <c r="I878" s="28" t="n"/>
      <c r="J878" s="28" t="n"/>
      <c r="K878" s="28" t="n"/>
    </row>
    <row r="879" ht="12.75" customHeight="1">
      <c r="A879" s="28" t="n"/>
      <c r="B879" s="28" t="n"/>
      <c r="C879" s="28" t="n"/>
      <c r="D879" s="28" t="n"/>
      <c r="E879" s="28" t="n"/>
      <c r="F879" s="28" t="n"/>
      <c r="G879" s="28" t="n"/>
      <c r="H879" s="28" t="n"/>
      <c r="I879" s="28" t="n"/>
      <c r="J879" s="28" t="n"/>
      <c r="K879" s="28" t="n"/>
    </row>
    <row r="880" ht="12.75" customHeight="1">
      <c r="A880" s="28" t="n"/>
      <c r="B880" s="28" t="n"/>
      <c r="C880" s="28" t="n"/>
      <c r="D880" s="28" t="n"/>
      <c r="E880" s="28" t="n"/>
      <c r="F880" s="28" t="n"/>
      <c r="G880" s="28" t="n"/>
      <c r="H880" s="28" t="n"/>
      <c r="I880" s="28" t="n"/>
      <c r="J880" s="28" t="n"/>
      <c r="K880" s="28" t="n"/>
    </row>
    <row r="881" ht="12.75" customHeight="1">
      <c r="A881" s="28" t="n"/>
      <c r="B881" s="28" t="n"/>
      <c r="C881" s="28" t="n"/>
      <c r="D881" s="28" t="n"/>
      <c r="E881" s="28" t="n"/>
      <c r="F881" s="28" t="n"/>
      <c r="G881" s="28" t="n"/>
      <c r="H881" s="28" t="n"/>
      <c r="I881" s="28" t="n"/>
      <c r="J881" s="28" t="n"/>
      <c r="K881" s="28" t="n"/>
    </row>
    <row r="882" ht="12.75" customHeight="1">
      <c r="A882" s="28" t="n"/>
      <c r="B882" s="28" t="n"/>
      <c r="C882" s="28" t="n"/>
      <c r="D882" s="28" t="n"/>
      <c r="E882" s="28" t="n"/>
      <c r="F882" s="28" t="n"/>
      <c r="G882" s="28" t="n"/>
      <c r="H882" s="28" t="n"/>
      <c r="I882" s="28" t="n"/>
      <c r="J882" s="28" t="n"/>
      <c r="K882" s="28" t="n"/>
    </row>
    <row r="883" ht="12.75" customHeight="1">
      <c r="A883" s="28" t="n"/>
      <c r="B883" s="28" t="n"/>
      <c r="C883" s="28" t="n"/>
      <c r="D883" s="28" t="n"/>
      <c r="E883" s="28" t="n"/>
      <c r="F883" s="28" t="n"/>
      <c r="G883" s="28" t="n"/>
      <c r="H883" s="28" t="n"/>
      <c r="I883" s="28" t="n"/>
      <c r="J883" s="28" t="n"/>
      <c r="K883" s="28" t="n"/>
    </row>
    <row r="884" ht="12.75" customHeight="1">
      <c r="A884" s="28" t="n"/>
      <c r="B884" s="28" t="n"/>
      <c r="C884" s="28" t="n"/>
      <c r="D884" s="28" t="n"/>
      <c r="E884" s="28" t="n"/>
      <c r="F884" s="28" t="n"/>
      <c r="G884" s="28" t="n"/>
      <c r="H884" s="28" t="n"/>
      <c r="I884" s="28" t="n"/>
      <c r="J884" s="28" t="n"/>
      <c r="K884" s="28" t="n"/>
    </row>
    <row r="885" ht="12.75" customHeight="1">
      <c r="A885" s="28" t="n"/>
      <c r="B885" s="28" t="n"/>
      <c r="C885" s="28" t="n"/>
      <c r="D885" s="28" t="n"/>
      <c r="E885" s="28" t="n"/>
      <c r="F885" s="28" t="n"/>
      <c r="G885" s="28" t="n"/>
      <c r="H885" s="28" t="n"/>
      <c r="I885" s="28" t="n"/>
      <c r="J885" s="28" t="n"/>
      <c r="K885" s="28" t="n"/>
    </row>
    <row r="886" ht="12.75" customHeight="1">
      <c r="A886" s="28" t="n"/>
      <c r="B886" s="28" t="n"/>
      <c r="C886" s="28" t="n"/>
      <c r="D886" s="28" t="n"/>
      <c r="E886" s="28" t="n"/>
      <c r="F886" s="28" t="n"/>
      <c r="G886" s="28" t="n"/>
      <c r="H886" s="28" t="n"/>
      <c r="I886" s="28" t="n"/>
      <c r="J886" s="28" t="n"/>
      <c r="K886" s="28" t="n"/>
    </row>
    <row r="887" ht="12.75" customHeight="1">
      <c r="A887" s="28" t="n"/>
      <c r="B887" s="28" t="n"/>
      <c r="C887" s="28" t="n"/>
      <c r="D887" s="28" t="n"/>
      <c r="E887" s="28" t="n"/>
      <c r="F887" s="28" t="n"/>
      <c r="G887" s="28" t="n"/>
      <c r="H887" s="28" t="n"/>
      <c r="I887" s="28" t="n"/>
      <c r="J887" s="28" t="n"/>
      <c r="K887" s="28" t="n"/>
    </row>
    <row r="888" ht="12.75" customHeight="1">
      <c r="A888" s="28" t="n"/>
      <c r="B888" s="28" t="n"/>
      <c r="C888" s="28" t="n"/>
      <c r="D888" s="28" t="n"/>
      <c r="E888" s="28" t="n"/>
      <c r="F888" s="28" t="n"/>
      <c r="G888" s="28" t="n"/>
      <c r="H888" s="28" t="n"/>
      <c r="I888" s="28" t="n"/>
      <c r="J888" s="28" t="n"/>
      <c r="K888" s="28" t="n"/>
    </row>
    <row r="889" ht="12.75" customHeight="1">
      <c r="A889" s="28" t="n"/>
      <c r="B889" s="28" t="n"/>
      <c r="C889" s="28" t="n"/>
      <c r="D889" s="28" t="n"/>
      <c r="E889" s="28" t="n"/>
      <c r="F889" s="28" t="n"/>
      <c r="G889" s="28" t="n"/>
      <c r="H889" s="28" t="n"/>
      <c r="I889" s="28" t="n"/>
      <c r="J889" s="28" t="n"/>
      <c r="K889" s="28" t="n"/>
    </row>
    <row r="890" ht="12.75" customHeight="1">
      <c r="A890" s="28" t="n"/>
      <c r="B890" s="28" t="n"/>
      <c r="C890" s="28" t="n"/>
      <c r="D890" s="28" t="n"/>
      <c r="E890" s="28" t="n"/>
      <c r="F890" s="28" t="n"/>
      <c r="G890" s="28" t="n"/>
      <c r="H890" s="28" t="n"/>
      <c r="I890" s="28" t="n"/>
      <c r="J890" s="28" t="n"/>
      <c r="K890" s="28" t="n"/>
    </row>
    <row r="891" ht="12.75" customHeight="1">
      <c r="A891" s="28" t="n"/>
      <c r="B891" s="28" t="n"/>
      <c r="C891" s="28" t="n"/>
      <c r="D891" s="28" t="n"/>
      <c r="E891" s="28" t="n"/>
      <c r="F891" s="28" t="n"/>
      <c r="G891" s="28" t="n"/>
      <c r="H891" s="28" t="n"/>
      <c r="I891" s="28" t="n"/>
      <c r="J891" s="28" t="n"/>
      <c r="K891" s="28" t="n"/>
    </row>
    <row r="892" ht="12.75" customHeight="1">
      <c r="A892" s="28" t="n"/>
      <c r="B892" s="28" t="n"/>
      <c r="C892" s="28" t="n"/>
      <c r="D892" s="28" t="n"/>
      <c r="E892" s="28" t="n"/>
      <c r="F892" s="28" t="n"/>
      <c r="G892" s="28" t="n"/>
      <c r="H892" s="28" t="n"/>
      <c r="I892" s="28" t="n"/>
      <c r="J892" s="28" t="n"/>
      <c r="K892" s="28" t="n"/>
    </row>
    <row r="893" ht="12.75" customHeight="1">
      <c r="A893" s="28" t="n"/>
      <c r="B893" s="28" t="n"/>
      <c r="C893" s="28" t="n"/>
      <c r="D893" s="28" t="n"/>
      <c r="E893" s="28" t="n"/>
      <c r="F893" s="28" t="n"/>
      <c r="G893" s="28" t="n"/>
      <c r="H893" s="28" t="n"/>
      <c r="I893" s="28" t="n"/>
      <c r="J893" s="28" t="n"/>
      <c r="K893" s="28" t="n"/>
    </row>
    <row r="894" ht="12.75" customHeight="1">
      <c r="A894" s="28" t="n"/>
      <c r="B894" s="28" t="n"/>
      <c r="C894" s="28" t="n"/>
      <c r="D894" s="28" t="n"/>
      <c r="E894" s="28" t="n"/>
      <c r="F894" s="28" t="n"/>
      <c r="G894" s="28" t="n"/>
      <c r="H894" s="28" t="n"/>
      <c r="I894" s="28" t="n"/>
      <c r="J894" s="28" t="n"/>
      <c r="K894" s="28" t="n"/>
    </row>
    <row r="895" ht="12.75" customHeight="1">
      <c r="A895" s="28" t="n"/>
      <c r="B895" s="28" t="n"/>
      <c r="C895" s="28" t="n"/>
      <c r="D895" s="28" t="n"/>
      <c r="E895" s="28" t="n"/>
      <c r="F895" s="28" t="n"/>
      <c r="G895" s="28" t="n"/>
      <c r="H895" s="28" t="n"/>
      <c r="I895" s="28" t="n"/>
      <c r="J895" s="28" t="n"/>
      <c r="K895" s="28" t="n"/>
    </row>
    <row r="896" ht="12.75" customHeight="1">
      <c r="A896" s="28" t="n"/>
      <c r="B896" s="28" t="n"/>
      <c r="C896" s="28" t="n"/>
      <c r="D896" s="28" t="n"/>
      <c r="E896" s="28" t="n"/>
      <c r="F896" s="28" t="n"/>
      <c r="G896" s="28" t="n"/>
      <c r="H896" s="28" t="n"/>
      <c r="I896" s="28" t="n"/>
      <c r="J896" s="28" t="n"/>
      <c r="K896" s="28" t="n"/>
    </row>
    <row r="897" ht="12.75" customHeight="1">
      <c r="A897" s="28" t="n"/>
      <c r="B897" s="28" t="n"/>
      <c r="C897" s="28" t="n"/>
      <c r="D897" s="28" t="n"/>
      <c r="E897" s="28" t="n"/>
      <c r="F897" s="28" t="n"/>
      <c r="G897" s="28" t="n"/>
      <c r="H897" s="28" t="n"/>
      <c r="I897" s="28" t="n"/>
      <c r="J897" s="28" t="n"/>
      <c r="K897" s="28" t="n"/>
    </row>
    <row r="898" ht="12.75" customHeight="1">
      <c r="A898" s="28" t="n"/>
      <c r="B898" s="28" t="n"/>
      <c r="C898" s="28" t="n"/>
      <c r="D898" s="28" t="n"/>
      <c r="E898" s="28" t="n"/>
      <c r="F898" s="28" t="n"/>
      <c r="G898" s="28" t="n"/>
      <c r="H898" s="28" t="n"/>
      <c r="I898" s="28" t="n"/>
      <c r="J898" s="28" t="n"/>
      <c r="K898" s="28" t="n"/>
    </row>
    <row r="899" ht="12.75" customHeight="1">
      <c r="A899" s="28" t="n"/>
      <c r="B899" s="28" t="n"/>
      <c r="C899" s="28" t="n"/>
      <c r="D899" s="28" t="n"/>
      <c r="E899" s="28" t="n"/>
      <c r="F899" s="28" t="n"/>
      <c r="G899" s="28" t="n"/>
      <c r="H899" s="28" t="n"/>
      <c r="I899" s="28" t="n"/>
      <c r="J899" s="28" t="n"/>
      <c r="K899" s="28" t="n"/>
    </row>
    <row r="900" ht="12.75" customHeight="1">
      <c r="A900" s="28" t="n"/>
      <c r="B900" s="28" t="n"/>
      <c r="C900" s="28" t="n"/>
      <c r="D900" s="28" t="n"/>
      <c r="E900" s="28" t="n"/>
      <c r="F900" s="28" t="n"/>
      <c r="G900" s="28" t="n"/>
      <c r="H900" s="28" t="n"/>
      <c r="I900" s="28" t="n"/>
      <c r="J900" s="28" t="n"/>
      <c r="K900" s="28" t="n"/>
    </row>
    <row r="901" ht="12.75" customHeight="1">
      <c r="A901" s="28" t="n"/>
      <c r="B901" s="28" t="n"/>
      <c r="C901" s="28" t="n"/>
      <c r="D901" s="28" t="n"/>
      <c r="E901" s="28" t="n"/>
      <c r="F901" s="28" t="n"/>
      <c r="G901" s="28" t="n"/>
      <c r="H901" s="28" t="n"/>
      <c r="I901" s="28" t="n"/>
      <c r="J901" s="28" t="n"/>
      <c r="K901" s="28" t="n"/>
    </row>
    <row r="902" ht="12.75" customHeight="1">
      <c r="A902" s="28" t="n"/>
      <c r="B902" s="28" t="n"/>
      <c r="C902" s="28" t="n"/>
      <c r="D902" s="28" t="n"/>
      <c r="E902" s="28" t="n"/>
      <c r="F902" s="28" t="n"/>
      <c r="G902" s="28" t="n"/>
      <c r="H902" s="28" t="n"/>
      <c r="I902" s="28" t="n"/>
      <c r="J902" s="28" t="n"/>
      <c r="K902" s="28" t="n"/>
    </row>
    <row r="903" ht="12.75" customHeight="1">
      <c r="A903" s="28" t="n"/>
      <c r="B903" s="28" t="n"/>
      <c r="C903" s="28" t="n"/>
      <c r="D903" s="28" t="n"/>
      <c r="E903" s="28" t="n"/>
      <c r="F903" s="28" t="n"/>
      <c r="G903" s="28" t="n"/>
      <c r="H903" s="28" t="n"/>
      <c r="I903" s="28" t="n"/>
      <c r="J903" s="28" t="n"/>
      <c r="K903" s="28" t="n"/>
    </row>
    <row r="904" ht="12.75" customHeight="1">
      <c r="A904" s="28" t="n"/>
      <c r="B904" s="28" t="n"/>
      <c r="C904" s="28" t="n"/>
      <c r="D904" s="28" t="n"/>
      <c r="E904" s="28" t="n"/>
      <c r="F904" s="28" t="n"/>
      <c r="G904" s="28" t="n"/>
      <c r="H904" s="28" t="n"/>
      <c r="I904" s="28" t="n"/>
      <c r="J904" s="28" t="n"/>
      <c r="K904" s="28" t="n"/>
    </row>
    <row r="905" ht="12.75" customHeight="1">
      <c r="A905" s="28" t="n"/>
      <c r="B905" s="28" t="n"/>
      <c r="C905" s="28" t="n"/>
      <c r="D905" s="28" t="n"/>
      <c r="E905" s="28" t="n"/>
      <c r="F905" s="28" t="n"/>
      <c r="G905" s="28" t="n"/>
      <c r="H905" s="28" t="n"/>
      <c r="I905" s="28" t="n"/>
      <c r="J905" s="28" t="n"/>
      <c r="K905" s="28" t="n"/>
    </row>
    <row r="906" ht="12.75" customHeight="1">
      <c r="A906" s="28" t="n"/>
      <c r="B906" s="28" t="n"/>
      <c r="C906" s="28" t="n"/>
      <c r="D906" s="28" t="n"/>
      <c r="E906" s="28" t="n"/>
      <c r="F906" s="28" t="n"/>
      <c r="G906" s="28" t="n"/>
      <c r="H906" s="28" t="n"/>
      <c r="I906" s="28" t="n"/>
      <c r="J906" s="28" t="n"/>
      <c r="K906" s="28" t="n"/>
    </row>
    <row r="907" ht="12.75" customHeight="1">
      <c r="A907" s="28" t="n"/>
      <c r="B907" s="28" t="n"/>
      <c r="C907" s="28" t="n"/>
      <c r="D907" s="28" t="n"/>
      <c r="E907" s="28" t="n"/>
      <c r="F907" s="28" t="n"/>
      <c r="G907" s="28" t="n"/>
      <c r="H907" s="28" t="n"/>
      <c r="I907" s="28" t="n"/>
      <c r="J907" s="28" t="n"/>
      <c r="K907" s="28" t="n"/>
    </row>
    <row r="908" ht="12.75" customHeight="1">
      <c r="A908" s="28" t="n"/>
      <c r="B908" s="28" t="n"/>
      <c r="C908" s="28" t="n"/>
      <c r="D908" s="28" t="n"/>
      <c r="E908" s="28" t="n"/>
      <c r="F908" s="28" t="n"/>
      <c r="G908" s="28" t="n"/>
      <c r="H908" s="28" t="n"/>
      <c r="I908" s="28" t="n"/>
      <c r="J908" s="28" t="n"/>
      <c r="K908" s="28" t="n"/>
    </row>
    <row r="909" ht="12.75" customHeight="1">
      <c r="A909" s="28" t="n"/>
      <c r="B909" s="28" t="n"/>
      <c r="C909" s="28" t="n"/>
      <c r="D909" s="28" t="n"/>
      <c r="E909" s="28" t="n"/>
      <c r="F909" s="28" t="n"/>
      <c r="G909" s="28" t="n"/>
      <c r="H909" s="28" t="n"/>
      <c r="I909" s="28" t="n"/>
      <c r="J909" s="28" t="n"/>
      <c r="K909" s="28" t="n"/>
    </row>
    <row r="910" ht="12.75" customHeight="1">
      <c r="A910" s="28" t="n"/>
      <c r="B910" s="28" t="n"/>
      <c r="C910" s="28" t="n"/>
      <c r="D910" s="28" t="n"/>
      <c r="E910" s="28" t="n"/>
      <c r="F910" s="28" t="n"/>
      <c r="G910" s="28" t="n"/>
      <c r="H910" s="28" t="n"/>
      <c r="I910" s="28" t="n"/>
      <c r="J910" s="28" t="n"/>
      <c r="K910" s="28" t="n"/>
    </row>
    <row r="911" ht="12.75" customHeight="1">
      <c r="A911" s="28" t="n"/>
      <c r="B911" s="28" t="n"/>
      <c r="C911" s="28" t="n"/>
      <c r="D911" s="28" t="n"/>
      <c r="E911" s="28" t="n"/>
      <c r="F911" s="28" t="n"/>
      <c r="G911" s="28" t="n"/>
      <c r="H911" s="28" t="n"/>
      <c r="I911" s="28" t="n"/>
      <c r="J911" s="28" t="n"/>
      <c r="K911" s="28" t="n"/>
    </row>
    <row r="912" ht="12.75" customHeight="1">
      <c r="A912" s="28" t="n"/>
      <c r="B912" s="28" t="n"/>
      <c r="C912" s="28" t="n"/>
      <c r="D912" s="28" t="n"/>
      <c r="E912" s="28" t="n"/>
      <c r="F912" s="28" t="n"/>
      <c r="G912" s="28" t="n"/>
      <c r="H912" s="28" t="n"/>
      <c r="I912" s="28" t="n"/>
      <c r="J912" s="28" t="n"/>
      <c r="K912" s="28" t="n"/>
    </row>
    <row r="913" ht="12.75" customHeight="1">
      <c r="A913" s="28" t="n"/>
      <c r="B913" s="28" t="n"/>
      <c r="C913" s="28" t="n"/>
      <c r="D913" s="28" t="n"/>
      <c r="E913" s="28" t="n"/>
      <c r="F913" s="28" t="n"/>
      <c r="G913" s="28" t="n"/>
      <c r="H913" s="28" t="n"/>
      <c r="I913" s="28" t="n"/>
      <c r="J913" s="28" t="n"/>
      <c r="K913" s="28" t="n"/>
    </row>
    <row r="914" ht="12.75" customHeight="1">
      <c r="A914" s="28" t="n"/>
      <c r="B914" s="28" t="n"/>
      <c r="C914" s="28" t="n"/>
      <c r="D914" s="28" t="n"/>
      <c r="E914" s="28" t="n"/>
      <c r="F914" s="28" t="n"/>
      <c r="G914" s="28" t="n"/>
      <c r="H914" s="28" t="n"/>
      <c r="I914" s="28" t="n"/>
      <c r="J914" s="28" t="n"/>
      <c r="K914" s="28" t="n"/>
    </row>
    <row r="915" ht="12.75" customHeight="1">
      <c r="A915" s="28" t="n"/>
      <c r="B915" s="28" t="n"/>
      <c r="C915" s="28" t="n"/>
      <c r="D915" s="28" t="n"/>
      <c r="E915" s="28" t="n"/>
      <c r="F915" s="28" t="n"/>
      <c r="G915" s="28" t="n"/>
      <c r="H915" s="28" t="n"/>
      <c r="I915" s="28" t="n"/>
      <c r="J915" s="28" t="n"/>
      <c r="K915" s="28" t="n"/>
    </row>
    <row r="916" ht="12.75" customHeight="1">
      <c r="A916" s="28" t="n"/>
      <c r="B916" s="28" t="n"/>
      <c r="C916" s="28" t="n"/>
      <c r="D916" s="28" t="n"/>
      <c r="E916" s="28" t="n"/>
      <c r="F916" s="28" t="n"/>
      <c r="G916" s="28" t="n"/>
      <c r="H916" s="28" t="n"/>
      <c r="I916" s="28" t="n"/>
      <c r="J916" s="28" t="n"/>
      <c r="K916" s="28" t="n"/>
    </row>
    <row r="917" ht="12.75" customHeight="1">
      <c r="A917" s="28" t="n"/>
      <c r="B917" s="28" t="n"/>
      <c r="C917" s="28" t="n"/>
      <c r="D917" s="28" t="n"/>
      <c r="E917" s="28" t="n"/>
      <c r="F917" s="28" t="n"/>
      <c r="G917" s="28" t="n"/>
      <c r="H917" s="28" t="n"/>
      <c r="I917" s="28" t="n"/>
      <c r="J917" s="28" t="n"/>
      <c r="K917" s="28" t="n"/>
    </row>
    <row r="918" ht="12.75" customHeight="1">
      <c r="A918" s="28" t="n"/>
      <c r="B918" s="28" t="n"/>
      <c r="C918" s="28" t="n"/>
      <c r="D918" s="28" t="n"/>
      <c r="E918" s="28" t="n"/>
      <c r="F918" s="28" t="n"/>
      <c r="G918" s="28" t="n"/>
      <c r="H918" s="28" t="n"/>
      <c r="I918" s="28" t="n"/>
      <c r="J918" s="28" t="n"/>
      <c r="K918" s="28" t="n"/>
    </row>
    <row r="919" ht="12.75" customHeight="1">
      <c r="A919" s="28" t="n"/>
      <c r="B919" s="28" t="n"/>
      <c r="C919" s="28" t="n"/>
      <c r="D919" s="28" t="n"/>
      <c r="E919" s="28" t="n"/>
      <c r="F919" s="28" t="n"/>
      <c r="G919" s="28" t="n"/>
      <c r="H919" s="28" t="n"/>
      <c r="I919" s="28" t="n"/>
      <c r="J919" s="28" t="n"/>
      <c r="K919" s="28" t="n"/>
    </row>
    <row r="920" ht="12.75" customHeight="1">
      <c r="A920" s="28" t="n"/>
      <c r="B920" s="28" t="n"/>
      <c r="C920" s="28" t="n"/>
      <c r="D920" s="28" t="n"/>
      <c r="E920" s="28" t="n"/>
      <c r="F920" s="28" t="n"/>
      <c r="G920" s="28" t="n"/>
      <c r="H920" s="28" t="n"/>
      <c r="I920" s="28" t="n"/>
      <c r="J920" s="28" t="n"/>
      <c r="K920" s="28" t="n"/>
    </row>
    <row r="921" ht="12.75" customHeight="1">
      <c r="A921" s="28" t="n"/>
      <c r="B921" s="28" t="n"/>
      <c r="C921" s="28" t="n"/>
      <c r="D921" s="28" t="n"/>
      <c r="E921" s="28" t="n"/>
      <c r="F921" s="28" t="n"/>
      <c r="G921" s="28" t="n"/>
      <c r="H921" s="28" t="n"/>
      <c r="I921" s="28" t="n"/>
      <c r="J921" s="28" t="n"/>
      <c r="K921" s="28" t="n"/>
    </row>
    <row r="922" ht="12.75" customHeight="1">
      <c r="A922" s="28" t="n"/>
      <c r="B922" s="28" t="n"/>
      <c r="C922" s="28" t="n"/>
      <c r="D922" s="28" t="n"/>
      <c r="E922" s="28" t="n"/>
      <c r="F922" s="28" t="n"/>
      <c r="G922" s="28" t="n"/>
      <c r="H922" s="28" t="n"/>
      <c r="I922" s="28" t="n"/>
      <c r="J922" s="28" t="n"/>
      <c r="K922" s="28" t="n"/>
    </row>
    <row r="923" ht="12.75" customHeight="1">
      <c r="A923" s="28" t="n"/>
      <c r="B923" s="28" t="n"/>
      <c r="C923" s="28" t="n"/>
      <c r="D923" s="28" t="n"/>
      <c r="E923" s="28" t="n"/>
      <c r="F923" s="28" t="n"/>
      <c r="G923" s="28" t="n"/>
      <c r="H923" s="28" t="n"/>
      <c r="I923" s="28" t="n"/>
      <c r="J923" s="28" t="n"/>
      <c r="K923" s="28" t="n"/>
    </row>
    <row r="924" ht="12.75" customHeight="1">
      <c r="A924" s="28" t="n"/>
      <c r="B924" s="28" t="n"/>
      <c r="C924" s="28" t="n"/>
      <c r="D924" s="28" t="n"/>
      <c r="E924" s="28" t="n"/>
      <c r="F924" s="28" t="n"/>
      <c r="G924" s="28" t="n"/>
      <c r="H924" s="28" t="n"/>
      <c r="I924" s="28" t="n"/>
      <c r="J924" s="28" t="n"/>
      <c r="K924" s="28" t="n"/>
    </row>
    <row r="925" ht="12.75" customHeight="1">
      <c r="A925" s="28" t="n"/>
      <c r="B925" s="28" t="n"/>
      <c r="C925" s="28" t="n"/>
      <c r="D925" s="28" t="n"/>
      <c r="E925" s="28" t="n"/>
      <c r="F925" s="28" t="n"/>
      <c r="G925" s="28" t="n"/>
      <c r="H925" s="28" t="n"/>
      <c r="I925" s="28" t="n"/>
      <c r="J925" s="28" t="n"/>
      <c r="K925" s="28" t="n"/>
    </row>
    <row r="926" ht="12.75" customHeight="1">
      <c r="A926" s="28" t="n"/>
      <c r="B926" s="28" t="n"/>
      <c r="C926" s="28" t="n"/>
      <c r="D926" s="28" t="n"/>
      <c r="E926" s="28" t="n"/>
      <c r="F926" s="28" t="n"/>
      <c r="G926" s="28" t="n"/>
      <c r="H926" s="28" t="n"/>
      <c r="I926" s="28" t="n"/>
      <c r="J926" s="28" t="n"/>
      <c r="K926" s="28" t="n"/>
    </row>
    <row r="927" ht="12.75" customHeight="1">
      <c r="A927" s="28" t="n"/>
      <c r="B927" s="28" t="n"/>
      <c r="C927" s="28" t="n"/>
      <c r="D927" s="28" t="n"/>
      <c r="E927" s="28" t="n"/>
      <c r="F927" s="28" t="n"/>
      <c r="G927" s="28" t="n"/>
      <c r="H927" s="28" t="n"/>
      <c r="I927" s="28" t="n"/>
      <c r="J927" s="28" t="n"/>
      <c r="K927" s="28" t="n"/>
    </row>
    <row r="928" ht="12.75" customHeight="1">
      <c r="A928" s="28" t="n"/>
      <c r="B928" s="28" t="n"/>
      <c r="C928" s="28" t="n"/>
      <c r="D928" s="28" t="n"/>
      <c r="E928" s="28" t="n"/>
      <c r="F928" s="28" t="n"/>
      <c r="G928" s="28" t="n"/>
      <c r="H928" s="28" t="n"/>
      <c r="I928" s="28" t="n"/>
      <c r="J928" s="28" t="n"/>
      <c r="K928" s="28" t="n"/>
    </row>
    <row r="929" ht="12.75" customHeight="1">
      <c r="A929" s="28" t="n"/>
      <c r="B929" s="28" t="n"/>
      <c r="C929" s="28" t="n"/>
      <c r="D929" s="28" t="n"/>
      <c r="E929" s="28" t="n"/>
      <c r="F929" s="28" t="n"/>
      <c r="G929" s="28" t="n"/>
      <c r="H929" s="28" t="n"/>
      <c r="I929" s="28" t="n"/>
      <c r="J929" s="28" t="n"/>
      <c r="K929" s="28" t="n"/>
    </row>
    <row r="930" ht="12.75" customHeight="1">
      <c r="A930" s="28" t="n"/>
      <c r="B930" s="28" t="n"/>
      <c r="C930" s="28" t="n"/>
      <c r="D930" s="28" t="n"/>
      <c r="E930" s="28" t="n"/>
      <c r="F930" s="28" t="n"/>
      <c r="G930" s="28" t="n"/>
      <c r="H930" s="28" t="n"/>
      <c r="I930" s="28" t="n"/>
      <c r="J930" s="28" t="n"/>
      <c r="K930" s="28" t="n"/>
    </row>
    <row r="931" ht="12.75" customHeight="1">
      <c r="A931" s="28" t="n"/>
      <c r="B931" s="28" t="n"/>
      <c r="C931" s="28" t="n"/>
      <c r="D931" s="28" t="n"/>
      <c r="E931" s="28" t="n"/>
      <c r="F931" s="28" t="n"/>
      <c r="G931" s="28" t="n"/>
      <c r="H931" s="28" t="n"/>
      <c r="I931" s="28" t="n"/>
      <c r="J931" s="28" t="n"/>
      <c r="K931" s="28" t="n"/>
    </row>
    <row r="932" ht="12.75" customHeight="1">
      <c r="A932" s="28" t="n"/>
      <c r="B932" s="28" t="n"/>
      <c r="C932" s="28" t="n"/>
      <c r="D932" s="28" t="n"/>
      <c r="E932" s="28" t="n"/>
      <c r="F932" s="28" t="n"/>
      <c r="G932" s="28" t="n"/>
      <c r="H932" s="28" t="n"/>
      <c r="I932" s="28" t="n"/>
      <c r="J932" s="28" t="n"/>
      <c r="K932" s="28" t="n"/>
    </row>
    <row r="933" ht="12.75" customHeight="1">
      <c r="A933" s="28" t="n"/>
      <c r="B933" s="28" t="n"/>
      <c r="C933" s="28" t="n"/>
      <c r="D933" s="28" t="n"/>
      <c r="E933" s="28" t="n"/>
      <c r="F933" s="28" t="n"/>
      <c r="G933" s="28" t="n"/>
      <c r="H933" s="28" t="n"/>
      <c r="I933" s="28" t="n"/>
      <c r="J933" s="28" t="n"/>
      <c r="K933" s="28" t="n"/>
    </row>
    <row r="934" ht="12.75" customHeight="1">
      <c r="A934" s="28" t="n"/>
      <c r="B934" s="28" t="n"/>
      <c r="C934" s="28" t="n"/>
      <c r="D934" s="28" t="n"/>
      <c r="E934" s="28" t="n"/>
      <c r="F934" s="28" t="n"/>
      <c r="G934" s="28" t="n"/>
      <c r="H934" s="28" t="n"/>
      <c r="I934" s="28" t="n"/>
      <c r="J934" s="28" t="n"/>
      <c r="K934" s="28" t="n"/>
    </row>
    <row r="935" ht="12.75" customHeight="1">
      <c r="A935" s="28" t="n"/>
      <c r="B935" s="28" t="n"/>
      <c r="C935" s="28" t="n"/>
      <c r="D935" s="28" t="n"/>
      <c r="E935" s="28" t="n"/>
      <c r="F935" s="28" t="n"/>
      <c r="G935" s="28" t="n"/>
      <c r="H935" s="28" t="n"/>
      <c r="I935" s="28" t="n"/>
      <c r="J935" s="28" t="n"/>
      <c r="K935" s="28" t="n"/>
    </row>
    <row r="936" ht="12.75" customHeight="1">
      <c r="A936" s="28" t="n"/>
      <c r="B936" s="28" t="n"/>
      <c r="C936" s="28" t="n"/>
      <c r="D936" s="28" t="n"/>
      <c r="E936" s="28" t="n"/>
      <c r="F936" s="28" t="n"/>
      <c r="G936" s="28" t="n"/>
      <c r="H936" s="28" t="n"/>
      <c r="I936" s="28" t="n"/>
      <c r="J936" s="28" t="n"/>
      <c r="K936" s="28" t="n"/>
    </row>
    <row r="937" ht="12.75" customHeight="1">
      <c r="A937" s="28" t="n"/>
      <c r="B937" s="28" t="n"/>
      <c r="C937" s="28" t="n"/>
      <c r="D937" s="28" t="n"/>
      <c r="E937" s="28" t="n"/>
      <c r="F937" s="28" t="n"/>
      <c r="G937" s="28" t="n"/>
      <c r="H937" s="28" t="n"/>
      <c r="I937" s="28" t="n"/>
      <c r="J937" s="28" t="n"/>
      <c r="K937" s="28" t="n"/>
    </row>
    <row r="938" ht="12.75" customHeight="1">
      <c r="A938" s="28" t="n"/>
      <c r="B938" s="28" t="n"/>
      <c r="C938" s="28" t="n"/>
      <c r="D938" s="28" t="n"/>
      <c r="E938" s="28" t="n"/>
      <c r="F938" s="28" t="n"/>
      <c r="G938" s="28" t="n"/>
      <c r="H938" s="28" t="n"/>
      <c r="I938" s="28" t="n"/>
      <c r="J938" s="28" t="n"/>
      <c r="K938" s="28" t="n"/>
    </row>
    <row r="939" ht="12.75" customHeight="1">
      <c r="A939" s="28" t="n"/>
      <c r="B939" s="28" t="n"/>
      <c r="C939" s="28" t="n"/>
      <c r="D939" s="28" t="n"/>
      <c r="E939" s="28" t="n"/>
      <c r="F939" s="28" t="n"/>
      <c r="G939" s="28" t="n"/>
      <c r="H939" s="28" t="n"/>
      <c r="I939" s="28" t="n"/>
      <c r="J939" s="28" t="n"/>
      <c r="K939" s="28" t="n"/>
    </row>
    <row r="940" ht="12.75" customHeight="1">
      <c r="A940" s="28" t="n"/>
      <c r="B940" s="28" t="n"/>
      <c r="C940" s="28" t="n"/>
      <c r="D940" s="28" t="n"/>
      <c r="E940" s="28" t="n"/>
      <c r="F940" s="28" t="n"/>
      <c r="G940" s="28" t="n"/>
      <c r="H940" s="28" t="n"/>
      <c r="I940" s="28" t="n"/>
      <c r="J940" s="28" t="n"/>
      <c r="K940" s="28" t="n"/>
    </row>
    <row r="941" ht="12.75" customHeight="1">
      <c r="A941" s="28" t="n"/>
      <c r="B941" s="28" t="n"/>
      <c r="C941" s="28" t="n"/>
      <c r="D941" s="28" t="n"/>
      <c r="E941" s="28" t="n"/>
      <c r="F941" s="28" t="n"/>
      <c r="G941" s="28" t="n"/>
      <c r="H941" s="28" t="n"/>
      <c r="I941" s="28" t="n"/>
      <c r="J941" s="28" t="n"/>
      <c r="K941" s="28" t="n"/>
    </row>
    <row r="942" ht="12.75" customHeight="1">
      <c r="A942" s="28" t="n"/>
      <c r="B942" s="28" t="n"/>
      <c r="C942" s="28" t="n"/>
      <c r="D942" s="28" t="n"/>
      <c r="E942" s="28" t="n"/>
      <c r="F942" s="28" t="n"/>
      <c r="G942" s="28" t="n"/>
      <c r="H942" s="28" t="n"/>
      <c r="I942" s="28" t="n"/>
      <c r="J942" s="28" t="n"/>
      <c r="K942" s="28" t="n"/>
    </row>
    <row r="943" ht="12.75" customHeight="1">
      <c r="A943" s="28" t="n"/>
      <c r="B943" s="28" t="n"/>
      <c r="C943" s="28" t="n"/>
      <c r="D943" s="28" t="n"/>
      <c r="E943" s="28" t="n"/>
      <c r="F943" s="28" t="n"/>
      <c r="G943" s="28" t="n"/>
      <c r="H943" s="28" t="n"/>
      <c r="I943" s="28" t="n"/>
      <c r="J943" s="28" t="n"/>
      <c r="K943" s="28" t="n"/>
    </row>
    <row r="944" ht="12.75" customHeight="1">
      <c r="A944" s="28" t="n"/>
      <c r="B944" s="28" t="n"/>
      <c r="C944" s="28" t="n"/>
      <c r="D944" s="28" t="n"/>
      <c r="E944" s="28" t="n"/>
      <c r="F944" s="28" t="n"/>
      <c r="G944" s="28" t="n"/>
      <c r="H944" s="28" t="n"/>
      <c r="I944" s="28" t="n"/>
      <c r="J944" s="28" t="n"/>
      <c r="K944" s="28" t="n"/>
    </row>
    <row r="945" ht="12.75" customHeight="1">
      <c r="A945" s="28" t="n"/>
      <c r="B945" s="28" t="n"/>
      <c r="C945" s="28" t="n"/>
      <c r="D945" s="28" t="n"/>
      <c r="E945" s="28" t="n"/>
      <c r="F945" s="28" t="n"/>
      <c r="G945" s="28" t="n"/>
      <c r="H945" s="28" t="n"/>
      <c r="I945" s="28" t="n"/>
      <c r="J945" s="28" t="n"/>
      <c r="K945" s="28" t="n"/>
    </row>
    <row r="946" ht="12.75" customHeight="1">
      <c r="A946" s="28" t="n"/>
      <c r="B946" s="28" t="n"/>
      <c r="C946" s="28" t="n"/>
      <c r="D946" s="28" t="n"/>
      <c r="E946" s="28" t="n"/>
      <c r="F946" s="28" t="n"/>
      <c r="G946" s="28" t="n"/>
      <c r="H946" s="28" t="n"/>
      <c r="I946" s="28" t="n"/>
      <c r="J946" s="28" t="n"/>
      <c r="K946" s="28" t="n"/>
    </row>
    <row r="947" ht="12.75" customHeight="1">
      <c r="A947" s="28" t="n"/>
      <c r="B947" s="28" t="n"/>
      <c r="C947" s="28" t="n"/>
      <c r="D947" s="28" t="n"/>
      <c r="E947" s="28" t="n"/>
      <c r="F947" s="28" t="n"/>
      <c r="G947" s="28" t="n"/>
      <c r="H947" s="28" t="n"/>
      <c r="I947" s="28" t="n"/>
      <c r="J947" s="28" t="n"/>
      <c r="K947" s="28" t="n"/>
    </row>
    <row r="948" ht="12.75" customHeight="1">
      <c r="A948" s="28" t="n"/>
      <c r="B948" s="28" t="n"/>
      <c r="C948" s="28" t="n"/>
      <c r="D948" s="28" t="n"/>
      <c r="E948" s="28" t="n"/>
      <c r="F948" s="28" t="n"/>
      <c r="G948" s="28" t="n"/>
      <c r="H948" s="28" t="n"/>
      <c r="I948" s="28" t="n"/>
      <c r="J948" s="28" t="n"/>
      <c r="K948" s="28" t="n"/>
    </row>
    <row r="949" ht="12.75" customHeight="1">
      <c r="A949" s="28" t="n"/>
      <c r="B949" s="28" t="n"/>
      <c r="C949" s="28" t="n"/>
      <c r="D949" s="28" t="n"/>
      <c r="E949" s="28" t="n"/>
      <c r="F949" s="28" t="n"/>
      <c r="G949" s="28" t="n"/>
      <c r="H949" s="28" t="n"/>
      <c r="I949" s="28" t="n"/>
      <c r="J949" s="28" t="n"/>
      <c r="K949" s="28" t="n"/>
    </row>
    <row r="950" ht="12.75" customHeight="1">
      <c r="A950" s="28" t="n"/>
      <c r="B950" s="28" t="n"/>
      <c r="C950" s="28" t="n"/>
      <c r="D950" s="28" t="n"/>
      <c r="E950" s="28" t="n"/>
      <c r="F950" s="28" t="n"/>
      <c r="G950" s="28" t="n"/>
      <c r="H950" s="28" t="n"/>
      <c r="I950" s="28" t="n"/>
      <c r="J950" s="28" t="n"/>
      <c r="K950" s="28" t="n"/>
    </row>
    <row r="951" ht="12.75" customHeight="1">
      <c r="A951" s="28" t="n"/>
      <c r="B951" s="28" t="n"/>
      <c r="C951" s="28" t="n"/>
      <c r="D951" s="28" t="n"/>
      <c r="E951" s="28" t="n"/>
      <c r="F951" s="28" t="n"/>
      <c r="G951" s="28" t="n"/>
      <c r="H951" s="28" t="n"/>
      <c r="I951" s="28" t="n"/>
      <c r="J951" s="28" t="n"/>
      <c r="K951" s="28" t="n"/>
    </row>
    <row r="952" ht="12.75" customHeight="1">
      <c r="A952" s="28" t="n"/>
      <c r="B952" s="28" t="n"/>
      <c r="C952" s="28" t="n"/>
      <c r="D952" s="28" t="n"/>
      <c r="E952" s="28" t="n"/>
      <c r="F952" s="28" t="n"/>
      <c r="G952" s="28" t="n"/>
      <c r="H952" s="28" t="n"/>
      <c r="I952" s="28" t="n"/>
      <c r="J952" s="28" t="n"/>
      <c r="K952" s="28" t="n"/>
    </row>
    <row r="953" ht="12.75" customHeight="1">
      <c r="A953" s="28" t="n"/>
      <c r="B953" s="28" t="n"/>
      <c r="C953" s="28" t="n"/>
      <c r="D953" s="28" t="n"/>
      <c r="E953" s="28" t="n"/>
      <c r="F953" s="28" t="n"/>
      <c r="G953" s="28" t="n"/>
      <c r="H953" s="28" t="n"/>
      <c r="I953" s="28" t="n"/>
      <c r="J953" s="28" t="n"/>
      <c r="K953" s="28" t="n"/>
    </row>
    <row r="954" ht="12.75" customHeight="1">
      <c r="A954" s="28" t="n"/>
      <c r="B954" s="28" t="n"/>
      <c r="C954" s="28" t="n"/>
      <c r="D954" s="28" t="n"/>
      <c r="E954" s="28" t="n"/>
      <c r="F954" s="28" t="n"/>
      <c r="G954" s="28" t="n"/>
      <c r="H954" s="28" t="n"/>
      <c r="I954" s="28" t="n"/>
      <c r="J954" s="28" t="n"/>
      <c r="K954" s="28" t="n"/>
    </row>
    <row r="955" ht="12.75" customHeight="1">
      <c r="A955" s="28" t="n"/>
      <c r="B955" s="28" t="n"/>
      <c r="C955" s="28" t="n"/>
      <c r="D955" s="28" t="n"/>
      <c r="E955" s="28" t="n"/>
      <c r="F955" s="28" t="n"/>
      <c r="G955" s="28" t="n"/>
      <c r="H955" s="28" t="n"/>
      <c r="I955" s="28" t="n"/>
      <c r="J955" s="28" t="n"/>
      <c r="K955" s="28" t="n"/>
    </row>
    <row r="956" ht="12.75" customHeight="1">
      <c r="A956" s="28" t="n"/>
      <c r="B956" s="28" t="n"/>
      <c r="C956" s="28" t="n"/>
      <c r="D956" s="28" t="n"/>
      <c r="E956" s="28" t="n"/>
      <c r="F956" s="28" t="n"/>
      <c r="G956" s="28" t="n"/>
      <c r="H956" s="28" t="n"/>
      <c r="I956" s="28" t="n"/>
      <c r="J956" s="28" t="n"/>
      <c r="K956" s="28" t="n"/>
    </row>
    <row r="957" ht="12.75" customHeight="1">
      <c r="A957" s="28" t="n"/>
      <c r="B957" s="28" t="n"/>
      <c r="C957" s="28" t="n"/>
      <c r="D957" s="28" t="n"/>
      <c r="E957" s="28" t="n"/>
      <c r="F957" s="28" t="n"/>
      <c r="G957" s="28" t="n"/>
      <c r="H957" s="28" t="n"/>
      <c r="I957" s="28" t="n"/>
      <c r="J957" s="28" t="n"/>
      <c r="K957" s="28" t="n"/>
    </row>
    <row r="958" ht="12.75" customHeight="1">
      <c r="A958" s="28" t="n"/>
      <c r="B958" s="28" t="n"/>
      <c r="C958" s="28" t="n"/>
      <c r="D958" s="28" t="n"/>
      <c r="E958" s="28" t="n"/>
      <c r="F958" s="28" t="n"/>
      <c r="G958" s="28" t="n"/>
      <c r="H958" s="28" t="n"/>
      <c r="I958" s="28" t="n"/>
      <c r="J958" s="28" t="n"/>
      <c r="K958" s="28" t="n"/>
    </row>
    <row r="959" ht="12.75" customHeight="1">
      <c r="A959" s="28" t="n"/>
      <c r="B959" s="28" t="n"/>
      <c r="C959" s="28" t="n"/>
      <c r="D959" s="28" t="n"/>
      <c r="E959" s="28" t="n"/>
      <c r="F959" s="28" t="n"/>
      <c r="G959" s="28" t="n"/>
      <c r="H959" s="28" t="n"/>
      <c r="I959" s="28" t="n"/>
      <c r="J959" s="28" t="n"/>
      <c r="K959" s="28" t="n"/>
    </row>
    <row r="960" ht="12.75" customHeight="1">
      <c r="A960" s="28" t="n"/>
      <c r="B960" s="28" t="n"/>
      <c r="C960" s="28" t="n"/>
      <c r="D960" s="28" t="n"/>
      <c r="E960" s="28" t="n"/>
      <c r="F960" s="28" t="n"/>
      <c r="G960" s="28" t="n"/>
      <c r="H960" s="28" t="n"/>
      <c r="I960" s="28" t="n"/>
      <c r="J960" s="28" t="n"/>
      <c r="K960" s="28" t="n"/>
    </row>
    <row r="961" ht="12.75" customHeight="1">
      <c r="A961" s="28" t="n"/>
      <c r="B961" s="28" t="n"/>
      <c r="C961" s="28" t="n"/>
      <c r="D961" s="28" t="n"/>
      <c r="E961" s="28" t="n"/>
      <c r="F961" s="28" t="n"/>
      <c r="G961" s="28" t="n"/>
      <c r="H961" s="28" t="n"/>
      <c r="I961" s="28" t="n"/>
      <c r="J961" s="28" t="n"/>
      <c r="K961" s="28" t="n"/>
    </row>
    <row r="962" ht="12.75" customHeight="1">
      <c r="A962" s="28" t="n"/>
      <c r="B962" s="28" t="n"/>
      <c r="C962" s="28" t="n"/>
      <c r="D962" s="28" t="n"/>
      <c r="E962" s="28" t="n"/>
      <c r="F962" s="28" t="n"/>
      <c r="G962" s="28" t="n"/>
      <c r="H962" s="28" t="n"/>
      <c r="I962" s="28" t="n"/>
      <c r="J962" s="28" t="n"/>
      <c r="K962" s="28" t="n"/>
    </row>
    <row r="963" ht="12.75" customHeight="1">
      <c r="A963" s="28" t="n"/>
      <c r="B963" s="28" t="n"/>
      <c r="C963" s="28" t="n"/>
      <c r="D963" s="28" t="n"/>
      <c r="E963" s="28" t="n"/>
      <c r="F963" s="28" t="n"/>
      <c r="G963" s="28" t="n"/>
      <c r="H963" s="28" t="n"/>
      <c r="I963" s="28" t="n"/>
      <c r="J963" s="28" t="n"/>
      <c r="K963" s="28" t="n"/>
    </row>
    <row r="964" ht="12.75" customHeight="1">
      <c r="A964" s="28" t="n"/>
      <c r="B964" s="28" t="n"/>
      <c r="C964" s="28" t="n"/>
      <c r="D964" s="28" t="n"/>
      <c r="E964" s="28" t="n"/>
      <c r="F964" s="28" t="n"/>
      <c r="G964" s="28" t="n"/>
      <c r="H964" s="28" t="n"/>
      <c r="I964" s="28" t="n"/>
      <c r="J964" s="28" t="n"/>
      <c r="K964" s="28" t="n"/>
    </row>
    <row r="965" ht="12.75" customHeight="1">
      <c r="A965" s="28" t="n"/>
      <c r="B965" s="28" t="n"/>
      <c r="C965" s="28" t="n"/>
      <c r="D965" s="28" t="n"/>
      <c r="E965" s="28" t="n"/>
      <c r="F965" s="28" t="n"/>
      <c r="G965" s="28" t="n"/>
      <c r="H965" s="28" t="n"/>
      <c r="I965" s="28" t="n"/>
      <c r="J965" s="28" t="n"/>
      <c r="K965" s="28" t="n"/>
    </row>
    <row r="966" ht="12.75" customHeight="1">
      <c r="A966" s="28" t="n"/>
      <c r="B966" s="28" t="n"/>
      <c r="C966" s="28" t="n"/>
      <c r="D966" s="28" t="n"/>
      <c r="E966" s="28" t="n"/>
      <c r="F966" s="28" t="n"/>
      <c r="G966" s="28" t="n"/>
      <c r="H966" s="28" t="n"/>
      <c r="I966" s="28" t="n"/>
      <c r="J966" s="28" t="n"/>
      <c r="K966" s="28" t="n"/>
    </row>
    <row r="967" ht="12.75" customHeight="1">
      <c r="A967" s="28" t="n"/>
      <c r="B967" s="28" t="n"/>
      <c r="C967" s="28" t="n"/>
      <c r="D967" s="28" t="n"/>
      <c r="E967" s="28" t="n"/>
      <c r="F967" s="28" t="n"/>
      <c r="G967" s="28" t="n"/>
      <c r="H967" s="28" t="n"/>
      <c r="I967" s="28" t="n"/>
      <c r="J967" s="28" t="n"/>
      <c r="K967" s="28" t="n"/>
    </row>
    <row r="968" ht="12.75" customHeight="1">
      <c r="A968" s="28" t="n"/>
      <c r="B968" s="28" t="n"/>
      <c r="C968" s="28" t="n"/>
      <c r="D968" s="28" t="n"/>
      <c r="E968" s="28" t="n"/>
      <c r="F968" s="28" t="n"/>
      <c r="G968" s="28" t="n"/>
      <c r="H968" s="28" t="n"/>
      <c r="I968" s="28" t="n"/>
      <c r="J968" s="28" t="n"/>
      <c r="K968" s="28" t="n"/>
    </row>
    <row r="969" ht="12.75" customHeight="1">
      <c r="A969" s="28" t="n"/>
      <c r="B969" s="28" t="n"/>
      <c r="C969" s="28" t="n"/>
      <c r="D969" s="28" t="n"/>
      <c r="E969" s="28" t="n"/>
      <c r="F969" s="28" t="n"/>
      <c r="G969" s="28" t="n"/>
      <c r="H969" s="28" t="n"/>
      <c r="I969" s="28" t="n"/>
      <c r="J969" s="28" t="n"/>
      <c r="K969" s="28" t="n"/>
    </row>
    <row r="970" ht="12.75" customHeight="1">
      <c r="A970" s="28" t="n"/>
      <c r="B970" s="28" t="n"/>
      <c r="C970" s="28" t="n"/>
      <c r="D970" s="28" t="n"/>
      <c r="E970" s="28" t="n"/>
      <c r="F970" s="28" t="n"/>
      <c r="G970" s="28" t="n"/>
      <c r="H970" s="28" t="n"/>
      <c r="I970" s="28" t="n"/>
      <c r="J970" s="28" t="n"/>
      <c r="K970" s="28" t="n"/>
    </row>
    <row r="971" ht="12.75" customHeight="1">
      <c r="A971" s="28" t="n"/>
      <c r="B971" s="28" t="n"/>
      <c r="C971" s="28" t="n"/>
      <c r="D971" s="28" t="n"/>
      <c r="E971" s="28" t="n"/>
      <c r="F971" s="28" t="n"/>
      <c r="G971" s="28" t="n"/>
      <c r="H971" s="28" t="n"/>
      <c r="I971" s="28" t="n"/>
      <c r="J971" s="28" t="n"/>
      <c r="K971" s="28" t="n"/>
    </row>
    <row r="972" ht="12.75" customHeight="1">
      <c r="A972" s="28" t="n"/>
      <c r="B972" s="28" t="n"/>
      <c r="C972" s="28" t="n"/>
      <c r="D972" s="28" t="n"/>
      <c r="E972" s="28" t="n"/>
      <c r="F972" s="28" t="n"/>
      <c r="G972" s="28" t="n"/>
      <c r="H972" s="28" t="n"/>
      <c r="I972" s="28" t="n"/>
      <c r="J972" s="28" t="n"/>
      <c r="K972" s="28" t="n"/>
    </row>
    <row r="973" ht="12.75" customHeight="1">
      <c r="A973" s="28" t="n"/>
      <c r="B973" s="28" t="n"/>
      <c r="C973" s="28" t="n"/>
      <c r="D973" s="28" t="n"/>
      <c r="E973" s="28" t="n"/>
      <c r="F973" s="28" t="n"/>
      <c r="G973" s="28" t="n"/>
      <c r="H973" s="28" t="n"/>
      <c r="I973" s="28" t="n"/>
      <c r="J973" s="28" t="n"/>
      <c r="K973" s="28" t="n"/>
    </row>
    <row r="974" ht="12.75" customHeight="1">
      <c r="A974" s="28" t="n"/>
      <c r="B974" s="28" t="n"/>
      <c r="C974" s="28" t="n"/>
      <c r="D974" s="28" t="n"/>
      <c r="E974" s="28" t="n"/>
      <c r="F974" s="28" t="n"/>
      <c r="G974" s="28" t="n"/>
      <c r="H974" s="28" t="n"/>
      <c r="I974" s="28" t="n"/>
      <c r="J974" s="28" t="n"/>
      <c r="K974" s="28" t="n"/>
    </row>
    <row r="975" ht="12.75" customHeight="1">
      <c r="A975" s="28" t="n"/>
      <c r="B975" s="28" t="n"/>
      <c r="C975" s="28" t="n"/>
      <c r="D975" s="28" t="n"/>
      <c r="E975" s="28" t="n"/>
      <c r="F975" s="28" t="n"/>
      <c r="G975" s="28" t="n"/>
      <c r="H975" s="28" t="n"/>
      <c r="I975" s="28" t="n"/>
      <c r="J975" s="28" t="n"/>
      <c r="K975" s="28" t="n"/>
    </row>
    <row r="976" ht="12.75" customHeight="1">
      <c r="A976" s="28" t="n"/>
      <c r="B976" s="28" t="n"/>
      <c r="C976" s="28" t="n"/>
      <c r="D976" s="28" t="n"/>
      <c r="E976" s="28" t="n"/>
      <c r="F976" s="28" t="n"/>
      <c r="G976" s="28" t="n"/>
      <c r="H976" s="28" t="n"/>
      <c r="I976" s="28" t="n"/>
      <c r="J976" s="28" t="n"/>
      <c r="K976" s="28" t="n"/>
    </row>
    <row r="977" ht="12.75" customHeight="1">
      <c r="A977" s="28" t="n"/>
      <c r="B977" s="28" t="n"/>
      <c r="C977" s="28" t="n"/>
      <c r="D977" s="28" t="n"/>
      <c r="E977" s="28" t="n"/>
      <c r="F977" s="28" t="n"/>
      <c r="G977" s="28" t="n"/>
      <c r="H977" s="28" t="n"/>
      <c r="I977" s="28" t="n"/>
      <c r="J977" s="28" t="n"/>
      <c r="K977" s="28" t="n"/>
    </row>
    <row r="978" ht="12.75" customHeight="1">
      <c r="A978" s="28" t="n"/>
      <c r="B978" s="28" t="n"/>
      <c r="C978" s="28" t="n"/>
      <c r="D978" s="28" t="n"/>
      <c r="E978" s="28" t="n"/>
      <c r="F978" s="28" t="n"/>
      <c r="G978" s="28" t="n"/>
      <c r="H978" s="28" t="n"/>
      <c r="I978" s="28" t="n"/>
      <c r="J978" s="28" t="n"/>
      <c r="K978" s="28" t="n"/>
    </row>
    <row r="979" ht="12.75" customHeight="1">
      <c r="A979" s="28" t="n"/>
      <c r="B979" s="28" t="n"/>
      <c r="C979" s="28" t="n"/>
      <c r="D979" s="28" t="n"/>
      <c r="E979" s="28" t="n"/>
      <c r="F979" s="28" t="n"/>
      <c r="G979" s="28" t="n"/>
      <c r="H979" s="28" t="n"/>
      <c r="I979" s="28" t="n"/>
      <c r="J979" s="28" t="n"/>
      <c r="K979" s="28" t="n"/>
    </row>
    <row r="980" ht="12.75" customHeight="1">
      <c r="A980" s="28" t="n"/>
      <c r="B980" s="28" t="n"/>
      <c r="C980" s="28" t="n"/>
      <c r="D980" s="28" t="n"/>
      <c r="E980" s="28" t="n"/>
      <c r="F980" s="28" t="n"/>
      <c r="G980" s="28" t="n"/>
      <c r="H980" s="28" t="n"/>
      <c r="I980" s="28" t="n"/>
      <c r="J980" s="28" t="n"/>
      <c r="K980" s="28" t="n"/>
    </row>
    <row r="981" ht="12.75" customHeight="1">
      <c r="A981" s="28" t="n"/>
      <c r="B981" s="28" t="n"/>
      <c r="C981" s="28" t="n"/>
      <c r="D981" s="28" t="n"/>
      <c r="E981" s="28" t="n"/>
      <c r="F981" s="28" t="n"/>
      <c r="G981" s="28" t="n"/>
      <c r="H981" s="28" t="n"/>
      <c r="I981" s="28" t="n"/>
      <c r="J981" s="28" t="n"/>
      <c r="K981" s="28" t="n"/>
    </row>
    <row r="982" ht="12.75" customHeight="1">
      <c r="A982" s="28" t="n"/>
      <c r="B982" s="28" t="n"/>
      <c r="C982" s="28" t="n"/>
      <c r="D982" s="28" t="n"/>
      <c r="E982" s="28" t="n"/>
      <c r="F982" s="28" t="n"/>
      <c r="G982" s="28" t="n"/>
      <c r="H982" s="28" t="n"/>
      <c r="I982" s="28" t="n"/>
      <c r="J982" s="28" t="n"/>
      <c r="K982" s="28" t="n"/>
    </row>
    <row r="983" ht="12.75" customHeight="1">
      <c r="A983" s="28" t="n"/>
      <c r="B983" s="28" t="n"/>
      <c r="C983" s="28" t="n"/>
      <c r="D983" s="28" t="n"/>
      <c r="E983" s="28" t="n"/>
      <c r="F983" s="28" t="n"/>
      <c r="G983" s="28" t="n"/>
      <c r="H983" s="28" t="n"/>
      <c r="I983" s="28" t="n"/>
      <c r="J983" s="28" t="n"/>
      <c r="K983" s="28" t="n"/>
    </row>
    <row r="984" ht="12.75" customHeight="1">
      <c r="A984" s="28" t="n"/>
      <c r="B984" s="28" t="n"/>
      <c r="C984" s="28" t="n"/>
      <c r="D984" s="28" t="n"/>
      <c r="E984" s="28" t="n"/>
      <c r="F984" s="28" t="n"/>
      <c r="G984" s="28" t="n"/>
      <c r="H984" s="28" t="n"/>
      <c r="I984" s="28" t="n"/>
      <c r="J984" s="28" t="n"/>
      <c r="K984" s="28" t="n"/>
    </row>
    <row r="985" ht="12.75" customHeight="1">
      <c r="A985" s="28" t="n"/>
      <c r="B985" s="28" t="n"/>
      <c r="C985" s="28" t="n"/>
      <c r="D985" s="28" t="n"/>
      <c r="E985" s="28" t="n"/>
      <c r="F985" s="28" t="n"/>
      <c r="G985" s="28" t="n"/>
      <c r="H985" s="28" t="n"/>
      <c r="I985" s="28" t="n"/>
      <c r="J985" s="28" t="n"/>
      <c r="K985" s="28" t="n"/>
    </row>
    <row r="986" ht="12.75" customHeight="1">
      <c r="A986" s="28" t="n"/>
      <c r="B986" s="28" t="n"/>
      <c r="C986" s="28" t="n"/>
      <c r="D986" s="28" t="n"/>
      <c r="E986" s="28" t="n"/>
      <c r="F986" s="28" t="n"/>
      <c r="G986" s="28" t="n"/>
      <c r="H986" s="28" t="n"/>
      <c r="I986" s="28" t="n"/>
      <c r="J986" s="28" t="n"/>
      <c r="K986" s="28" t="n"/>
    </row>
    <row r="987" ht="12.75" customHeight="1">
      <c r="A987" s="28" t="n"/>
      <c r="B987" s="28" t="n"/>
      <c r="C987" s="28" t="n"/>
      <c r="D987" s="28" t="n"/>
      <c r="E987" s="28" t="n"/>
      <c r="F987" s="28" t="n"/>
      <c r="G987" s="28" t="n"/>
      <c r="H987" s="28" t="n"/>
      <c r="I987" s="28" t="n"/>
      <c r="J987" s="28" t="n"/>
      <c r="K987" s="28" t="n"/>
    </row>
    <row r="988" ht="12.75" customHeight="1">
      <c r="A988" s="28" t="n"/>
      <c r="B988" s="28" t="n"/>
      <c r="C988" s="28" t="n"/>
      <c r="D988" s="28" t="n"/>
      <c r="E988" s="28" t="n"/>
      <c r="F988" s="28" t="n"/>
      <c r="G988" s="28" t="n"/>
      <c r="H988" s="28" t="n"/>
      <c r="I988" s="28" t="n"/>
      <c r="J988" s="28" t="n"/>
      <c r="K988" s="28" t="n"/>
    </row>
    <row r="989" ht="12.75" customHeight="1">
      <c r="A989" s="28" t="n"/>
      <c r="B989" s="28" t="n"/>
      <c r="C989" s="28" t="n"/>
      <c r="D989" s="28" t="n"/>
      <c r="E989" s="28" t="n"/>
      <c r="F989" s="28" t="n"/>
      <c r="G989" s="28" t="n"/>
      <c r="H989" s="28" t="n"/>
      <c r="I989" s="28" t="n"/>
      <c r="J989" s="28" t="n"/>
      <c r="K989" s="28" t="n"/>
    </row>
    <row r="990" ht="12.75" customHeight="1">
      <c r="A990" s="28" t="n"/>
      <c r="B990" s="28" t="n"/>
      <c r="C990" s="28" t="n"/>
      <c r="D990" s="28" t="n"/>
      <c r="E990" s="28" t="n"/>
      <c r="F990" s="28" t="n"/>
      <c r="G990" s="28" t="n"/>
      <c r="H990" s="28" t="n"/>
      <c r="I990" s="28" t="n"/>
      <c r="J990" s="28" t="n"/>
      <c r="K990" s="28" t="n"/>
    </row>
    <row r="991" ht="12.75" customHeight="1">
      <c r="A991" s="28" t="n"/>
      <c r="B991" s="28" t="n"/>
      <c r="C991" s="28" t="n"/>
      <c r="D991" s="28" t="n"/>
      <c r="E991" s="28" t="n"/>
      <c r="F991" s="28" t="n"/>
      <c r="G991" s="28" t="n"/>
      <c r="H991" s="28" t="n"/>
      <c r="I991" s="28" t="n"/>
      <c r="J991" s="28" t="n"/>
      <c r="K991" s="28" t="n"/>
    </row>
    <row r="992" ht="12.75" customHeight="1">
      <c r="A992" s="28" t="n"/>
      <c r="B992" s="28" t="n"/>
      <c r="C992" s="28" t="n"/>
      <c r="D992" s="28" t="n"/>
      <c r="E992" s="28" t="n"/>
      <c r="F992" s="28" t="n"/>
      <c r="G992" s="28" t="n"/>
      <c r="H992" s="28" t="n"/>
      <c r="I992" s="28" t="n"/>
      <c r="J992" s="28" t="n"/>
      <c r="K992" s="28" t="n"/>
    </row>
    <row r="993" ht="12.75" customHeight="1">
      <c r="A993" s="28" t="n"/>
      <c r="B993" s="28" t="n"/>
      <c r="C993" s="28" t="n"/>
      <c r="D993" s="28" t="n"/>
      <c r="E993" s="28" t="n"/>
      <c r="F993" s="28" t="n"/>
      <c r="G993" s="28" t="n"/>
      <c r="H993" s="28" t="n"/>
      <c r="I993" s="28" t="n"/>
      <c r="J993" s="28" t="n"/>
      <c r="K993" s="28" t="n"/>
    </row>
    <row r="994" ht="12.75" customHeight="1">
      <c r="A994" s="28" t="n"/>
      <c r="B994" s="28" t="n"/>
      <c r="C994" s="28" t="n"/>
      <c r="D994" s="28" t="n"/>
      <c r="E994" s="28" t="n"/>
      <c r="F994" s="28" t="n"/>
      <c r="G994" s="28" t="n"/>
      <c r="H994" s="28" t="n"/>
      <c r="I994" s="28" t="n"/>
      <c r="J994" s="28" t="n"/>
      <c r="K994" s="28" t="n"/>
    </row>
    <row r="995" ht="12.75" customHeight="1">
      <c r="A995" s="28" t="n"/>
      <c r="B995" s="28" t="n"/>
      <c r="C995" s="28" t="n"/>
      <c r="D995" s="28" t="n"/>
      <c r="E995" s="28" t="n"/>
      <c r="F995" s="28" t="n"/>
      <c r="G995" s="28" t="n"/>
      <c r="H995" s="28" t="n"/>
      <c r="I995" s="28" t="n"/>
      <c r="J995" s="28" t="n"/>
      <c r="K995" s="28" t="n"/>
    </row>
    <row r="996" ht="12.75" customHeight="1">
      <c r="A996" s="28" t="n"/>
      <c r="B996" s="28" t="n"/>
      <c r="C996" s="28" t="n"/>
      <c r="D996" s="28" t="n"/>
      <c r="E996" s="28" t="n"/>
      <c r="F996" s="28" t="n"/>
      <c r="G996" s="28" t="n"/>
      <c r="H996" s="28" t="n"/>
      <c r="I996" s="28" t="n"/>
      <c r="J996" s="28" t="n"/>
      <c r="K996" s="28" t="n"/>
    </row>
    <row r="997" ht="12.75" customHeight="1">
      <c r="A997" s="28" t="n"/>
      <c r="B997" s="28" t="n"/>
      <c r="C997" s="28" t="n"/>
      <c r="D997" s="28" t="n"/>
      <c r="E997" s="28" t="n"/>
      <c r="F997" s="28" t="n"/>
      <c r="G997" s="28" t="n"/>
      <c r="H997" s="28" t="n"/>
      <c r="I997" s="28" t="n"/>
      <c r="J997" s="28" t="n"/>
      <c r="K997" s="28" t="n"/>
    </row>
    <row r="998" ht="12.75" customHeight="1">
      <c r="A998" s="28" t="n"/>
      <c r="B998" s="28" t="n"/>
      <c r="C998" s="28" t="n"/>
      <c r="D998" s="28" t="n"/>
      <c r="E998" s="28" t="n"/>
      <c r="F998" s="28" t="n"/>
      <c r="G998" s="28" t="n"/>
      <c r="H998" s="28" t="n"/>
      <c r="I998" s="28" t="n"/>
      <c r="J998" s="28" t="n"/>
      <c r="K998" s="28" t="n"/>
    </row>
    <row r="999" ht="12.75" customHeight="1">
      <c r="A999" s="28" t="n"/>
      <c r="B999" s="28" t="n"/>
      <c r="C999" s="28" t="n"/>
      <c r="D999" s="28" t="n"/>
      <c r="E999" s="28" t="n"/>
      <c r="F999" s="28" t="n"/>
      <c r="G999" s="28" t="n"/>
      <c r="H999" s="28" t="n"/>
      <c r="I999" s="28" t="n"/>
      <c r="J999" s="28" t="n"/>
      <c r="K999" s="28" t="n"/>
    </row>
    <row r="1000" ht="12.75" customHeight="1">
      <c r="A1000" s="28" t="n"/>
      <c r="B1000" s="28" t="n"/>
      <c r="C1000" s="28" t="n"/>
      <c r="D1000" s="28" t="n"/>
      <c r="E1000" s="28" t="n"/>
      <c r="F1000" s="28" t="n"/>
      <c r="G1000" s="28" t="n"/>
      <c r="H1000" s="28" t="n"/>
      <c r="I1000" s="28" t="n"/>
      <c r="J1000" s="28" t="n"/>
      <c r="K1000" s="28" t="n"/>
    </row>
  </sheetData>
  <autoFilter ref="A1:K77"/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K1003"/>
  <sheetViews>
    <sheetView topLeftCell="E1" workbookViewId="0">
      <pane ySplit="1" topLeftCell="A37" activePane="bottomLeft" state="frozen"/>
      <selection pane="bottomLeft" activeCell="E43" sqref="A43:XFD43"/>
    </sheetView>
  </sheetViews>
  <sheetFormatPr baseColWidth="8" defaultColWidth="12.5703125" defaultRowHeight="15.75" customHeight="1"/>
  <cols>
    <col width="10.42578125" customWidth="1" min="1" max="1"/>
    <col width="22.85546875" customWidth="1" min="2" max="2"/>
    <col width="18.140625" customWidth="1" min="3" max="3"/>
    <col width="13.28515625" customWidth="1" min="4" max="4"/>
    <col width="57.140625" customWidth="1" min="5" max="5"/>
    <col width="18.140625" customWidth="1" min="6" max="6"/>
    <col width="61" customWidth="1" min="7" max="7"/>
    <col width="15.28515625" customWidth="1" min="8" max="8"/>
    <col width="31.42578125" customWidth="1" min="9" max="10"/>
    <col width="18.140625" customWidth="1" min="11" max="11"/>
  </cols>
  <sheetData>
    <row r="1" ht="28.5" customHeight="1">
      <c r="A1" s="4" t="inlineStr">
        <is>
          <t>REGIÃO</t>
        </is>
      </c>
      <c r="B1" s="3" t="inlineStr">
        <is>
          <t>CIDADE</t>
        </is>
      </c>
      <c r="C1" s="3" t="inlineStr">
        <is>
          <t>NÚMERO DO TRECHO</t>
        </is>
      </c>
      <c r="D1" s="3" t="inlineStr">
        <is>
          <t>RODOVIA</t>
        </is>
      </c>
      <c r="E1" s="3" t="inlineStr">
        <is>
          <t>TRECHO</t>
        </is>
      </c>
      <c r="F1" s="3" t="inlineStr">
        <is>
          <t>SRE</t>
        </is>
      </c>
      <c r="G1" s="3" t="inlineStr">
        <is>
          <t>SEGMENTO</t>
        </is>
      </c>
      <c r="H1" s="3" t="inlineStr">
        <is>
          <t>SITUAÇÃO</t>
        </is>
      </c>
      <c r="I1" s="3" t="inlineStr">
        <is>
          <t>COORDENADA INICIAL</t>
        </is>
      </c>
      <c r="J1" s="3" t="inlineStr">
        <is>
          <t>COORDENADA FINAL</t>
        </is>
      </c>
      <c r="K1" s="5" t="inlineStr">
        <is>
          <t>EXTENSÃO REAL (km)</t>
        </is>
      </c>
    </row>
    <row r="2" ht="30" customHeight="1">
      <c r="A2" s="6" t="n">
        <v>11</v>
      </c>
      <c r="B2" s="7" t="inlineStr">
        <is>
          <t>GURUPI</t>
        </is>
      </c>
      <c r="C2" s="8" t="n">
        <v>204</v>
      </c>
      <c r="D2" s="9" t="inlineStr">
        <is>
          <t>TO-070</t>
        </is>
      </c>
      <c r="E2" s="7" t="inlineStr">
        <is>
          <t>RODOVIA TO-070 - TRECHO ALIANÇA DO TOCANTINS - BREJINHO DE NAZARÉ</t>
        </is>
      </c>
      <c r="F2" s="9" t="inlineStr">
        <is>
          <t>070ETO0122D</t>
        </is>
      </c>
      <c r="G2" s="7" t="inlineStr">
        <is>
          <t>INÍCIO DUPLICAÇÃO(PU ALIANÇA DO TOCANTINS) - ENTR. BR-153(A)(PU ALIANÇA DO TOCANTINS)</t>
        </is>
      </c>
      <c r="H2" s="9" t="inlineStr">
        <is>
          <t>PDU</t>
        </is>
      </c>
      <c r="I2" s="9" t="inlineStr">
        <is>
          <t>-48.9381628714, -11.3059464054</t>
        </is>
      </c>
      <c r="J2" s="9" t="inlineStr">
        <is>
          <t>-48.9403478241, -11.3088906395</t>
        </is>
      </c>
      <c r="K2" s="10" t="n">
        <v>0.404780419</v>
      </c>
    </row>
    <row r="3" ht="30" customHeight="1">
      <c r="A3" s="6" t="n">
        <v>11</v>
      </c>
      <c r="B3" s="7" t="inlineStr">
        <is>
          <t>GURUPI</t>
        </is>
      </c>
      <c r="C3" s="8" t="n">
        <v>204</v>
      </c>
      <c r="D3" s="9" t="inlineStr">
        <is>
          <t>TO-070</t>
        </is>
      </c>
      <c r="E3" s="7" t="inlineStr">
        <is>
          <t>RODOVIA TO-070 - TRECHO ALIANÇA DO TOCANTINS - BREJINHO DE NAZARÉ</t>
        </is>
      </c>
      <c r="F3" s="9" t="inlineStr">
        <is>
          <t>070ETO0122E</t>
        </is>
      </c>
      <c r="G3" s="7" t="inlineStr">
        <is>
          <t>INÍCIO DUPLICAÇÃO(PU ALIANÇA DO TOCANTINS) - ENTR. BR-153(A)(PU ALIANÇA DO TOCANTINS)</t>
        </is>
      </c>
      <c r="H3" s="9" t="inlineStr">
        <is>
          <t>PDU</t>
        </is>
      </c>
      <c r="I3" s="9" t="inlineStr">
        <is>
          <t>-48.9381628714, -11.3059464054</t>
        </is>
      </c>
      <c r="J3" s="9" t="inlineStr">
        <is>
          <t>-48.9404515862, -11.3088232551</t>
        </is>
      </c>
      <c r="K3" s="10" t="n">
        <v>0.42217452</v>
      </c>
    </row>
    <row r="4" ht="30" customHeight="1">
      <c r="A4" s="6" t="n">
        <v>11</v>
      </c>
      <c r="B4" s="7" t="inlineStr">
        <is>
          <t>GURUPI</t>
        </is>
      </c>
      <c r="C4" s="8" t="n">
        <v>204</v>
      </c>
      <c r="D4" s="9" t="inlineStr">
        <is>
          <t>TO-070</t>
        </is>
      </c>
      <c r="E4" s="7" t="inlineStr">
        <is>
          <t>RODOVIA TO-070 - TRECHO ALIANÇA DO TOCANTINS - BREJINHO DE NAZARÉ</t>
        </is>
      </c>
      <c r="F4" s="9" t="inlineStr">
        <is>
          <t>070ETO0116</t>
        </is>
      </c>
      <c r="G4" s="7" t="inlineStr">
        <is>
          <t>ENTR. TO-362(A) - INÍCIO PU BREJINHO DE NAZARÉ</t>
        </is>
      </c>
      <c r="H4" s="9" t="inlineStr">
        <is>
          <t>PPS</t>
        </is>
      </c>
      <c r="I4" s="9" t="inlineStr">
        <is>
          <t>-48.5639047496, -11.0096609201</t>
        </is>
      </c>
      <c r="J4" s="9" t="inlineStr">
        <is>
          <t>-48.56395345, -11.0063965585</t>
        </is>
      </c>
      <c r="K4" s="10" t="n">
        <v>0.362064065</v>
      </c>
    </row>
    <row r="5" ht="30" customHeight="1">
      <c r="A5" s="6" t="n">
        <v>11</v>
      </c>
      <c r="B5" s="7" t="inlineStr">
        <is>
          <t>GURUPI</t>
        </is>
      </c>
      <c r="C5" s="8" t="n">
        <v>204</v>
      </c>
      <c r="D5" s="9" t="inlineStr">
        <is>
          <t>TO-070</t>
        </is>
      </c>
      <c r="E5" s="7" t="inlineStr">
        <is>
          <t>RODOVIA TO-070 - TRECHO ALIANÇA DO TOCANTINS - BREJINHO DE NAZARÉ</t>
        </is>
      </c>
      <c r="F5" s="9" t="inlineStr">
        <is>
          <t>070ETO0117</t>
        </is>
      </c>
      <c r="G5" s="7" t="inlineStr">
        <is>
          <t>INÍCIO PU BREJINHO DE NAZARÉ - ENTR. TO-362(B)(PU BREJINHO DE NAZARÉ)</t>
        </is>
      </c>
      <c r="H5" s="9" t="inlineStr">
        <is>
          <t>PSU</t>
        </is>
      </c>
      <c r="I5" s="9" t="inlineStr">
        <is>
          <t>-48.5639047496, -11.0096609201</t>
        </is>
      </c>
      <c r="J5" s="9" t="inlineStr">
        <is>
          <t>-48.5691119523, -11.0182940589</t>
        </is>
      </c>
      <c r="K5" s="10" t="n">
        <v>1.113104239</v>
      </c>
    </row>
    <row r="6" ht="30" customHeight="1">
      <c r="A6" s="6" t="n">
        <v>11</v>
      </c>
      <c r="B6" s="7" t="inlineStr">
        <is>
          <t>GURUPI</t>
        </is>
      </c>
      <c r="C6" s="8" t="n">
        <v>204</v>
      </c>
      <c r="D6" s="9" t="inlineStr">
        <is>
          <t>TO-070</t>
        </is>
      </c>
      <c r="E6" s="7" t="inlineStr">
        <is>
          <t>RODOVIA TO-070 - TRECHO ALIANÇA DO TOCANTINS - BREJINHO DE NAZARÉ</t>
        </is>
      </c>
      <c r="F6" s="9" t="inlineStr">
        <is>
          <t>070ETO0118</t>
        </is>
      </c>
      <c r="G6" s="7" t="inlineStr">
        <is>
          <t>ENTR. TO-362(B)(PU BREJINHO DE NAZARÉ) - FIM PU BREJINHO DE NAZARÉ</t>
        </is>
      </c>
      <c r="H6" s="9" t="inlineStr">
        <is>
          <t>PSU</t>
        </is>
      </c>
      <c r="I6" s="9" t="inlineStr">
        <is>
          <t>-48.5691119523, -11.0182940589</t>
        </is>
      </c>
      <c r="J6" s="9" t="inlineStr">
        <is>
          <t>-48.5799119402, -11.0150828511</t>
        </is>
      </c>
      <c r="K6" s="10" t="n">
        <v>1.233976107</v>
      </c>
    </row>
    <row r="7" ht="30" customHeight="1">
      <c r="A7" s="6" t="n">
        <v>11</v>
      </c>
      <c r="B7" s="7" t="inlineStr">
        <is>
          <t>GURUPI</t>
        </is>
      </c>
      <c r="C7" s="8" t="n">
        <v>204</v>
      </c>
      <c r="D7" s="9" t="inlineStr">
        <is>
          <t>TO-070</t>
        </is>
      </c>
      <c r="E7" s="7" t="inlineStr">
        <is>
          <t>RODOVIA TO-070 - TRECHO ALIANÇA DO TOCANTINS - BREJINHO DE NAZARÉ</t>
        </is>
      </c>
      <c r="F7" s="9" t="inlineStr">
        <is>
          <t>070ETO0120</t>
        </is>
      </c>
      <c r="G7" s="7" t="inlineStr">
        <is>
          <t>FIM PU BREJINHO DE NAZARÉ - INÍCIO PU ALIANÇA DO TOCANTINS</t>
        </is>
      </c>
      <c r="H7" s="9" t="inlineStr">
        <is>
          <t>PPS</t>
        </is>
      </c>
      <c r="I7" s="9" t="inlineStr">
        <is>
          <t>-48.9273619154, -11.3037364801</t>
        </is>
      </c>
      <c r="J7" s="9" t="inlineStr">
        <is>
          <t>-48.5799119402, -11.0150828511</t>
        </is>
      </c>
      <c r="K7" s="10" t="n">
        <v>58.17219161</v>
      </c>
    </row>
    <row r="8" ht="30" customHeight="1">
      <c r="A8" s="6" t="n">
        <v>11</v>
      </c>
      <c r="B8" s="7" t="inlineStr">
        <is>
          <t>GURUPI</t>
        </is>
      </c>
      <c r="C8" s="8" t="n">
        <v>204</v>
      </c>
      <c r="D8" s="9" t="inlineStr">
        <is>
          <t>TO-070</t>
        </is>
      </c>
      <c r="E8" s="7" t="inlineStr">
        <is>
          <t>RODOVIA TO-070 - TRECHO ALIANÇA DO TOCANTINS - BREJINHO DE NAZARÉ</t>
        </is>
      </c>
      <c r="F8" s="9" t="inlineStr">
        <is>
          <t>070ETO0121</t>
        </is>
      </c>
      <c r="G8" s="7" t="inlineStr">
        <is>
          <t>INÍCIO PU ALIANÇA DO TOCANTINS - INÍCIO DUPLICAÇÃO(PU ALIANÇA DO TOCANTINS)</t>
        </is>
      </c>
      <c r="H8" s="9" t="inlineStr">
        <is>
          <t>PSU</t>
        </is>
      </c>
      <c r="I8" s="9" t="inlineStr">
        <is>
          <t>-48.9381628714, -11.3059464054</t>
        </is>
      </c>
      <c r="J8" s="9" t="inlineStr">
        <is>
          <t>-48.9273619154, -11.3037364801</t>
        </is>
      </c>
      <c r="K8" s="10" t="n">
        <v>1.219347336</v>
      </c>
    </row>
    <row r="9" ht="30" customHeight="1">
      <c r="A9" s="6" t="n">
        <v>11</v>
      </c>
      <c r="B9" s="7" t="inlineStr">
        <is>
          <t>GURUPI</t>
        </is>
      </c>
      <c r="C9" s="8" t="n">
        <v>205</v>
      </c>
      <c r="D9" s="9" t="inlineStr">
        <is>
          <t>TO-070</t>
        </is>
      </c>
      <c r="E9" s="7" t="inlineStr">
        <is>
          <t>RODOVIA TO-070 - TRECHO DUERÉ - ALIANÇA DO TOCANTINS</t>
        </is>
      </c>
      <c r="F9" s="9" t="inlineStr">
        <is>
          <t>070ETO0140</t>
        </is>
      </c>
      <c r="G9" s="7" t="inlineStr">
        <is>
          <t>ENTR. BR-153(B) - ENTR. TO-164</t>
        </is>
      </c>
      <c r="H9" s="9" t="inlineStr">
        <is>
          <t>PPS</t>
        </is>
      </c>
      <c r="I9" s="9" t="inlineStr">
        <is>
          <t>-48.939857, -11.297987</t>
        </is>
      </c>
      <c r="J9" s="9" t="inlineStr">
        <is>
          <t>-49.1599896795, -11.2201307456</t>
        </is>
      </c>
      <c r="K9" s="10" t="n">
        <v>26.91741322</v>
      </c>
    </row>
    <row r="10" ht="30" customHeight="1">
      <c r="A10" s="6" t="n">
        <v>11</v>
      </c>
      <c r="B10" s="7" t="inlineStr">
        <is>
          <t>GURUPI</t>
        </is>
      </c>
      <c r="C10" s="8" t="n">
        <v>205</v>
      </c>
      <c r="D10" s="9" t="inlineStr">
        <is>
          <t>TO-070</t>
        </is>
      </c>
      <c r="E10" s="7" t="inlineStr">
        <is>
          <t>RODOVIA TO-070 - TRECHO DUERÉ - ALIANÇA DO TOCANTINS</t>
        </is>
      </c>
      <c r="F10" s="9" t="inlineStr">
        <is>
          <t>070ETO0150</t>
        </is>
      </c>
      <c r="G10" s="7" t="inlineStr">
        <is>
          <t>ENTR. TO-164 - ENTR. TO-374</t>
        </is>
      </c>
      <c r="H10" s="9" t="inlineStr">
        <is>
          <t>PPS</t>
        </is>
      </c>
      <c r="I10" s="9" t="inlineStr">
        <is>
          <t>-49.251884, -11.310701</t>
        </is>
      </c>
      <c r="J10" s="9" t="inlineStr">
        <is>
          <t>-49.1599896795, -11.2201307456</t>
        </is>
      </c>
      <c r="K10" s="10" t="n">
        <v>16.02692313</v>
      </c>
    </row>
    <row r="11" ht="30" customHeight="1">
      <c r="A11" s="6" t="n">
        <v>11</v>
      </c>
      <c r="B11" s="7" t="inlineStr">
        <is>
          <t>GURUPI</t>
        </is>
      </c>
      <c r="C11" s="8" t="n">
        <v>205</v>
      </c>
      <c r="D11" s="9" t="inlineStr">
        <is>
          <t>TO-070</t>
        </is>
      </c>
      <c r="E11" s="7" t="inlineStr">
        <is>
          <t>RODOVIA TO-070 - TRECHO DUERÉ - ALIANÇA DO TOCANTINS</t>
        </is>
      </c>
      <c r="F11" s="9" t="inlineStr">
        <is>
          <t>070ETO0160</t>
        </is>
      </c>
      <c r="G11" s="7" t="inlineStr">
        <is>
          <t>ENTR. TO-374 - INÍCIO PU DUERÉ</t>
        </is>
      </c>
      <c r="H11" s="9" t="inlineStr">
        <is>
          <t>PPS</t>
        </is>
      </c>
      <c r="I11" s="9" t="inlineStr">
        <is>
          <t>-49.26052, -11.330883</t>
        </is>
      </c>
      <c r="J11" s="9" t="inlineStr">
        <is>
          <t>-49.251884, -11.310701</t>
        </is>
      </c>
      <c r="K11" s="10" t="n">
        <v>2.760204892</v>
      </c>
    </row>
    <row r="12" ht="30" customHeight="1">
      <c r="A12" s="6" t="n">
        <v>11</v>
      </c>
      <c r="B12" s="7" t="inlineStr">
        <is>
          <t>GURUPI</t>
        </is>
      </c>
      <c r="C12" s="8" t="n">
        <v>205</v>
      </c>
      <c r="D12" s="9" t="inlineStr">
        <is>
          <t>TO-070</t>
        </is>
      </c>
      <c r="E12" s="7" t="inlineStr">
        <is>
          <t>RODOVIA TO-070 - TRECHO DUERÉ - ALIANÇA DO TOCANTINS</t>
        </is>
      </c>
      <c r="F12" s="9" t="inlineStr">
        <is>
          <t>070ETO0162</t>
        </is>
      </c>
      <c r="G12" s="7" t="inlineStr">
        <is>
          <t>INÍCIO PU DUERÉ - ENTR. TO-483(PU DUERÉ)</t>
        </is>
      </c>
      <c r="H12" s="9" t="inlineStr">
        <is>
          <t>PSU</t>
        </is>
      </c>
      <c r="I12" s="9" t="inlineStr">
        <is>
          <t>-49.265577982, -11.3397205751</t>
        </is>
      </c>
      <c r="J12" s="9" t="inlineStr">
        <is>
          <t>-49.26052, -11.330883</t>
        </is>
      </c>
      <c r="K12" s="10" t="n">
        <v>1.160298739</v>
      </c>
    </row>
    <row r="13" ht="30" customHeight="1">
      <c r="A13" s="6" t="n">
        <v>11</v>
      </c>
      <c r="B13" s="7" t="inlineStr">
        <is>
          <t>GURUPI</t>
        </is>
      </c>
      <c r="C13" s="8" t="n">
        <v>205</v>
      </c>
      <c r="D13" s="9" t="inlineStr">
        <is>
          <t>TO-070</t>
        </is>
      </c>
      <c r="E13" s="7" t="inlineStr">
        <is>
          <t>RODOVIA TO-070 - TRECHO DUERÉ - ALIANÇA DO TOCANTINS</t>
        </is>
      </c>
      <c r="F13" s="9" t="inlineStr">
        <is>
          <t>070ETO0170</t>
        </is>
      </c>
      <c r="G13" s="7" t="inlineStr">
        <is>
          <t>ENTR. TO-483(PU DUERÉ) - FIM PU DUERÉ</t>
        </is>
      </c>
      <c r="H13" s="9" t="inlineStr">
        <is>
          <t>PSU</t>
        </is>
      </c>
      <c r="I13" s="9" t="inlineStr">
        <is>
          <t>-49.2694616029, -11.3495976881</t>
        </is>
      </c>
      <c r="J13" s="9" t="inlineStr">
        <is>
          <t>-49.265577982, -11.3397205751</t>
        </is>
      </c>
      <c r="K13" s="10" t="n">
        <v>1.351047772</v>
      </c>
    </row>
    <row r="14" ht="30" customHeight="1">
      <c r="A14" s="6" t="n">
        <v>11</v>
      </c>
      <c r="B14" s="7" t="inlineStr">
        <is>
          <t>GURUPI</t>
        </is>
      </c>
      <c r="C14" s="8" t="n">
        <v>206</v>
      </c>
      <c r="D14" s="9" t="inlineStr">
        <is>
          <t>TO-070</t>
        </is>
      </c>
      <c r="E14" s="7" t="inlineStr">
        <is>
          <t>RODOVIA TO-070 - TRECHO FORMOSO DO ARAGUAIA - DUERÉ</t>
        </is>
      </c>
      <c r="F14" s="9" t="inlineStr">
        <is>
          <t>070ETO0200</t>
        </is>
      </c>
      <c r="G14" s="7" t="inlineStr">
        <is>
          <t>ENTR. TO-374 - INÍCIO PU FORMOSO DO ARAGUAIA</t>
        </is>
      </c>
      <c r="H14" s="9" t="inlineStr">
        <is>
          <t>PPS</t>
        </is>
      </c>
      <c r="I14" s="9" t="inlineStr">
        <is>
          <t>-49.2694616029, -11.3495976881</t>
        </is>
      </c>
      <c r="J14" s="9" t="inlineStr">
        <is>
          <t>-49.520029, -11.793308</t>
        </is>
      </c>
      <c r="K14" s="10" t="n">
        <v>60.9543801</v>
      </c>
    </row>
    <row r="15" ht="30" customHeight="1">
      <c r="A15" s="6" t="n">
        <v>11</v>
      </c>
      <c r="B15" s="7" t="inlineStr">
        <is>
          <t>GURUPI</t>
        </is>
      </c>
      <c r="C15" s="8" t="n">
        <v>206</v>
      </c>
      <c r="D15" s="9" t="inlineStr">
        <is>
          <t>TO-070</t>
        </is>
      </c>
      <c r="E15" s="7" t="inlineStr">
        <is>
          <t>RODOVIA TO-070 - TRECHO FORMOSO DO ARAGUAIA - DUERÉ</t>
        </is>
      </c>
      <c r="F15" s="9" t="inlineStr">
        <is>
          <t>070ETO0201</t>
        </is>
      </c>
      <c r="G15" s="7" t="inlineStr">
        <is>
          <t>INÍCIO PU FORMOSO DO ARAGUAIA - INÍCIO DUPLICAÇÃO(PU FORMOSO DO ARAGUAIA)</t>
        </is>
      </c>
      <c r="H15" s="9" t="inlineStr">
        <is>
          <t>PPS</t>
        </is>
      </c>
      <c r="I15" s="9" t="inlineStr">
        <is>
          <t>-49.520029, -11.793308</t>
        </is>
      </c>
      <c r="J15" s="9" t="inlineStr">
        <is>
          <t>-49.517833541, -11.8063546354</t>
        </is>
      </c>
      <c r="K15" s="10" t="n">
        <v>1.491320539</v>
      </c>
    </row>
    <row r="16" ht="45" customHeight="1">
      <c r="A16" s="6" t="n">
        <v>11</v>
      </c>
      <c r="B16" s="7" t="inlineStr">
        <is>
          <t>GURUPI</t>
        </is>
      </c>
      <c r="C16" s="8" t="n">
        <v>206</v>
      </c>
      <c r="D16" s="9" t="inlineStr">
        <is>
          <t>TO-070</t>
        </is>
      </c>
      <c r="E16" s="7" t="inlineStr">
        <is>
          <t>RODOVIA TO-070 - TRECHO FORMOSO DO ARAGUAIA - DUERÉ</t>
        </is>
      </c>
      <c r="F16" s="9" t="inlineStr">
        <is>
          <t>070ETO0202D</t>
        </is>
      </c>
      <c r="G16" s="7" t="inlineStr">
        <is>
          <t>INÍCIO DUPLICAÇÃO(PU FORMOSO DO ARAGUAIA) - ENTR. BR-242(FIM DUPLICAÇÃO)(PU FORMOSO DO ARAGUAIA)</t>
        </is>
      </c>
      <c r="H16" s="9" t="inlineStr">
        <is>
          <t>PDU</t>
        </is>
      </c>
      <c r="I16" s="9" t="inlineStr">
        <is>
          <t>-49.517833541, -11.8063546354</t>
        </is>
      </c>
      <c r="J16" s="9" t="inlineStr">
        <is>
          <t>-49.533811, -11.809321</t>
        </is>
      </c>
      <c r="K16" s="10" t="n">
        <v>2.420582112</v>
      </c>
    </row>
    <row r="17" ht="45" customHeight="1">
      <c r="A17" s="6" t="n">
        <v>11</v>
      </c>
      <c r="B17" s="7" t="inlineStr">
        <is>
          <t>GURUPI</t>
        </is>
      </c>
      <c r="C17" s="8" t="n">
        <v>206</v>
      </c>
      <c r="D17" s="9" t="inlineStr">
        <is>
          <t>TO-070</t>
        </is>
      </c>
      <c r="E17" s="7" t="inlineStr">
        <is>
          <t>RODOVIA TO-070 - TRECHO FORMOSO DO ARAGUAIA - DUERÉ</t>
        </is>
      </c>
      <c r="F17" s="9" t="inlineStr">
        <is>
          <t>070ETO0202E</t>
        </is>
      </c>
      <c r="G17" s="7" t="inlineStr">
        <is>
          <t>INÍCIO DUPLICAÇÃO(PU FORMOSO DO ARAGUAIA) - ENTR. BR-242(FIM DUPLICAÇÃO)(PU FORMOSO DO ARAGUAIA)</t>
        </is>
      </c>
      <c r="H17" s="9" t="inlineStr">
        <is>
          <t>PDU</t>
        </is>
      </c>
      <c r="I17" s="9" t="inlineStr">
        <is>
          <t>-49.533811, -11.809321</t>
        </is>
      </c>
      <c r="J17" s="9" t="inlineStr">
        <is>
          <t>-49.517833541, -11.8063546354</t>
        </is>
      </c>
      <c r="K17" s="10" t="n">
        <v>2.417499984</v>
      </c>
    </row>
    <row r="18" ht="30" customHeight="1">
      <c r="A18" s="6" t="n">
        <v>11</v>
      </c>
      <c r="B18" s="7" t="inlineStr">
        <is>
          <t>GURUPI</t>
        </is>
      </c>
      <c r="C18" s="8" t="n">
        <v>202</v>
      </c>
      <c r="D18" s="9" t="inlineStr">
        <is>
          <t>TO-070</t>
        </is>
      </c>
      <c r="E18" s="7" t="inlineStr">
        <is>
          <t>RODOVIA TO-070 - TRECHO SANDOLÂNDIA - FORMOSO DO ARAGUAIA</t>
        </is>
      </c>
      <c r="F18" s="9" t="inlineStr">
        <is>
          <t>070ETO0230</t>
        </is>
      </c>
      <c r="G18" s="7" t="inlineStr">
        <is>
          <t>ENTR. BR-242(FIM DUPLICAÇÃO)(PU FORMOSO DO ARAGUAIA) - ENTR. ACESSO POV. DORILÂNDIA</t>
        </is>
      </c>
      <c r="H18" s="9" t="inlineStr">
        <is>
          <t>PPS</t>
        </is>
      </c>
      <c r="I18" s="9" t="inlineStr">
        <is>
          <t>-49.533811, -11.809321</t>
        </is>
      </c>
      <c r="J18" s="9" t="inlineStr">
        <is>
          <t>-49.747334, -12.246573</t>
        </is>
      </c>
      <c r="K18" s="10" t="n">
        <v>59.74846384</v>
      </c>
    </row>
    <row r="19" ht="30" customHeight="1">
      <c r="A19" s="6" t="n">
        <v>11</v>
      </c>
      <c r="B19" s="7" t="inlineStr">
        <is>
          <t>GURUPI</t>
        </is>
      </c>
      <c r="C19" s="8" t="n">
        <v>202</v>
      </c>
      <c r="D19" s="9" t="inlineStr">
        <is>
          <t>TO-070</t>
        </is>
      </c>
      <c r="E19" s="7" t="inlineStr">
        <is>
          <t>RODOVIA TO-070 - TRECHO SANDOLÂNDIA - FORMOSO DO ARAGUAIA</t>
        </is>
      </c>
      <c r="F19" s="9" t="inlineStr">
        <is>
          <t>070ETO0240</t>
        </is>
      </c>
      <c r="G19" s="7" t="inlineStr">
        <is>
          <t>NTR. ACESSO POV. DORILÂNDIA - ENTR. TO-181(A)</t>
        </is>
      </c>
      <c r="H19" s="9" t="inlineStr">
        <is>
          <t>PPS</t>
        </is>
      </c>
      <c r="I19" s="9" t="inlineStr">
        <is>
          <t>-49.747334, -12.246573</t>
        </is>
      </c>
      <c r="J19" s="9" t="inlineStr">
        <is>
          <t>-49.82553, -12.282216</t>
        </is>
      </c>
      <c r="K19" s="10" t="n">
        <v>9.490812111</v>
      </c>
    </row>
    <row r="20" ht="30" customHeight="1">
      <c r="A20" s="6" t="n">
        <v>11</v>
      </c>
      <c r="B20" s="7" t="inlineStr">
        <is>
          <t>GURUPI</t>
        </is>
      </c>
      <c r="C20" s="8" t="n">
        <v>202</v>
      </c>
      <c r="D20" s="9" t="inlineStr">
        <is>
          <t>TO-070</t>
        </is>
      </c>
      <c r="E20" s="7" t="inlineStr">
        <is>
          <t>RODOVIA TO-070 - TRECHO SANDOLÂNDIA - FORMOSO DO ARAGUAIA</t>
        </is>
      </c>
      <c r="F20" s="9" t="inlineStr">
        <is>
          <t>070ETO0250</t>
        </is>
      </c>
      <c r="G20" s="7" t="inlineStr">
        <is>
          <t>ENTR. TO-181(A) - INÍCIO DUPLICAÇÃO(FIM PU SANDOLÂNDIA)</t>
        </is>
      </c>
      <c r="H20" s="9" t="inlineStr">
        <is>
          <t>PPS</t>
        </is>
      </c>
      <c r="I20" s="9" t="inlineStr">
        <is>
          <t>-49.82553, -12.282216</t>
        </is>
      </c>
      <c r="J20" s="9" t="inlineStr">
        <is>
          <t>-49.9239596825, -12.5363311404</t>
        </is>
      </c>
      <c r="K20" s="10" t="n">
        <v>31.96869637</v>
      </c>
    </row>
    <row r="21" ht="30" customHeight="1">
      <c r="A21" s="6" t="n">
        <v>11</v>
      </c>
      <c r="B21" s="7" t="inlineStr">
        <is>
          <t>GURUPI</t>
        </is>
      </c>
      <c r="C21" s="8" t="n">
        <v>202</v>
      </c>
      <c r="D21" s="9" t="inlineStr">
        <is>
          <t>TO-070</t>
        </is>
      </c>
      <c r="E21" s="7" t="inlineStr">
        <is>
          <t>RODOVIA TO-070 - TRECHO SANDOLÂNDIA - FORMOSO DO ARAGUAIA</t>
        </is>
      </c>
      <c r="F21" s="9" t="inlineStr">
        <is>
          <t>070ETO0251D</t>
        </is>
      </c>
      <c r="G21" s="7" t="inlineStr">
        <is>
          <t>INÍCIO DUPLICAÇÃO(PU SANDOLÂNDIA) - FIM DUPLICAÇÃO(PU SANDOLÂNDIA)</t>
        </is>
      </c>
      <c r="H21" s="9" t="inlineStr">
        <is>
          <t>PDU</t>
        </is>
      </c>
      <c r="I21" s="9" t="inlineStr">
        <is>
          <t>-49.9324138409, -12.542907773</t>
        </is>
      </c>
      <c r="J21" s="9" t="inlineStr">
        <is>
          <t>-49.9239596825, -12.5363311404</t>
        </is>
      </c>
      <c r="K21" s="10" t="n">
        <v>1.199735979</v>
      </c>
    </row>
    <row r="22" ht="30" customHeight="1">
      <c r="A22" s="6" t="n">
        <v>11</v>
      </c>
      <c r="B22" s="7" t="inlineStr">
        <is>
          <t>GURUPI</t>
        </is>
      </c>
      <c r="C22" s="8" t="n">
        <v>202</v>
      </c>
      <c r="D22" s="9" t="inlineStr">
        <is>
          <t>TO-070</t>
        </is>
      </c>
      <c r="E22" s="7" t="inlineStr">
        <is>
          <t>RODOVIA TO-070 - TRECHO SANDOLÂNDIA - FORMOSO DO ARAGUAIA</t>
        </is>
      </c>
      <c r="F22" s="9" t="inlineStr">
        <is>
          <t>070ETO0251E</t>
        </is>
      </c>
      <c r="G22" s="7" t="inlineStr">
        <is>
          <t>INÍCIO DUPLICAÇÃO(PU SANDOLÂNDIA) - FIM DUPLICAÇÃO(PU SANDOLÂNDIA)</t>
        </is>
      </c>
      <c r="H22" s="9" t="inlineStr">
        <is>
          <t>PDU</t>
        </is>
      </c>
      <c r="I22" s="9" t="inlineStr">
        <is>
          <t>-49.9324800863, -12.5429778782</t>
        </is>
      </c>
      <c r="J22" s="9" t="inlineStr">
        <is>
          <t>-49.9239596825, -12.5363311404</t>
        </is>
      </c>
      <c r="K22" s="10" t="n">
        <v>1.201674482</v>
      </c>
    </row>
    <row r="23" ht="30" customHeight="1">
      <c r="A23" s="6" t="n">
        <v>11</v>
      </c>
      <c r="B23" s="7" t="inlineStr">
        <is>
          <t>GURUPI</t>
        </is>
      </c>
      <c r="C23" s="8" t="n">
        <v>207</v>
      </c>
      <c r="D23" s="9" t="inlineStr">
        <is>
          <t>TO-181</t>
        </is>
      </c>
      <c r="E23" s="7" t="inlineStr">
        <is>
          <t>RODOVIA TO-181 - TRECHO ENTR. TO-255 - ENTR. TO-481 (CAPAO DO COCO)</t>
        </is>
      </c>
      <c r="F23" s="9" t="inlineStr">
        <is>
          <t>181ETO0070</t>
        </is>
      </c>
      <c r="G23" s="7" t="inlineStr">
        <is>
          <t>ENTR. TO-255 - INÍCIO PAVIMENTAÇÃO(PU POV. CAPÃO DO COCO)</t>
        </is>
      </c>
      <c r="H23" s="9" t="inlineStr">
        <is>
          <t>LEN</t>
        </is>
      </c>
      <c r="I23" s="9" t="inlineStr">
        <is>
          <t>-49.870243, -11.157583</t>
        </is>
      </c>
      <c r="J23" s="9" t="inlineStr">
        <is>
          <t>-49.798857, -10.782141</t>
        </is>
      </c>
      <c r="K23" s="10" t="n">
        <v>63.8802512927854</v>
      </c>
    </row>
    <row r="24" ht="30" customHeight="1">
      <c r="A24" s="6" t="n">
        <v>11</v>
      </c>
      <c r="B24" s="7" t="inlineStr">
        <is>
          <t>GURUPI</t>
        </is>
      </c>
      <c r="C24" s="8" t="n">
        <v>207</v>
      </c>
      <c r="D24" s="9" t="inlineStr">
        <is>
          <t>TO-181</t>
        </is>
      </c>
      <c r="E24" s="7" t="inlineStr">
        <is>
          <t>RODOVIA TO-181 - TRECHO ENTR. TO-255 - ENTR. TO-481 (CAPAO DO COCO)</t>
        </is>
      </c>
      <c r="F24" s="9" t="inlineStr">
        <is>
          <t>181ETO0071</t>
        </is>
      </c>
      <c r="G24" s="7" t="inlineStr">
        <is>
          <t>INÍCIO PAVIMENTAÇÃO(PU POV. CAPÃO DO COCO) - ENTR. TO-481(POV. CAPÃO DO COCO)</t>
        </is>
      </c>
      <c r="H24" s="9" t="inlineStr">
        <is>
          <t>PSU</t>
        </is>
      </c>
      <c r="I24" s="9" t="inlineStr">
        <is>
          <t>-49.8732988647, -11.1716007208</t>
        </is>
      </c>
      <c r="J24" s="9" t="inlineStr">
        <is>
          <t>-49.8738127299, -11.1861913054</t>
        </is>
      </c>
      <c r="K24" s="10" t="n">
        <v>1.73189541944479</v>
      </c>
    </row>
    <row r="25" ht="30" customHeight="1">
      <c r="A25" s="6" t="n">
        <v>11</v>
      </c>
      <c r="B25" s="7" t="inlineStr">
        <is>
          <t>GURUPI</t>
        </is>
      </c>
      <c r="C25" s="8" t="n">
        <v>208</v>
      </c>
      <c r="D25" s="9" t="inlineStr">
        <is>
          <t>TO-181</t>
        </is>
      </c>
      <c r="E25" s="7" t="inlineStr">
        <is>
          <t>RODOVIA TO-181 - TRECHO ENTR. TO-481 (CAPAO DO COCO) - FAZENDA COBRAPE</t>
        </is>
      </c>
      <c r="F25" s="9" t="inlineStr">
        <is>
          <t>181ETO0090</t>
        </is>
      </c>
      <c r="G25" s="7" t="inlineStr">
        <is>
          <t>ENTR. TO-481(POV. CAPÃO DO COCO) - INÍCIO PAVIMENTAÇÃO(FAZ. COBRAPE)</t>
        </is>
      </c>
      <c r="H25" s="9" t="inlineStr">
        <is>
          <t>LEN</t>
        </is>
      </c>
      <c r="I25" s="18" t="inlineStr">
        <is>
          <t>-49.8738127299, -11.1861913054</t>
        </is>
      </c>
      <c r="J25" s="18" t="inlineStr">
        <is>
          <t>-49.8691067928, -11.4770273919</t>
        </is>
      </c>
      <c r="K25" s="19" t="n">
        <v>41.64161471</v>
      </c>
    </row>
    <row r="26" ht="30" customHeight="1">
      <c r="A26" s="20" t="n">
        <v>11</v>
      </c>
      <c r="B26" s="21" t="inlineStr">
        <is>
          <t>GURUPI</t>
        </is>
      </c>
      <c r="C26" s="22" t="n">
        <v>209</v>
      </c>
      <c r="D26" s="18" t="inlineStr">
        <is>
          <t>TO-181</t>
        </is>
      </c>
      <c r="E26" s="21" t="inlineStr">
        <is>
          <t>RODOVIA TO-181 - TRECHO FAZENDA COBRAPE - ENTR. BR-242</t>
        </is>
      </c>
      <c r="F26" s="18" t="inlineStr">
        <is>
          <t>181ETO0110</t>
        </is>
      </c>
      <c r="G26" s="21" t="inlineStr">
        <is>
          <t>INÍCIO PAVIMENTAÇÃO(FAZ. COBRAPE) - POV. LAGOA DA ONÇA</t>
        </is>
      </c>
      <c r="H26" s="18" t="inlineStr">
        <is>
          <t>PPS</t>
        </is>
      </c>
      <c r="I26" s="18" t="inlineStr">
        <is>
          <t>-49.848534, -11.635583</t>
        </is>
      </c>
      <c r="J26" s="18" t="inlineStr">
        <is>
          <t>-49.869109, -11.477027</t>
        </is>
      </c>
      <c r="K26" s="19" t="n">
        <v>18.71517642</v>
      </c>
    </row>
    <row r="27" ht="30" customHeight="1">
      <c r="A27" s="6" t="n">
        <v>11</v>
      </c>
      <c r="B27" s="7" t="inlineStr">
        <is>
          <t>GURUPI</t>
        </is>
      </c>
      <c r="C27" s="8" t="n">
        <v>209</v>
      </c>
      <c r="D27" s="9" t="inlineStr">
        <is>
          <t>TO-181</t>
        </is>
      </c>
      <c r="E27" s="7" t="inlineStr">
        <is>
          <t>RODOVIA TO-181 - TRECHO FAZENDA COBRAPE - ENTR. BR-242</t>
        </is>
      </c>
      <c r="F27" s="9" t="inlineStr">
        <is>
          <t>181ETO0120</t>
        </is>
      </c>
      <c r="G27" s="7" t="inlineStr">
        <is>
          <t>POV. LAGOA DA ONÇA - ENTR. BR-242(A)</t>
        </is>
      </c>
      <c r="H27" s="9" t="inlineStr">
        <is>
          <t>PPS</t>
        </is>
      </c>
      <c r="I27" s="18" t="inlineStr">
        <is>
          <t>-49.8877477868, -11.7797676168</t>
        </is>
      </c>
      <c r="J27" s="18" t="inlineStr">
        <is>
          <t>-49.848534, -11.635583</t>
        </is>
      </c>
      <c r="K27" s="19" t="n">
        <v>17.01056478</v>
      </c>
    </row>
    <row r="28" ht="30" customHeight="1">
      <c r="A28" s="6" t="n">
        <v>11</v>
      </c>
      <c r="B28" s="7" t="inlineStr">
        <is>
          <t>GURUPI</t>
        </is>
      </c>
      <c r="C28" s="8" t="n">
        <v>210</v>
      </c>
      <c r="D28" s="9" t="inlineStr">
        <is>
          <t>TO-181</t>
        </is>
      </c>
      <c r="E28" s="7" t="inlineStr">
        <is>
          <t>RODOVIA TO-181 - TRECHO ENTR. BR-242 - FUNDAÇÃO BRADESCO</t>
        </is>
      </c>
      <c r="F28" s="9" t="inlineStr">
        <is>
          <t>181ETO0140</t>
        </is>
      </c>
      <c r="G28" s="7" t="inlineStr">
        <is>
          <t>ENTR. BR-242(A) - FIM PAVIMENTAÇÃO(FUNDAÇÃO BRADESCO)</t>
        </is>
      </c>
      <c r="H28" s="9" t="inlineStr">
        <is>
          <t>PPS</t>
        </is>
      </c>
      <c r="I28" s="18" t="inlineStr">
        <is>
          <t>-49.896445, -11.979505</t>
        </is>
      </c>
      <c r="J28" s="18" t="inlineStr">
        <is>
          <t>-49.7756210656, -11.7890290401</t>
        </is>
      </c>
      <c r="K28" s="19" t="n">
        <v>26.5036409</v>
      </c>
    </row>
    <row r="29" ht="30" customHeight="1">
      <c r="A29" s="6" t="n">
        <v>11</v>
      </c>
      <c r="B29" s="7" t="inlineStr">
        <is>
          <t>GURUPI</t>
        </is>
      </c>
      <c r="C29" s="8" t="n">
        <v>211</v>
      </c>
      <c r="D29" s="9" t="inlineStr">
        <is>
          <t>TO-181</t>
        </is>
      </c>
      <c r="E29" s="7" t="inlineStr">
        <is>
          <t>RODOVIA TO-181 - TRECHO FUNDAÇÃO BRADESCO - ENTR. TO-070</t>
        </is>
      </c>
      <c r="F29" s="9" t="inlineStr">
        <is>
          <t>181ETO0150</t>
        </is>
      </c>
      <c r="G29" s="7" t="inlineStr">
        <is>
          <t>FIM PAVIMENTAÇÃO(FUNDAÇÃO BRADESCO) - ENTR. TO-070</t>
        </is>
      </c>
      <c r="H29" s="9" t="inlineStr">
        <is>
          <t>LEN</t>
        </is>
      </c>
      <c r="I29" s="18" t="inlineStr">
        <is>
          <t>-49.896445, -11.979505</t>
        </is>
      </c>
      <c r="J29" s="18" t="inlineStr">
        <is>
          <t>-49.82553, -12.282216</t>
        </is>
      </c>
      <c r="K29" s="19" t="n">
        <v>41.47450913</v>
      </c>
    </row>
    <row r="30" ht="30" customHeight="1">
      <c r="A30" s="6" t="n">
        <v>11</v>
      </c>
      <c r="B30" s="7" t="inlineStr">
        <is>
          <t>GURUPI</t>
        </is>
      </c>
      <c r="C30" s="8" t="n">
        <v>212</v>
      </c>
      <c r="D30" s="9" t="inlineStr">
        <is>
          <t>TO-181</t>
        </is>
      </c>
      <c r="E30" s="7" t="inlineStr">
        <is>
          <t>RODOVIA TO-181 - TRECHO ARAGUAÇU - SANDOLÂNDIA</t>
        </is>
      </c>
      <c r="F30" s="9" t="inlineStr">
        <is>
          <t>181ETO0200</t>
        </is>
      </c>
      <c r="G30" s="7" t="inlineStr">
        <is>
          <t>FIM DUPLICAÇÃO(FIM PU SANDOLÂNDIA) - ENTR. TO-373(ARAGUAÇU)</t>
        </is>
      </c>
      <c r="H30" s="9" t="inlineStr">
        <is>
          <t>PPS</t>
        </is>
      </c>
      <c r="I30" s="9" t="inlineStr">
        <is>
          <t>-49.9324800863, -12.5429778782</t>
        </is>
      </c>
      <c r="J30" s="9" t="inlineStr">
        <is>
          <t>-49.830338, -12.914704</t>
        </is>
      </c>
      <c r="K30" s="10" t="n">
        <v>48.68989417</v>
      </c>
    </row>
    <row r="31" ht="30" customHeight="1">
      <c r="A31" s="6" t="n">
        <v>11</v>
      </c>
      <c r="B31" s="7" t="inlineStr">
        <is>
          <t>GURUPI</t>
        </is>
      </c>
      <c r="C31" s="8" t="n">
        <v>212</v>
      </c>
      <c r="D31" s="9" t="inlineStr">
        <is>
          <t>TO-181</t>
        </is>
      </c>
      <c r="E31" s="7" t="inlineStr">
        <is>
          <t>RODOVIA TO-181 - TRECHO ARAGUAÇU - SANDOLÂNDIA</t>
        </is>
      </c>
      <c r="F31" s="9" t="inlineStr">
        <is>
          <t>181ETO0201D</t>
        </is>
      </c>
      <c r="G31" s="7" t="inlineStr">
        <is>
          <t>ENTR. TO-373(ARAGUAÇU)(INÍCIO DUPLICAÇÃO) - FIM DUPLICAÇÃO(PU ARAGUAÇU)</t>
        </is>
      </c>
      <c r="H31" s="9" t="inlineStr">
        <is>
          <t>PDU</t>
        </is>
      </c>
      <c r="I31" s="9" t="inlineStr">
        <is>
          <t>-49.8302564975, -12.9151671165</t>
        </is>
      </c>
      <c r="J31" s="9" t="inlineStr">
        <is>
          <t>-49.8312525523, -12.9235292919</t>
        </is>
      </c>
      <c r="K31" s="10" t="n">
        <v>0.962245165</v>
      </c>
    </row>
    <row r="32" ht="30" customHeight="1">
      <c r="A32" s="6" t="n">
        <v>11</v>
      </c>
      <c r="B32" s="7" t="inlineStr">
        <is>
          <t>GURUPI</t>
        </is>
      </c>
      <c r="C32" s="8" t="n">
        <v>212</v>
      </c>
      <c r="D32" s="9" t="inlineStr">
        <is>
          <t>TO-181</t>
        </is>
      </c>
      <c r="E32" s="7" t="inlineStr">
        <is>
          <t>RODOVIA TO-181 - TRECHO ARAGUAÇU - SANDOLÂNDIA</t>
        </is>
      </c>
      <c r="F32" s="9" t="inlineStr">
        <is>
          <t>181ETO0201E</t>
        </is>
      </c>
      <c r="G32" s="7" t="inlineStr">
        <is>
          <t>ENTR. TO-373(ARAGUAÇU)(INÍCIO DUPLICAÇÃO) - FIM DUPLICAÇÃO(PU ARAGUAÇU)</t>
        </is>
      </c>
      <c r="H32" s="9" t="inlineStr">
        <is>
          <t>PDU</t>
        </is>
      </c>
      <c r="I32" s="9" t="inlineStr">
        <is>
          <t>-49.8302564963, -12.9151671163</t>
        </is>
      </c>
      <c r="J32" s="9" t="inlineStr">
        <is>
          <t>-49.8312525523, -12.9235292919</t>
        </is>
      </c>
      <c r="K32" s="10" t="n">
        <v>0.964093976</v>
      </c>
    </row>
    <row r="33" ht="30" customHeight="1">
      <c r="A33" s="6" t="n">
        <v>11</v>
      </c>
      <c r="B33" s="7" t="inlineStr">
        <is>
          <t>GURUPI</t>
        </is>
      </c>
      <c r="C33" s="8" t="n">
        <v>212</v>
      </c>
      <c r="D33" s="9" t="inlineStr">
        <is>
          <t>TO-181</t>
        </is>
      </c>
      <c r="E33" s="7" t="inlineStr">
        <is>
          <t>RODOVIA TO-181 - TRECHO ARAGUAÇU - SANDOLÂNDIA</t>
        </is>
      </c>
      <c r="F33" s="9" t="inlineStr">
        <is>
          <t>181ETO0202</t>
        </is>
      </c>
      <c r="G33" s="7" t="inlineStr">
        <is>
          <t>FIM DUPLICAÇÃO(PU ARAGUAÇU) - FIM PAVIMENTAÇÃO(PU ARAGUAÇU)</t>
        </is>
      </c>
      <c r="H33" s="9" t="inlineStr">
        <is>
          <t>PSU</t>
        </is>
      </c>
      <c r="I33" s="9" t="inlineStr">
        <is>
          <t>-49.8312525523, -12.9235292919</t>
        </is>
      </c>
      <c r="J33" s="9" t="inlineStr">
        <is>
          <t>-49.8179, -12.946693</t>
        </is>
      </c>
      <c r="K33" s="10" t="n">
        <v>2.943748804</v>
      </c>
    </row>
    <row r="34" ht="30" customHeight="1">
      <c r="A34" s="6" t="n">
        <v>11</v>
      </c>
      <c r="B34" s="7" t="inlineStr">
        <is>
          <t>GURUPI</t>
        </is>
      </c>
      <c r="C34" s="8" t="n">
        <v>213</v>
      </c>
      <c r="D34" s="9" t="inlineStr">
        <is>
          <t>TO-181</t>
        </is>
      </c>
      <c r="E34" s="7" t="inlineStr">
        <is>
          <t>RODOVIA TO-181 - TRECHO ARAGUAÇU - DIVISA TO-GO</t>
        </is>
      </c>
      <c r="F34" s="9" t="inlineStr">
        <is>
          <t>181ETO0230</t>
        </is>
      </c>
      <c r="G34" s="7" t="inlineStr">
        <is>
          <t>FIM PAVIMENTAÇÃO(PU ARAGUAÇU) - DIV. TO/GO</t>
        </is>
      </c>
      <c r="H34" s="9" t="inlineStr">
        <is>
          <t>LEN</t>
        </is>
      </c>
      <c r="I34" s="9" t="inlineStr">
        <is>
          <t>-49.8179, -12.946693</t>
        </is>
      </c>
      <c r="J34" s="9" t="inlineStr">
        <is>
          <t>-49.561794, -13.167458</t>
        </is>
      </c>
      <c r="K34" s="10" t="n">
        <v>39.85177085</v>
      </c>
    </row>
    <row r="35" ht="30" customHeight="1">
      <c r="A35" s="6" t="n">
        <v>11</v>
      </c>
      <c r="B35" s="7" t="inlineStr">
        <is>
          <t>GURUPI</t>
        </is>
      </c>
      <c r="C35" s="8" t="n">
        <v>214</v>
      </c>
      <c r="D35" s="9" t="inlineStr">
        <is>
          <t>TO-362</t>
        </is>
      </c>
      <c r="E35" s="7" t="inlineStr">
        <is>
          <t>RODOVIA TO-362 - TRECHO SANTA RITA DO TOCANTINS - BREJINHO DE NAZARÉ</t>
        </is>
      </c>
      <c r="F35" s="9" t="inlineStr">
        <is>
          <t>362ETO0110</t>
        </is>
      </c>
      <c r="G35" s="7" t="inlineStr">
        <is>
          <t>ENTR. TO-070(B)(PU BREJINHO DE NAZARÉ) - FIM PAVIMENTAÇÃO(FIM PU BREJINHO DE NAZARÉ)</t>
        </is>
      </c>
      <c r="H35" s="9" t="inlineStr">
        <is>
          <t>PSU</t>
        </is>
      </c>
      <c r="I35" s="9" t="inlineStr">
        <is>
          <t>-48.5698939832, -11.0259769491</t>
        </is>
      </c>
      <c r="J35" s="9" t="inlineStr">
        <is>
          <t>-48.5691119523, -11.0182940589</t>
        </is>
      </c>
      <c r="K35" s="10" t="n">
        <v>0.950356565</v>
      </c>
    </row>
    <row r="36" ht="30" customHeight="1">
      <c r="A36" s="6" t="n">
        <v>11</v>
      </c>
      <c r="B36" s="7" t="inlineStr">
        <is>
          <t>GURUPI</t>
        </is>
      </c>
      <c r="C36" s="8" t="n">
        <v>214</v>
      </c>
      <c r="D36" s="9" t="inlineStr">
        <is>
          <t>TO-362</t>
        </is>
      </c>
      <c r="E36" s="7" t="inlineStr">
        <is>
          <t>RODOVIA TO-362 - TRECHO SANTA RITA DO TOCANTINS - BREJINHO DE NAZARÉ</t>
        </is>
      </c>
      <c r="F36" s="9" t="inlineStr">
        <is>
          <t>362ETO0100</t>
        </is>
      </c>
      <c r="G36" s="7" t="inlineStr">
        <is>
          <t>ENTR. BR-153(SANTA RITA DO TOCANTINS) - ENTR. TO-070(A)</t>
        </is>
      </c>
      <c r="H36" s="9" t="inlineStr">
        <is>
          <t>LEN</t>
        </is>
      </c>
      <c r="I36" s="9" t="inlineStr">
        <is>
          <t>-48.905564, -10.864649</t>
        </is>
      </c>
      <c r="J36" s="9" t="inlineStr">
        <is>
          <t>-48.56395345, -11.0063965585</t>
        </is>
      </c>
      <c r="K36" s="10" t="n">
        <v>45.20830114</v>
      </c>
    </row>
    <row r="37" ht="30" customHeight="1">
      <c r="A37" s="6" t="n">
        <v>11</v>
      </c>
      <c r="B37" s="7" t="inlineStr">
        <is>
          <t>GURUPI</t>
        </is>
      </c>
      <c r="C37" s="8" t="n">
        <v>215</v>
      </c>
      <c r="D37" s="9" t="inlineStr">
        <is>
          <t>TO-362</t>
        </is>
      </c>
      <c r="E37" s="7" t="inlineStr">
        <is>
          <t>RODOVIA TO-362 - TRECHO BREJINHO DE NAZARÉ - ENTR. TO-365 (ACESSO BALSA)</t>
        </is>
      </c>
      <c r="F37" s="9" t="inlineStr">
        <is>
          <t>362ETO0120</t>
        </is>
      </c>
      <c r="G37" s="7" t="inlineStr">
        <is>
          <t>FIM PAVIMENTAÇÃO(FIM PU BREJINHO DE NAZARÉ) - ENTR. TO-365</t>
        </is>
      </c>
      <c r="H37" s="9" t="inlineStr">
        <is>
          <t>LEN</t>
        </is>
      </c>
      <c r="I37" s="9" t="inlineStr">
        <is>
          <t>-48.471305, -11.265538</t>
        </is>
      </c>
      <c r="J37" s="9" t="inlineStr">
        <is>
          <t>-48.5698939832, -11.0259769491</t>
        </is>
      </c>
      <c r="K37" s="10" t="n">
        <v>36.35017625</v>
      </c>
    </row>
    <row r="38" ht="30" customHeight="1">
      <c r="A38" s="6" t="n">
        <v>11</v>
      </c>
      <c r="B38" s="7" t="inlineStr">
        <is>
          <t>GURUPI</t>
        </is>
      </c>
      <c r="C38" s="8" t="n">
        <v>216</v>
      </c>
      <c r="D38" s="9" t="inlineStr">
        <is>
          <t>TO-365</t>
        </is>
      </c>
      <c r="E38" s="7" t="inlineStr">
        <is>
          <t>RODOVIA TO-365 - TRECHO RIO TOCANTINS (BALSA) - TREVO DA PRAIA - ENTR. BR-153</t>
        </is>
      </c>
      <c r="F38" s="9" t="inlineStr">
        <is>
          <t>365ETO0220</t>
        </is>
      </c>
      <c r="G38" s="7" t="inlineStr">
        <is>
          <t>RIO TOCANTINS(BALSA) - ENTR. TO-362</t>
        </is>
      </c>
      <c r="H38" s="9" t="inlineStr">
        <is>
          <t>LEN</t>
        </is>
      </c>
      <c r="I38" s="9" t="inlineStr">
        <is>
          <t>-48.464147, -11.250884</t>
        </is>
      </c>
      <c r="J38" s="9" t="inlineStr">
        <is>
          <t>-48.471305, -11.265538</t>
        </is>
      </c>
      <c r="K38" s="10" t="n">
        <v>1.977630693</v>
      </c>
    </row>
    <row r="39" ht="30" customHeight="1">
      <c r="A39" s="6" t="n">
        <v>11</v>
      </c>
      <c r="B39" s="7" t="inlineStr">
        <is>
          <t>GURUPI</t>
        </is>
      </c>
      <c r="C39" s="8" t="n">
        <v>216</v>
      </c>
      <c r="D39" s="9" t="inlineStr">
        <is>
          <t>TO-365</t>
        </is>
      </c>
      <c r="E39" s="7" t="inlineStr">
        <is>
          <t>RODOVIA TO-365 - TRECHO RIO TOCANTINS (BALSA) - TREVO DA PRAIA - ENTR. BR-153</t>
        </is>
      </c>
      <c r="F39" s="9" t="inlineStr">
        <is>
          <t>365ETO0230</t>
        </is>
      </c>
      <c r="G39" s="7" t="inlineStr">
        <is>
          <t>ENTR. TO-362 - ENTR. TO-373</t>
        </is>
      </c>
      <c r="H39" s="9" t="inlineStr">
        <is>
          <t>LEN</t>
        </is>
      </c>
      <c r="I39" s="9" t="inlineStr">
        <is>
          <t>-48.471305, -11.265538</t>
        </is>
      </c>
      <c r="J39" s="9" t="inlineStr">
        <is>
          <t>-48.614256, -11.419316</t>
        </is>
      </c>
      <c r="K39" s="10" t="n">
        <v>31.49682661</v>
      </c>
    </row>
    <row r="40" ht="30" customHeight="1">
      <c r="A40" s="6" t="n">
        <v>11</v>
      </c>
      <c r="B40" s="7" t="inlineStr">
        <is>
          <t>GURUPI</t>
        </is>
      </c>
      <c r="C40" s="8" t="n">
        <v>216</v>
      </c>
      <c r="D40" s="9" t="inlineStr">
        <is>
          <t>TO-365</t>
        </is>
      </c>
      <c r="E40" s="7" t="inlineStr">
        <is>
          <t>RODOVIA TO-365 - TRECHO RIO TOCANTINS (BALSA) - TREVO DA PRAIA - ENTR. BR-153</t>
        </is>
      </c>
      <c r="F40" s="9" t="inlineStr">
        <is>
          <t>365ETO0240</t>
        </is>
      </c>
      <c r="G40" s="7" t="inlineStr">
        <is>
          <t>ENTR. TO-373 - INÍCIO PAVIMENTAÇÃO(PU POV. TREVO DA PRAIA)</t>
        </is>
      </c>
      <c r="H40" s="9" t="inlineStr">
        <is>
          <t>LEN</t>
        </is>
      </c>
      <c r="I40" s="9" t="inlineStr">
        <is>
          <t>-48.614256, -11.419316</t>
        </is>
      </c>
      <c r="J40" s="9" t="inlineStr">
        <is>
          <t>-48.639269, -11.436596</t>
        </is>
      </c>
      <c r="K40" s="10" t="n">
        <v>3.629234062</v>
      </c>
    </row>
    <row r="41" ht="30" customHeight="1">
      <c r="A41" s="6" t="n">
        <v>11</v>
      </c>
      <c r="B41" s="7" t="inlineStr">
        <is>
          <t>GURUPI</t>
        </is>
      </c>
      <c r="C41" s="8" t="n">
        <v>216</v>
      </c>
      <c r="D41" s="9" t="inlineStr">
        <is>
          <t>TO-365</t>
        </is>
      </c>
      <c r="E41" s="7" t="inlineStr">
        <is>
          <t>RODOVIA TO-365 - TRECHO RIO TOCANTINS (BALSA) - TREVO DA PRAIA - ENTR. BR-153</t>
        </is>
      </c>
      <c r="F41" s="9" t="inlineStr">
        <is>
          <t>365ETO0242D</t>
        </is>
      </c>
      <c r="G41" s="7" t="inlineStr">
        <is>
          <t>INÍCIO DUPLICAÇÃO(PU POV. TREVO DA PRAIA) - FIM PU POV. TREVO DA PRAIA</t>
        </is>
      </c>
      <c r="H41" s="9" t="inlineStr">
        <is>
          <t>PDU</t>
        </is>
      </c>
      <c r="I41" s="9" t="inlineStr">
        <is>
          <t>-48.639269, -11.436596</t>
        </is>
      </c>
      <c r="J41" s="9" t="inlineStr">
        <is>
          <t>-48.640822, -11.439639</t>
        </is>
      </c>
      <c r="K41" s="10" t="n">
        <v>0.377675769</v>
      </c>
    </row>
    <row r="42" ht="30" customHeight="1">
      <c r="A42" s="6" t="n">
        <v>11</v>
      </c>
      <c r="B42" s="7" t="inlineStr">
        <is>
          <t>GURUPI</t>
        </is>
      </c>
      <c r="C42" s="8" t="n">
        <v>216</v>
      </c>
      <c r="D42" s="9" t="inlineStr">
        <is>
          <t>TO-365</t>
        </is>
      </c>
      <c r="E42" s="7" t="inlineStr">
        <is>
          <t>RODOVIA TO-365 - TRECHO RIO TOCANTINS (BALSA) - TREVO DA PRAIA - ENTR. BR-153</t>
        </is>
      </c>
      <c r="F42" s="9" t="inlineStr">
        <is>
          <t>365ETO0242E</t>
        </is>
      </c>
      <c r="G42" s="7" t="inlineStr">
        <is>
          <t>INÍCIO DUPLICAÇÃO(PU POV. TREVO DA PRAIA) - FIM PU POV. TREVO DA PRAIA</t>
        </is>
      </c>
      <c r="H42" s="9" t="inlineStr">
        <is>
          <t>PDU</t>
        </is>
      </c>
      <c r="I42" s="9" t="inlineStr">
        <is>
          <t>-48.640822, -11.439639</t>
        </is>
      </c>
      <c r="J42" s="9" t="inlineStr">
        <is>
          <t>-48.639269, -11.436596</t>
        </is>
      </c>
      <c r="K42" s="10" t="n">
        <v>0.380288305</v>
      </c>
    </row>
    <row r="43" ht="30" customHeight="1">
      <c r="A43" s="6" t="n">
        <v>11</v>
      </c>
      <c r="B43" s="7" t="inlineStr">
        <is>
          <t>GURUPI</t>
        </is>
      </c>
      <c r="C43" s="8" t="n">
        <v>216</v>
      </c>
      <c r="D43" s="9" t="inlineStr">
        <is>
          <t>TO-365</t>
        </is>
      </c>
      <c r="E43" s="7" t="inlineStr">
        <is>
          <t>RODOVIA TO-365 - TRECHO RIO TOCANTINS (BALSA) - TREVO DA PRAIA - ENTR. BR-153</t>
        </is>
      </c>
      <c r="F43" s="9" t="inlineStr">
        <is>
          <t>365ETO0250</t>
        </is>
      </c>
      <c r="G43" s="7" t="inlineStr">
        <is>
          <t>FIM PU POV. TREVO DA PRAIA - ENTR. BR-153</t>
        </is>
      </c>
      <c r="H43" s="9" t="inlineStr">
        <is>
          <t>PPS</t>
        </is>
      </c>
      <c r="I43" s="9" t="inlineStr">
        <is>
          <t>-48.640822, -11.439639</t>
        </is>
      </c>
      <c r="J43" s="9" t="inlineStr">
        <is>
          <t>-49.035314, -11.585669</t>
        </is>
      </c>
      <c r="K43" s="10" t="n">
        <v>51.80260329</v>
      </c>
    </row>
    <row r="44" ht="30" customHeight="1">
      <c r="A44" s="6" t="n">
        <v>11</v>
      </c>
      <c r="B44" s="7" t="inlineStr">
        <is>
          <t>GURUPI</t>
        </is>
      </c>
      <c r="C44" s="8" t="n">
        <v>217</v>
      </c>
      <c r="D44" s="9" t="inlineStr">
        <is>
          <t>TO-373</t>
        </is>
      </c>
      <c r="E44" s="7" t="inlineStr">
        <is>
          <t>RODOVIA TO-373 - TRECHO ENTR. TO-365 - RIO TOCANTINS (BALSA)</t>
        </is>
      </c>
      <c r="F44" s="9" t="inlineStr">
        <is>
          <t>373ETO0100</t>
        </is>
      </c>
      <c r="G44" s="7" t="inlineStr">
        <is>
          <t>ENTR. TO-365 - RIO TOCANTINS(BALSA)</t>
        </is>
      </c>
      <c r="H44" s="9" t="inlineStr">
        <is>
          <t>LEN</t>
        </is>
      </c>
      <c r="I44" s="9" t="inlineStr">
        <is>
          <t>-48.614256, -11.419316</t>
        </is>
      </c>
      <c r="J44" s="9" t="inlineStr">
        <is>
          <t>-48.5944385348, -11.4276147666</t>
        </is>
      </c>
      <c r="K44" s="10" t="n">
        <v>2.383963011</v>
      </c>
    </row>
    <row r="45" ht="15" customHeight="1">
      <c r="A45" s="6" t="n">
        <v>11</v>
      </c>
      <c r="B45" s="7" t="inlineStr">
        <is>
          <t>GURUPI</t>
        </is>
      </c>
      <c r="C45" s="8" t="n">
        <v>203</v>
      </c>
      <c r="D45" s="9" t="inlineStr">
        <is>
          <t>TO-373</t>
        </is>
      </c>
      <c r="E45" s="7" t="inlineStr">
        <is>
          <t>RODOVIA TO-373 - TRECHO ALVORADA - ARAGUAÇU</t>
        </is>
      </c>
      <c r="F45" s="9" t="inlineStr">
        <is>
          <t>373ETO0221</t>
        </is>
      </c>
      <c r="G45" s="7" t="inlineStr">
        <is>
          <t>ENTR. BR-153(PU ALVORADA) - FIM PU ALVORADA</t>
        </is>
      </c>
      <c r="H45" s="9" t="inlineStr">
        <is>
          <t>PSU</t>
        </is>
      </c>
      <c r="I45" s="9" t="inlineStr">
        <is>
          <t>-49.12822, -12.4898</t>
        </is>
      </c>
      <c r="J45" s="9" t="inlineStr">
        <is>
          <t>-49.118154, -12.482439</t>
        </is>
      </c>
      <c r="K45" s="10" t="n">
        <v>1.399199495</v>
      </c>
    </row>
    <row r="46" ht="30" customHeight="1">
      <c r="A46" s="6" t="n">
        <v>11</v>
      </c>
      <c r="B46" s="7" t="inlineStr">
        <is>
          <t>GURUPI</t>
        </is>
      </c>
      <c r="C46" s="8" t="n">
        <v>218</v>
      </c>
      <c r="D46" s="9" t="inlineStr">
        <is>
          <t>TO-373</t>
        </is>
      </c>
      <c r="E46" s="7" t="inlineStr">
        <is>
          <t>RODOVIA TO-373 - TRECHO ALVORADA - ARAGUAÇU - DIVISA TO-GO</t>
        </is>
      </c>
      <c r="F46" s="9" t="inlineStr">
        <is>
          <t>373ETO0240</t>
        </is>
      </c>
      <c r="G46" s="7" t="inlineStr">
        <is>
          <t>FIM PU ALVORADA - ENTR. TO-181(PU ARAGUAÇU)</t>
        </is>
      </c>
      <c r="H46" s="9" t="inlineStr">
        <is>
          <t>PPS</t>
        </is>
      </c>
      <c r="I46" s="9" t="inlineStr">
        <is>
          <t>-49.830338, -12.914704</t>
        </is>
      </c>
      <c r="J46" s="9" t="inlineStr">
        <is>
          <t>-49.1282762783, -12.4898735669</t>
        </is>
      </c>
      <c r="K46" s="10" t="n">
        <v>94.90347145</v>
      </c>
    </row>
    <row r="47" ht="30" customHeight="1">
      <c r="A47" s="6" t="n">
        <v>11</v>
      </c>
      <c r="B47" s="7" t="inlineStr">
        <is>
          <t>GURUPI</t>
        </is>
      </c>
      <c r="C47" s="8" t="n">
        <v>218</v>
      </c>
      <c r="D47" s="9" t="inlineStr">
        <is>
          <t>TO-373</t>
        </is>
      </c>
      <c r="E47" s="7" t="inlineStr">
        <is>
          <t>RODOVIA TO-373 - TRECHO ALVORADA - ARAGUAÇU - DIVISA TO-GO</t>
        </is>
      </c>
      <c r="F47" s="9" t="inlineStr">
        <is>
          <t>373ETO0250</t>
        </is>
      </c>
      <c r="G47" s="7" t="inlineStr">
        <is>
          <t>ENTR. TO-181(PU ARAGUAÇU) - ENTR. ACESSO SUL(ARAGUAÇU)</t>
        </is>
      </c>
      <c r="H47" s="9" t="inlineStr">
        <is>
          <t>PPS</t>
        </is>
      </c>
      <c r="I47" s="9" t="inlineStr">
        <is>
          <t>-49.84488, -12.947198</t>
        </is>
      </c>
      <c r="J47" s="9" t="inlineStr">
        <is>
          <t>-49.830338, -12.914704</t>
        </is>
      </c>
      <c r="K47" s="10" t="n">
        <v>6.116409838</v>
      </c>
    </row>
    <row r="48" ht="30" customHeight="1">
      <c r="A48" s="6" t="n">
        <v>11</v>
      </c>
      <c r="B48" s="7" t="inlineStr">
        <is>
          <t>GURUPI</t>
        </is>
      </c>
      <c r="C48" s="8" t="n">
        <v>218</v>
      </c>
      <c r="D48" s="9" t="inlineStr">
        <is>
          <t>TO-373</t>
        </is>
      </c>
      <c r="E48" s="7" t="inlineStr">
        <is>
          <t>RODOVIA TO-373 - TRECHO ALVORADA - ARAGUAÇU - DIVISA TO-GO</t>
        </is>
      </c>
      <c r="F48" s="9" t="inlineStr">
        <is>
          <t>373ETO0260</t>
        </is>
      </c>
      <c r="G48" s="7" t="inlineStr">
        <is>
          <t>ENTR. ACESSO SUL(ARAGUAÇU) - DIV. TO/GO</t>
        </is>
      </c>
      <c r="H48" s="9" t="inlineStr">
        <is>
          <t>PPS</t>
        </is>
      </c>
      <c r="I48" s="9" t="inlineStr">
        <is>
          <t>-49.84488, -12.947198</t>
        </is>
      </c>
      <c r="J48" s="9" t="inlineStr">
        <is>
          <t>-49.9054921443, -12.9892877154</t>
        </is>
      </c>
      <c r="K48" s="10" t="n">
        <v>8.836310907</v>
      </c>
    </row>
    <row r="49" ht="15" customHeight="1">
      <c r="A49" s="6" t="n">
        <v>11</v>
      </c>
      <c r="B49" s="7" t="inlineStr">
        <is>
          <t>GURUPI</t>
        </is>
      </c>
      <c r="C49" s="8" t="n">
        <v>219</v>
      </c>
      <c r="D49" s="9" t="inlineStr">
        <is>
          <t>TO-374</t>
        </is>
      </c>
      <c r="E49" s="7" t="inlineStr">
        <is>
          <t>RODOVIA TO-374 - TRECHO DUERÉ - GURUPI</t>
        </is>
      </c>
      <c r="F49" s="9" t="inlineStr">
        <is>
          <t>374ETO0200</t>
        </is>
      </c>
      <c r="G49" s="7" t="inlineStr">
        <is>
          <t>ENTR. TO-070 - INÍCIO PU GURUPI</t>
        </is>
      </c>
      <c r="H49" s="9" t="inlineStr">
        <is>
          <t>PPS</t>
        </is>
      </c>
      <c r="I49" s="9" t="inlineStr">
        <is>
          <t>-49.104033, -11.711759</t>
        </is>
      </c>
      <c r="J49" s="9" t="inlineStr">
        <is>
          <t>-49.2694616029, -11.3495976881</t>
        </is>
      </c>
      <c r="K49" s="10" t="n">
        <v>48.43009456</v>
      </c>
    </row>
    <row r="50" ht="15" customHeight="1">
      <c r="A50" s="6" t="n">
        <v>11</v>
      </c>
      <c r="B50" s="7" t="inlineStr">
        <is>
          <t>GURUPI</t>
        </is>
      </c>
      <c r="C50" s="8" t="n">
        <v>219</v>
      </c>
      <c r="D50" s="9" t="inlineStr">
        <is>
          <t>TO-374</t>
        </is>
      </c>
      <c r="E50" s="7" t="inlineStr">
        <is>
          <t>RODOVIA TO-374 - TRECHO DUERÉ - GURUPI</t>
        </is>
      </c>
      <c r="F50" s="9" t="inlineStr">
        <is>
          <t>374ETO0201</t>
        </is>
      </c>
      <c r="G50" s="7" t="inlineStr">
        <is>
          <t>INÍCIO PU GURUPI - ENTR. BR-153(PU GURUPI)</t>
        </is>
      </c>
      <c r="H50" s="9" t="inlineStr">
        <is>
          <t>PSU</t>
        </is>
      </c>
      <c r="I50" s="9" t="inlineStr">
        <is>
          <t>-49.0771856183, -11.7192830604</t>
        </is>
      </c>
      <c r="J50" s="9" t="inlineStr">
        <is>
          <t>-49.104033, -11.711759</t>
        </is>
      </c>
      <c r="K50" s="10" t="n">
        <v>3.205717518</v>
      </c>
    </row>
    <row r="51" ht="30" customHeight="1">
      <c r="A51" s="6" t="n">
        <v>11</v>
      </c>
      <c r="B51" s="7" t="inlineStr">
        <is>
          <t>GURUPI</t>
        </is>
      </c>
      <c r="C51" s="8" t="n">
        <v>220</v>
      </c>
      <c r="D51" s="9" t="inlineStr">
        <is>
          <t>TO-460</t>
        </is>
      </c>
      <c r="E51" s="7" t="inlineStr">
        <is>
          <t>RODOVIA TO-460 - TRECHO BR-242 (VILA QUIXABA) - SUCUPIRA</t>
        </is>
      </c>
      <c r="F51" s="9" t="inlineStr">
        <is>
          <t>460ETO0005</t>
        </is>
      </c>
      <c r="G51" s="7" t="inlineStr">
        <is>
          <t>ENTR. BR-242(VILA QUIXABÁ) - FIM PU VILA QUIXABÁ</t>
        </is>
      </c>
      <c r="H51" s="9" t="inlineStr">
        <is>
          <t>PPS</t>
        </is>
      </c>
      <c r="I51" s="9" t="inlineStr">
        <is>
          <t>-48.837629, -11.880546</t>
        </is>
      </c>
      <c r="J51" s="9" t="inlineStr">
        <is>
          <t>-48.837542, -11.877711</t>
        </is>
      </c>
      <c r="K51" s="10" t="n">
        <v>0.314683982</v>
      </c>
    </row>
    <row r="52" ht="30" customHeight="1">
      <c r="A52" s="6" t="n">
        <v>11</v>
      </c>
      <c r="B52" s="7" t="inlineStr">
        <is>
          <t>GURUPI</t>
        </is>
      </c>
      <c r="C52" s="8" t="n">
        <v>220</v>
      </c>
      <c r="D52" s="9" t="inlineStr">
        <is>
          <t>TO-460</t>
        </is>
      </c>
      <c r="E52" s="7" t="inlineStr">
        <is>
          <t>RODOVIA TO-460 - TRECHO BR-242 (VILA QUIXABA) - SUCUPIRA</t>
        </is>
      </c>
      <c r="F52" s="9" t="inlineStr">
        <is>
          <t>460ETO0010</t>
        </is>
      </c>
      <c r="G52" s="7" t="inlineStr">
        <is>
          <t>FIM PU VILA QUIXABÁ - INÍCIO DUPLICAÇÃO</t>
        </is>
      </c>
      <c r="H52" s="9" t="inlineStr">
        <is>
          <t>PPS</t>
        </is>
      </c>
      <c r="I52" s="9" t="inlineStr">
        <is>
          <t>-48.9042622156, -11.9818701098</t>
        </is>
      </c>
      <c r="J52" s="9" t="inlineStr">
        <is>
          <t>-48.837629, -11.880546</t>
        </is>
      </c>
      <c r="K52" s="10" t="n">
        <v>13.71068775</v>
      </c>
    </row>
    <row r="53" ht="30" customHeight="1">
      <c r="A53" s="6" t="n">
        <v>11</v>
      </c>
      <c r="B53" s="7" t="inlineStr">
        <is>
          <t>GURUPI</t>
        </is>
      </c>
      <c r="C53" s="8" t="n">
        <v>220</v>
      </c>
      <c r="D53" s="9" t="inlineStr">
        <is>
          <t>TO-460</t>
        </is>
      </c>
      <c r="E53" s="7" t="inlineStr">
        <is>
          <t>RODOVIA TO-460 - TRECHO BR-242 (VILA QUIXABA) - SUCUPIRA</t>
        </is>
      </c>
      <c r="F53" s="9" t="inlineStr">
        <is>
          <t>460ETO0012D</t>
        </is>
      </c>
      <c r="G53" s="7" t="inlineStr">
        <is>
          <t>INÍCIO DUPLICAÇÃO - INÍCIO PU SUCUPIRA</t>
        </is>
      </c>
      <c r="H53" s="9" t="inlineStr">
        <is>
          <t>PDU</t>
        </is>
      </c>
      <c r="I53" s="9" t="inlineStr">
        <is>
          <t>-48.9063434319, -11.9848774301</t>
        </is>
      </c>
      <c r="J53" s="9" t="inlineStr">
        <is>
          <t>-48.9042622156, -11.9818701098</t>
        </is>
      </c>
      <c r="K53" s="10" t="n">
        <v>0.406141618</v>
      </c>
    </row>
    <row r="54" ht="30" customHeight="1">
      <c r="A54" s="6" t="n">
        <v>11</v>
      </c>
      <c r="B54" s="7" t="inlineStr">
        <is>
          <t>GURUPI</t>
        </is>
      </c>
      <c r="C54" s="8" t="n">
        <v>220</v>
      </c>
      <c r="D54" s="9" t="inlineStr">
        <is>
          <t>TO-460</t>
        </is>
      </c>
      <c r="E54" s="7" t="inlineStr">
        <is>
          <t>RODOVIA TO-460 - TRECHO BR-242 (VILA QUIXABA) - SUCUPIRA</t>
        </is>
      </c>
      <c r="F54" s="9" t="inlineStr">
        <is>
          <t>460ETO0012E</t>
        </is>
      </c>
      <c r="G54" s="7" t="inlineStr">
        <is>
          <t>INÍCIO DUPLICAÇÃO - INÍCIO PU SUCUPIRA</t>
        </is>
      </c>
      <c r="H54" s="9" t="inlineStr">
        <is>
          <t>PDU</t>
        </is>
      </c>
      <c r="I54" s="9" t="inlineStr">
        <is>
          <t>-48.9063816253, -11.9848473104</t>
        </is>
      </c>
      <c r="J54" s="9" t="inlineStr">
        <is>
          <t>-48.9042622156, -11.9818701098</t>
        </is>
      </c>
      <c r="K54" s="10" t="n">
        <v>0.403962213</v>
      </c>
    </row>
    <row r="55" ht="30" customHeight="1">
      <c r="A55" s="6" t="n">
        <v>11</v>
      </c>
      <c r="B55" s="7" t="inlineStr">
        <is>
          <t>GURUPI</t>
        </is>
      </c>
      <c r="C55" s="16" t="n">
        <v>222</v>
      </c>
      <c r="D55" s="9" t="inlineStr">
        <is>
          <t>TO-460</t>
        </is>
      </c>
      <c r="E55" s="7" t="inlineStr">
        <is>
          <t>RODOVIA TO-460 - TRECHO BR-242 (VILA QUIXABA) - SUCUPIRA</t>
        </is>
      </c>
      <c r="F55" s="9" t="inlineStr">
        <is>
          <t>460ETO0015D</t>
        </is>
      </c>
      <c r="G55" s="7" t="inlineStr">
        <is>
          <t>INÍCIO PU SUCUPIRA - FIM DUPLICAÇÃO(PU SUCUPIRA)</t>
        </is>
      </c>
      <c r="H55" s="9" t="inlineStr">
        <is>
          <t>PDU</t>
        </is>
      </c>
      <c r="I55" s="9" t="inlineStr">
        <is>
          <t>-48.909659, -11.989516</t>
        </is>
      </c>
      <c r="J55" s="9" t="inlineStr">
        <is>
          <t>-48.9063816253, -11.9848473104</t>
        </is>
      </c>
      <c r="K55" s="10" t="n">
        <v>0.631921591</v>
      </c>
    </row>
    <row r="56" ht="30" customHeight="1">
      <c r="A56" s="6" t="n">
        <v>11</v>
      </c>
      <c r="B56" s="7" t="inlineStr">
        <is>
          <t>GURUPI</t>
        </is>
      </c>
      <c r="C56" s="16" t="n">
        <v>222</v>
      </c>
      <c r="D56" s="9" t="inlineStr">
        <is>
          <t>TO-460</t>
        </is>
      </c>
      <c r="E56" s="7" t="inlineStr">
        <is>
          <t>RODOVIA TO-460 - TRECHO BR-242 (VILA QUIXABA) - SUCUPIRA</t>
        </is>
      </c>
      <c r="F56" s="9" t="inlineStr">
        <is>
          <t>460ETO0015E</t>
        </is>
      </c>
      <c r="G56" s="7" t="inlineStr">
        <is>
          <t>INÍCIO PU SUCUPIRA - FIM DUPLICAÇÃO(PU SUCUPIRA)</t>
        </is>
      </c>
      <c r="H56" s="9" t="inlineStr">
        <is>
          <t>PDU</t>
        </is>
      </c>
      <c r="I56" s="9" t="inlineStr">
        <is>
          <t>-48.909659, -11.989516</t>
        </is>
      </c>
      <c r="J56" s="9" t="inlineStr">
        <is>
          <t>-48.9063434319, -11.9848774301</t>
        </is>
      </c>
      <c r="K56" s="10" t="n">
        <v>0.6307856469999999</v>
      </c>
    </row>
    <row r="57" ht="30" customHeight="1">
      <c r="A57" s="6" t="n">
        <v>11</v>
      </c>
      <c r="B57" s="7" t="inlineStr">
        <is>
          <t>GURUPI</t>
        </is>
      </c>
      <c r="C57" s="8" t="n">
        <v>222</v>
      </c>
      <c r="D57" s="17" t="inlineStr">
        <is>
          <t>TO-460</t>
        </is>
      </c>
      <c r="E57" s="7" t="inlineStr">
        <is>
          <t>RODOVIA TO-483 - TRECHO SUCUPIRA - FIGUEIRÓPOLIS</t>
        </is>
      </c>
      <c r="F57" s="9" t="inlineStr">
        <is>
          <t>460ETO0017</t>
        </is>
      </c>
      <c r="G57" s="7" t="inlineStr">
        <is>
          <t>FIM DUPLICAÇÃO(PU SUCUPIRA) - FIM PU SUCUPIRA</t>
        </is>
      </c>
      <c r="H57" s="9" t="inlineStr">
        <is>
          <t>PSU</t>
        </is>
      </c>
      <c r="I57" s="9" t="inlineStr">
        <is>
          <t>-48.909659, -11.989516</t>
        </is>
      </c>
      <c r="J57" s="9" t="inlineStr">
        <is>
          <t>-48.911681, -11.992262</t>
        </is>
      </c>
      <c r="K57" s="10" t="n">
        <v>0.375294314</v>
      </c>
    </row>
    <row r="58" ht="30" customHeight="1">
      <c r="A58" s="6" t="n">
        <v>11</v>
      </c>
      <c r="B58" s="7" t="inlineStr">
        <is>
          <t>GURUPI</t>
        </is>
      </c>
      <c r="C58" s="8" t="n">
        <v>222</v>
      </c>
      <c r="D58" s="17" t="inlineStr">
        <is>
          <t>TO-460</t>
        </is>
      </c>
      <c r="E58" s="7" t="inlineStr">
        <is>
          <t>RODOVIA TO-483 - TRECHO SUCUPIRA - FIGUEIRÓPOLIS</t>
        </is>
      </c>
      <c r="F58" s="9" t="inlineStr">
        <is>
          <t>460ETO0020</t>
        </is>
      </c>
      <c r="G58" s="7" t="inlineStr">
        <is>
          <t>FIM PU SUCUPIRA - FIM PAVIMENTAÇÃO</t>
        </is>
      </c>
      <c r="H58" s="9" t="inlineStr">
        <is>
          <t>PPS</t>
        </is>
      </c>
      <c r="I58" s="9" t="inlineStr">
        <is>
          <t>-48.911681, -11.992262</t>
        </is>
      </c>
      <c r="J58" s="9" t="inlineStr">
        <is>
          <t>-48.914719, -11.996497</t>
        </is>
      </c>
      <c r="K58" s="10" t="n">
        <v>0.57369017</v>
      </c>
    </row>
    <row r="59" ht="30" customHeight="1">
      <c r="A59" s="6" t="n">
        <v>11</v>
      </c>
      <c r="B59" s="7" t="inlineStr">
        <is>
          <t>GURUPI</t>
        </is>
      </c>
      <c r="C59" s="8" t="n">
        <v>222</v>
      </c>
      <c r="D59" s="17" t="inlineStr">
        <is>
          <t>TO-460</t>
        </is>
      </c>
      <c r="E59" s="7" t="inlineStr">
        <is>
          <t>RODOVIA TO-483 - TRECHO SUCUPIRA - FIGUEIRÓPOLIS</t>
        </is>
      </c>
      <c r="F59" s="9" t="inlineStr">
        <is>
          <t>460ETO0022</t>
        </is>
      </c>
      <c r="G59" s="7" t="inlineStr">
        <is>
          <t>FIM PAVIMENTAÇÃO - ENTR. TO-483</t>
        </is>
      </c>
      <c r="H59" s="9" t="inlineStr">
        <is>
          <t>LEN</t>
        </is>
      </c>
      <c r="I59" s="9" t="inlineStr">
        <is>
          <t>-48.914719, -11.996497</t>
        </is>
      </c>
      <c r="J59" s="9" t="inlineStr">
        <is>
          <t>-48.92596, -12.021766</t>
        </is>
      </c>
      <c r="K59" s="10" t="n">
        <v>3.206510826</v>
      </c>
    </row>
    <row r="60" ht="30" customHeight="1">
      <c r="A60" s="6" t="n">
        <v>11</v>
      </c>
      <c r="B60" s="7" t="inlineStr">
        <is>
          <t>GURUPI</t>
        </is>
      </c>
      <c r="C60" s="8" t="n">
        <v>221</v>
      </c>
      <c r="D60" s="9" t="inlineStr">
        <is>
          <t>TO-481</t>
        </is>
      </c>
      <c r="E60" s="7" t="inlineStr">
        <is>
          <t>RODOVIA TO-481 - TRECHO DUERÉ - ENTR. TO-181 (CAPAO DO COCO)</t>
        </is>
      </c>
      <c r="F60" s="9" t="inlineStr">
        <is>
          <t>481ETO0005</t>
        </is>
      </c>
      <c r="G60" s="7" t="inlineStr">
        <is>
          <t>ENTR. TO-070(PU DUERÉ) - FIM PAVIMENTAÇÃO(FIM PU DUERÉ)</t>
        </is>
      </c>
      <c r="H60" s="9" t="inlineStr">
        <is>
          <t>PSU</t>
        </is>
      </c>
      <c r="I60" s="9" t="inlineStr">
        <is>
          <t>-49.274985, -11.341711</t>
        </is>
      </c>
      <c r="J60" s="9" t="inlineStr">
        <is>
          <t>-49.265577982, -11.3397205751</t>
        </is>
      </c>
      <c r="K60" s="10" t="n">
        <v>1.252583393</v>
      </c>
    </row>
    <row r="61" ht="30" customHeight="1">
      <c r="A61" s="6" t="n">
        <v>11</v>
      </c>
      <c r="B61" s="7" t="inlineStr">
        <is>
          <t>GURUPI</t>
        </is>
      </c>
      <c r="C61" s="8" t="n">
        <v>221</v>
      </c>
      <c r="D61" s="9" t="inlineStr">
        <is>
          <t>TO-481</t>
        </is>
      </c>
      <c r="E61" s="7" t="inlineStr">
        <is>
          <t>RODOVIA TO-481 - TRECHO DUERÉ - ENTR. TO-181 (CAPAO DO COCO)</t>
        </is>
      </c>
      <c r="F61" s="9" t="inlineStr">
        <is>
          <t>481ETO0020</t>
        </is>
      </c>
      <c r="G61" s="7" t="inlineStr">
        <is>
          <t>FIM PAVIMENTAÇÃO(FIM PU DUERÉ) - ENTR. TO-181(POV. CAPÃO DO COCO)</t>
        </is>
      </c>
      <c r="H61" s="9" t="inlineStr">
        <is>
          <t>LEN</t>
        </is>
      </c>
      <c r="I61" s="9" t="inlineStr">
        <is>
          <t>-49.8738127299, -11.1861913054</t>
        </is>
      </c>
      <c r="J61" s="9" t="inlineStr">
        <is>
          <t>-49.274985, -11.341711</t>
        </is>
      </c>
      <c r="K61" s="10" t="n">
        <v>77.2370877110631</v>
      </c>
    </row>
    <row r="62" ht="30" customHeight="1">
      <c r="A62" s="6" t="n">
        <v>11</v>
      </c>
      <c r="B62" s="7" t="inlineStr">
        <is>
          <t>GURUPI</t>
        </is>
      </c>
      <c r="C62" s="8" t="n">
        <v>222</v>
      </c>
      <c r="D62" s="9" t="inlineStr">
        <is>
          <t>TO-483</t>
        </is>
      </c>
      <c r="E62" s="7" t="inlineStr">
        <is>
          <t>RODOVIA TO-483 - TRECHO SUCUPIRA - FIGUEIRÓPOLIS</t>
        </is>
      </c>
      <c r="F62" s="9" t="inlineStr">
        <is>
          <t>483ETO0020</t>
        </is>
      </c>
      <c r="G62" s="7" t="inlineStr">
        <is>
          <t>ENTR. TO-460 - INÍCIO PAVIMENTAÇÃO(PU FIGUEIRÓPOLIS)</t>
        </is>
      </c>
      <c r="H62" s="9" t="inlineStr">
        <is>
          <t>LEN</t>
        </is>
      </c>
      <c r="I62" s="9" t="inlineStr">
        <is>
          <t>-48.92596, -12.021766</t>
        </is>
      </c>
      <c r="J62" s="9" t="inlineStr">
        <is>
          <t>-49.158789, -12.128869</t>
        </is>
      </c>
      <c r="K62" s="10" t="n">
        <v>33.963419</v>
      </c>
    </row>
    <row r="63" ht="30" customHeight="1">
      <c r="A63" s="6" t="n">
        <v>11</v>
      </c>
      <c r="B63" s="7" t="inlineStr">
        <is>
          <t>GURUPI</t>
        </is>
      </c>
      <c r="C63" s="8" t="n">
        <v>222</v>
      </c>
      <c r="D63" s="9" t="inlineStr">
        <is>
          <t>TO-483</t>
        </is>
      </c>
      <c r="E63" s="7" t="inlineStr">
        <is>
          <t>RODOVIA TO-483 - TRECHO SUCUPIRA - FIGUEIRÓPOLIS</t>
        </is>
      </c>
      <c r="F63" s="9" t="inlineStr">
        <is>
          <t>483ETO0022</t>
        </is>
      </c>
      <c r="G63" s="7" t="inlineStr">
        <is>
          <t>INÍCIO PAVIMENTAÇÃO(PU FIGUEIRÓPOLIS) - ENTR. BR-153(PU FIGUEIRÓPOLIS)</t>
        </is>
      </c>
      <c r="H63" s="9" t="inlineStr">
        <is>
          <t>PSU</t>
        </is>
      </c>
      <c r="I63" s="9" t="inlineStr">
        <is>
          <t>-49.158789, -12.128869</t>
        </is>
      </c>
      <c r="J63" s="9" t="inlineStr">
        <is>
          <t>-49.1708835811, -12.1319477604</t>
        </is>
      </c>
      <c r="K63" s="10" t="n">
        <v>1.362913036</v>
      </c>
    </row>
    <row r="64" ht="30" customHeight="1">
      <c r="A64" s="6" t="n">
        <v>11</v>
      </c>
      <c r="B64" s="7" t="inlineStr">
        <is>
          <t>GURUPI</t>
        </is>
      </c>
      <c r="C64" s="8" t="n">
        <v>223</v>
      </c>
      <c r="D64" s="9" t="inlineStr">
        <is>
          <t>TO-484</t>
        </is>
      </c>
      <c r="E64" s="7" t="inlineStr">
        <is>
          <t>RODOVIA TO-484 - TRECHO FIGUEIRÓPOLIS - KM 64 (RIO FORMOSO)</t>
        </is>
      </c>
      <c r="F64" s="9" t="inlineStr">
        <is>
          <t>484ETO0002</t>
        </is>
      </c>
      <c r="G64" s="7" t="inlineStr">
        <is>
          <t>FIM DUPLICAÇÃO(PU FIGUEIRÓPOLIS) - ENTR. BR-153(PU FIGUEIRÓPOLIS)</t>
        </is>
      </c>
      <c r="H64" s="9" t="inlineStr">
        <is>
          <t>PSU</t>
        </is>
      </c>
      <c r="I64" s="9" t="inlineStr">
        <is>
          <t>-49.1722792668, -12.1321389555</t>
        </is>
      </c>
      <c r="J64" s="9" t="inlineStr">
        <is>
          <t>-49.1714884048, -12.1320005266</t>
        </is>
      </c>
      <c r="K64" s="10" t="n">
        <v>0.08744407999999999</v>
      </c>
    </row>
    <row r="65" ht="30" customHeight="1">
      <c r="A65" s="6" t="n">
        <v>11</v>
      </c>
      <c r="B65" s="7" t="inlineStr">
        <is>
          <t>GURUPI</t>
        </is>
      </c>
      <c r="C65" s="8" t="n">
        <v>223</v>
      </c>
      <c r="D65" s="9" t="inlineStr">
        <is>
          <t>TO-484</t>
        </is>
      </c>
      <c r="E65" s="7" t="inlineStr">
        <is>
          <t>RODOVIA TO-484 - TRECHO FIGUEIRÓPOLIS - KM 64 (RIO FORMOSO)</t>
        </is>
      </c>
      <c r="F65" s="9" t="inlineStr">
        <is>
          <t>484ETO0005D</t>
        </is>
      </c>
      <c r="G65" s="7" t="inlineStr">
        <is>
          <t>INÍCIO DUPLICAÇÃO(PU FIGUEIRÓPOLIS) - FIM DUPLICAÇÃO(PU FIGUEIRÓPOLIS)</t>
        </is>
      </c>
      <c r="H65" s="9" t="inlineStr">
        <is>
          <t>PDU</t>
        </is>
      </c>
      <c r="I65" s="9" t="inlineStr">
        <is>
          <t>-49.1720983297, -12.1321072849</t>
        </is>
      </c>
      <c r="J65" s="9" t="inlineStr">
        <is>
          <t>-49.1698658003, -12.1445708078</t>
        </is>
      </c>
      <c r="K65" s="10" t="n">
        <v>1.400803849</v>
      </c>
    </row>
    <row r="66" ht="30" customHeight="1">
      <c r="A66" s="6" t="n">
        <v>11</v>
      </c>
      <c r="B66" s="7" t="inlineStr">
        <is>
          <t>GURUPI</t>
        </is>
      </c>
      <c r="C66" s="8" t="n">
        <v>223</v>
      </c>
      <c r="D66" s="9" t="inlineStr">
        <is>
          <t>TO-484</t>
        </is>
      </c>
      <c r="E66" s="7" t="inlineStr">
        <is>
          <t>RODOVIA TO-484 - TRECHO FIGUEIRÓPOLIS - KM 64 (RIO FORMOSO)</t>
        </is>
      </c>
      <c r="F66" s="9" t="inlineStr">
        <is>
          <t>484ETO0005E</t>
        </is>
      </c>
      <c r="G66" s="7" t="inlineStr">
        <is>
          <t>INÍCIO DUPLICAÇÃO(PU FIGUEIRÓPOLIS) - FIM DUPLICAÇÃO(PU FIGUEIRÓPOLIS)</t>
        </is>
      </c>
      <c r="H66" s="9" t="inlineStr">
        <is>
          <t>PDU</t>
        </is>
      </c>
      <c r="I66" s="9" t="inlineStr">
        <is>
          <t>-49.1699661449, -12.1445883481</t>
        </is>
      </c>
      <c r="J66" s="9" t="inlineStr">
        <is>
          <t>-49.1722792668, -12.1321389555</t>
        </is>
      </c>
      <c r="K66" s="10" t="n">
        <v>1.400310458</v>
      </c>
    </row>
    <row r="67" ht="30" customHeight="1">
      <c r="A67" s="6" t="n">
        <v>11</v>
      </c>
      <c r="B67" s="7" t="inlineStr">
        <is>
          <t>GURUPI</t>
        </is>
      </c>
      <c r="C67" s="8" t="n">
        <v>223</v>
      </c>
      <c r="D67" s="9" t="inlineStr">
        <is>
          <t>TO-484</t>
        </is>
      </c>
      <c r="E67" s="7" t="inlineStr">
        <is>
          <t>RODOVIA TO-484 - TRECHO FIGUEIRÓPOLIS - KM 64 (RIO FORMOSO)</t>
        </is>
      </c>
      <c r="F67" s="9" t="inlineStr">
        <is>
          <t>484ETO0007</t>
        </is>
      </c>
      <c r="G67" s="7" t="inlineStr">
        <is>
          <t>FIM PAVIMENTAÇÃO(PU FIGUEIRÓPOLIS) - INÍCIO DUPLICAÇÃO(PU FIGUEIRÓPOLIS)</t>
        </is>
      </c>
      <c r="H67" s="9" t="inlineStr">
        <is>
          <t>PSU</t>
        </is>
      </c>
      <c r="I67" s="9" t="inlineStr">
        <is>
          <t>-49.1728510586, -12.146192779</t>
        </is>
      </c>
      <c r="J67" s="9" t="inlineStr">
        <is>
          <t>-49.1698658003, -12.1445708078</t>
        </is>
      </c>
      <c r="K67" s="10" t="n">
        <v>0.393779152</v>
      </c>
    </row>
    <row r="68" ht="30" customHeight="1">
      <c r="A68" s="6" t="n">
        <v>11</v>
      </c>
      <c r="B68" s="7" t="inlineStr">
        <is>
          <t>GURUPI</t>
        </is>
      </c>
      <c r="C68" s="8" t="n">
        <v>223</v>
      </c>
      <c r="D68" s="9" t="inlineStr">
        <is>
          <t>TO-484</t>
        </is>
      </c>
      <c r="E68" s="7" t="inlineStr">
        <is>
          <t>RODOVIA TO-484 - TRECHO FIGUEIRÓPOLIS - KM 64 (RIO FORMOSO)</t>
        </is>
      </c>
      <c r="F68" s="9" t="inlineStr">
        <is>
          <t>484ETO0010</t>
        </is>
      </c>
      <c r="G68" s="7" t="inlineStr">
        <is>
          <t>FIM PAVIMENTAÇÃO(PU FIGUEIRÓPOLIS) - RIO FORMOSO</t>
        </is>
      </c>
      <c r="H68" s="9" t="inlineStr">
        <is>
          <t>LEN</t>
        </is>
      </c>
      <c r="I68" s="9" t="inlineStr">
        <is>
          <t>-49.638529, -12.266032</t>
        </is>
      </c>
      <c r="J68" s="9" t="inlineStr">
        <is>
          <t>-49.1728510586, -12.146192779</t>
        </is>
      </c>
      <c r="K68" s="10" t="n">
        <v>63.9035662872</v>
      </c>
    </row>
    <row r="69" ht="15" customHeight="1">
      <c r="A69" s="6" t="n">
        <v>11</v>
      </c>
      <c r="B69" s="7" t="inlineStr">
        <is>
          <t>GURUPI</t>
        </is>
      </c>
      <c r="C69" s="8" t="n">
        <v>202</v>
      </c>
      <c r="D69" s="9" t="inlineStr">
        <is>
          <t>ACESSO</t>
        </is>
      </c>
      <c r="E69" s="7" t="inlineStr">
        <is>
          <t>ACESSO</t>
        </is>
      </c>
      <c r="F69" s="18" t="inlineStr">
        <is>
          <t>ACESSO01</t>
        </is>
      </c>
      <c r="G69" s="7" t="inlineStr">
        <is>
          <t>ENTR. TO-070 - INÍCIO PU POV. DORILÂNDIA</t>
        </is>
      </c>
      <c r="H69" s="9" t="inlineStr">
        <is>
          <t>PPS</t>
        </is>
      </c>
      <c r="I69" s="9" t="inlineStr">
        <is>
          <t>-49.747334, -12.246573</t>
        </is>
      </c>
      <c r="J69" s="9" t="inlineStr">
        <is>
          <t>-49.7479843249, -12.2431078643</t>
        </is>
      </c>
      <c r="K69" s="10" t="n">
        <v>0.389737338</v>
      </c>
    </row>
    <row r="70" ht="30.75" customHeight="1" thickBot="1">
      <c r="A70" s="11" t="n">
        <v>11</v>
      </c>
      <c r="B70" s="12" t="inlineStr">
        <is>
          <t>GURUPI</t>
        </is>
      </c>
      <c r="C70" s="13" t="n">
        <v>207</v>
      </c>
      <c r="D70" s="14" t="inlineStr">
        <is>
          <t>ACESSO</t>
        </is>
      </c>
      <c r="E70" s="12" t="inlineStr">
        <is>
          <t>ACESSO</t>
        </is>
      </c>
      <c r="F70" s="26" t="inlineStr">
        <is>
          <t>ACESSO02</t>
        </is>
      </c>
      <c r="G70" s="12" t="inlineStr">
        <is>
          <t>ENTR. TO-181 - ENTR. TO-255(PU LAGOA DA CONFUSÃO)</t>
        </is>
      </c>
      <c r="H70" s="14" t="inlineStr">
        <is>
          <t>LEN</t>
        </is>
      </c>
      <c r="I70" s="14" t="inlineStr">
        <is>
          <t>-49.6976227777778, -10.8407555573094</t>
        </is>
      </c>
      <c r="J70" s="14" t="inlineStr">
        <is>
          <t>-49.9100038511586, -10.9090845346253</t>
        </is>
      </c>
      <c r="K70" s="15" t="n">
        <v>27.4382166932092</v>
      </c>
    </row>
    <row r="71" ht="12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 ht="12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 ht="12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 ht="12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 ht="12.7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 ht="12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 ht="12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 ht="12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 ht="12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 ht="12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 ht="12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 ht="12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 ht="12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 ht="12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 ht="12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 ht="12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 ht="12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 ht="12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 ht="12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 ht="12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 ht="12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 ht="12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 ht="12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 ht="12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 ht="12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 ht="12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 ht="12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 ht="12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 ht="12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 ht="12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 ht="12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 ht="12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 ht="12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 ht="12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 ht="12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 ht="12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 ht="12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 ht="12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 ht="12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 ht="12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 ht="12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 ht="12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 ht="12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 ht="12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 ht="12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 ht="12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 ht="12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 ht="12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 ht="12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 ht="12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 ht="12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 ht="12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</row>
    <row r="123" ht="12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</row>
    <row r="124" ht="12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</row>
    <row r="125" ht="12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</row>
    <row r="126" ht="12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</row>
    <row r="127" ht="12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</row>
    <row r="128" ht="12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</row>
    <row r="129" ht="12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</row>
    <row r="130" ht="12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</row>
    <row r="131" ht="12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 ht="12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 ht="12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 ht="12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 ht="12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 ht="12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 ht="12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 ht="12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 ht="12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 ht="12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 ht="12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 ht="12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 ht="12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 ht="12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 ht="12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 ht="12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 ht="12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 ht="12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 ht="12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</row>
    <row r="150" ht="12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 ht="12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 ht="12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</row>
    <row r="153" ht="12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</row>
    <row r="154" ht="12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</row>
    <row r="155" ht="12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</row>
    <row r="156" ht="12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</row>
    <row r="157" ht="12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</row>
    <row r="158" ht="12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</row>
    <row r="159" ht="12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</row>
    <row r="160" ht="12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</row>
    <row r="161" ht="12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</row>
    <row r="162" ht="12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</row>
    <row r="163" ht="12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 ht="12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 ht="12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</row>
    <row r="166" ht="12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</row>
    <row r="167" ht="12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</row>
    <row r="168" ht="12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</row>
    <row r="169" ht="12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</row>
    <row r="170" ht="12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</row>
    <row r="171" ht="12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</row>
    <row r="172" ht="12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</row>
    <row r="173" ht="12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</row>
    <row r="174" ht="12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</row>
    <row r="175" ht="12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</row>
    <row r="176" ht="12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</row>
    <row r="177" ht="12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</row>
    <row r="178" ht="12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 ht="12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 ht="12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</row>
    <row r="181" ht="12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</row>
    <row r="182" ht="12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</row>
    <row r="183" ht="12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</row>
    <row r="184" ht="12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</row>
    <row r="185" ht="12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</row>
    <row r="186" ht="12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</row>
    <row r="187" ht="12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</row>
    <row r="188" ht="12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</row>
    <row r="189" ht="12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</row>
    <row r="190" ht="12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</row>
    <row r="191" ht="12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</row>
    <row r="192" ht="12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</row>
    <row r="193" ht="12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</row>
    <row r="194" ht="12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</row>
    <row r="195" ht="12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</row>
    <row r="196" ht="12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</row>
    <row r="197" ht="12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</row>
    <row r="198" ht="12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</row>
    <row r="199" ht="12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</row>
    <row r="200" ht="12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</row>
    <row r="201" ht="12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 ht="12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 ht="12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</row>
    <row r="204" ht="12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</row>
    <row r="205" ht="12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</row>
    <row r="206" ht="12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</row>
    <row r="207" ht="12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</row>
    <row r="208" ht="12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</row>
    <row r="209" ht="12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</row>
    <row r="210" ht="12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</row>
    <row r="211" ht="12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</row>
    <row r="212" ht="12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</row>
    <row r="213" ht="12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</row>
    <row r="214" ht="12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</row>
    <row r="215" ht="12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</row>
    <row r="216" ht="12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</row>
    <row r="217" ht="12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 ht="12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 ht="12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</row>
    <row r="220" ht="12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</row>
    <row r="221" ht="12.7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</row>
    <row r="222" ht="12.7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 ht="12.7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 ht="12.7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</row>
    <row r="225" ht="12.7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</row>
    <row r="226" ht="12.7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</row>
    <row r="227" ht="12.7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</row>
    <row r="228" ht="12.7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</row>
    <row r="229" ht="12.7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</row>
    <row r="230" ht="12.7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</row>
    <row r="231" ht="12.7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</row>
    <row r="232" ht="12.7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</row>
    <row r="233" ht="12.7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</row>
    <row r="234" ht="12.7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</row>
    <row r="235" ht="12.7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</row>
    <row r="236" ht="12.7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</row>
    <row r="237" ht="12.7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</row>
    <row r="238" ht="12.7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</row>
    <row r="239" ht="12.7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</row>
    <row r="240" ht="12.7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</row>
    <row r="241" ht="12.7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 ht="12.7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 ht="12.7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</row>
    <row r="244" ht="12.7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</row>
    <row r="245" ht="12.7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</row>
    <row r="246" ht="12.7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</row>
    <row r="247" ht="12.7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</row>
    <row r="248" ht="12.7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</row>
    <row r="249" ht="12.7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</row>
    <row r="250" ht="12.7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</row>
    <row r="251" ht="12.7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</row>
    <row r="252" ht="12.7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</row>
    <row r="253" ht="12.7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</row>
    <row r="254" ht="12.7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</row>
    <row r="255" ht="12.7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</row>
    <row r="256" ht="12.7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</row>
    <row r="257" ht="12.7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 ht="12.7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 ht="12.7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</row>
    <row r="260" ht="12.7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</row>
    <row r="261" ht="12.7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</row>
    <row r="262" ht="12.7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</row>
    <row r="263" ht="12.7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</row>
    <row r="264" ht="12.7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</row>
    <row r="265" ht="12.7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</row>
    <row r="266" ht="12.7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</row>
    <row r="267" ht="12.7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</row>
    <row r="268" ht="12.7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</row>
    <row r="269" ht="12.7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</row>
    <row r="270" ht="12.7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</row>
    <row r="271" ht="12.7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</row>
    <row r="272" ht="12.7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</row>
    <row r="273" ht="12.7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</row>
    <row r="274" ht="12.7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 ht="12.7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 ht="12.7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</row>
    <row r="277" ht="12.7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</row>
    <row r="278" ht="12.7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</row>
    <row r="279" ht="12.7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</row>
    <row r="280" ht="12.7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</row>
    <row r="281" ht="12.7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</row>
    <row r="282" ht="12.7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</row>
    <row r="283" ht="12.7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</row>
    <row r="284" ht="12.7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</row>
    <row r="285" ht="12.7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</row>
    <row r="286" ht="12.7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</row>
    <row r="287" ht="12.7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</row>
    <row r="288" ht="12.7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</row>
    <row r="289" ht="12.7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</row>
    <row r="290" ht="12.7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</row>
    <row r="291" ht="12.7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</row>
    <row r="292" ht="12.7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</row>
    <row r="293" ht="12.7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 ht="12.7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 ht="12.7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</row>
    <row r="296" ht="12.7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</row>
    <row r="297" ht="12.7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</row>
    <row r="298" ht="12.7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</row>
    <row r="299" ht="12.7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</row>
    <row r="300" ht="12.7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</row>
    <row r="301" ht="12.7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</row>
    <row r="302" ht="12.7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</row>
    <row r="303" ht="12.7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</row>
    <row r="304" ht="12.7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</row>
    <row r="305" ht="12.7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</row>
    <row r="306" ht="12.7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</row>
    <row r="307" ht="12.7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</row>
    <row r="308" ht="12.7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</row>
    <row r="309" ht="12.7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</row>
    <row r="310" ht="12.7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 ht="12.7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 ht="12.7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</row>
    <row r="313" ht="12.7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</row>
    <row r="314" ht="12.7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</row>
    <row r="315" ht="12.7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</row>
    <row r="316" ht="12.7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</row>
    <row r="317" ht="12.7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</row>
    <row r="318" ht="12.7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</row>
    <row r="319" ht="12.7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</row>
    <row r="320" ht="12.7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</row>
    <row r="321" ht="12.7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</row>
    <row r="322" ht="12.7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</row>
    <row r="323" ht="12.7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 ht="12.7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 ht="12.7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</row>
    <row r="326" ht="12.7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</row>
    <row r="327" ht="12.7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</row>
    <row r="328" ht="12.7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</row>
    <row r="329" ht="12.7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</row>
    <row r="330" ht="12.7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</row>
    <row r="331" ht="12.7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</row>
    <row r="332" ht="12.7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</row>
    <row r="333" ht="12.7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</row>
    <row r="334" ht="12.7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</row>
    <row r="335" ht="12.7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</row>
    <row r="336" ht="12.7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</row>
    <row r="337" ht="12.7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</row>
    <row r="338" ht="12.7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</row>
    <row r="339" ht="12.7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</row>
    <row r="340" ht="12.7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 ht="12.7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 ht="12.7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</row>
    <row r="343" ht="12.7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</row>
    <row r="344" ht="12.7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</row>
    <row r="345" ht="12.7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</row>
    <row r="346" ht="12.7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</row>
    <row r="347" ht="12.7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</row>
    <row r="348" ht="12.7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</row>
    <row r="349" ht="12.7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</row>
    <row r="350" ht="12.7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</row>
    <row r="351" ht="12.7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</row>
    <row r="352" ht="12.7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</row>
    <row r="353" ht="12.7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</row>
    <row r="354" ht="12.7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</row>
    <row r="355" ht="12.7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</row>
    <row r="356" ht="12.7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</row>
    <row r="357" ht="12.7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</row>
    <row r="358" ht="12.7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 ht="12.7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 ht="12.7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</row>
    <row r="361" ht="12.7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</row>
    <row r="362" ht="12.7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</row>
    <row r="363" ht="12.7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</row>
    <row r="364" ht="12.7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</row>
    <row r="365" ht="12.7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</row>
    <row r="366" ht="12.7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</row>
    <row r="367" ht="12.7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</row>
    <row r="368" ht="12.7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</row>
    <row r="369" ht="12.7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</row>
    <row r="370" ht="12.7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</row>
    <row r="371" ht="12.7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</row>
    <row r="372" ht="12.7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</row>
    <row r="373" ht="12.7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</row>
    <row r="374" ht="12.7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 ht="12.7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 ht="12.7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</row>
    <row r="377" ht="12.7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</row>
    <row r="378" ht="12.7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</row>
    <row r="379" ht="12.7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</row>
    <row r="380" ht="12.7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</row>
    <row r="381" ht="12.7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</row>
    <row r="382" ht="12.7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</row>
    <row r="383" ht="12.7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</row>
    <row r="384" ht="12.7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</row>
    <row r="385" ht="12.7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</row>
    <row r="386" ht="12.7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</row>
    <row r="387" ht="12.7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</row>
    <row r="388" ht="12.7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</row>
    <row r="389" ht="12.7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</row>
    <row r="390" ht="12.7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</row>
    <row r="391" ht="12.7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</row>
    <row r="392" ht="12.7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</row>
    <row r="393" ht="12.7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</row>
    <row r="394" ht="12.7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 ht="12.7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 ht="12.7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</row>
    <row r="397" ht="12.7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</row>
    <row r="398" ht="12.7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</row>
    <row r="399" ht="12.7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</row>
    <row r="400" ht="12.7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</row>
    <row r="401" ht="12.7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</row>
    <row r="402" ht="12.7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</row>
    <row r="403" ht="12.7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</row>
    <row r="404" ht="12.7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</row>
    <row r="405" ht="12.7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 ht="12.7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 ht="12.7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</row>
    <row r="408" ht="12.7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</row>
    <row r="409" ht="12.7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</row>
    <row r="410" ht="12.7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</row>
    <row r="411" ht="12.7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</row>
    <row r="412" ht="12.7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</row>
    <row r="413" ht="12.7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</row>
    <row r="414" ht="12.7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</row>
    <row r="415" ht="12.7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</row>
    <row r="416" ht="12.7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</row>
    <row r="417" ht="12.7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</row>
    <row r="418" ht="12.7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</row>
    <row r="419" ht="12.7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</row>
    <row r="420" ht="12.7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</row>
    <row r="421" ht="12.7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 ht="12.7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 ht="12.7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</row>
    <row r="424" ht="12.7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</row>
    <row r="425" ht="12.7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</row>
    <row r="426" ht="12.7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</row>
    <row r="427" ht="12.7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</row>
    <row r="428" ht="12.7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</row>
    <row r="429" ht="12.7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</row>
    <row r="430" ht="12.7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</row>
    <row r="431" ht="12.7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</row>
    <row r="432" ht="12.7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</row>
    <row r="433" ht="12.7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</row>
    <row r="434" ht="12.7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</row>
    <row r="435" ht="12.7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 ht="12.7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 ht="12.7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</row>
    <row r="438" ht="12.7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</row>
    <row r="439" ht="12.7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</row>
    <row r="440" ht="12.7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</row>
    <row r="441" ht="12.7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</row>
    <row r="442" ht="12.7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</row>
    <row r="443" ht="12.7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</row>
    <row r="444" ht="12.7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</row>
    <row r="445" ht="12.7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</row>
    <row r="446" ht="12.7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</row>
    <row r="447" ht="12.7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</row>
    <row r="448" ht="12.7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</row>
    <row r="449" ht="12.7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</row>
    <row r="450" ht="12.7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</row>
    <row r="451" ht="12.7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</row>
    <row r="452" ht="12.7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</row>
    <row r="453" ht="12.7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</row>
    <row r="454" ht="12.7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</row>
    <row r="455" ht="12.7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</row>
    <row r="456" ht="12.7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</row>
    <row r="457" ht="12.7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</row>
    <row r="458" ht="12.7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</row>
    <row r="459" ht="12.7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</row>
    <row r="460" ht="12.7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</row>
    <row r="461" ht="12.7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</row>
    <row r="462" ht="12.7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</row>
    <row r="463" ht="12.7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</row>
    <row r="464" ht="12.7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</row>
    <row r="465" ht="12.7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</row>
    <row r="466" ht="12.7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</row>
    <row r="467" ht="12.7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</row>
    <row r="468" ht="12.7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</row>
    <row r="469" ht="12.7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</row>
    <row r="470" ht="12.7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</row>
    <row r="471" ht="12.7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</row>
    <row r="472" ht="12.7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</row>
    <row r="473" ht="12.7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</row>
    <row r="474" ht="12.7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</row>
    <row r="475" ht="12.7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</row>
    <row r="476" ht="12.7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</row>
    <row r="477" ht="12.7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</row>
    <row r="478" ht="12.7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</row>
    <row r="479" ht="12.7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</row>
    <row r="480" ht="12.7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</row>
    <row r="481" ht="12.7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</row>
    <row r="482" ht="12.7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</row>
    <row r="483" ht="12.7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</row>
    <row r="484" ht="12.7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</row>
    <row r="485" ht="12.7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</row>
    <row r="486" ht="12.7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</row>
    <row r="487" ht="12.7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</row>
    <row r="488" ht="12.7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</row>
    <row r="489" ht="12.7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</row>
    <row r="490" ht="12.7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</row>
    <row r="491" ht="12.7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</row>
    <row r="492" ht="12.7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</row>
    <row r="493" ht="12.7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</row>
    <row r="494" ht="12.7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</row>
    <row r="495" ht="12.7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</row>
    <row r="496" ht="12.7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</row>
    <row r="497" ht="12.7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</row>
    <row r="498" ht="12.7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</row>
    <row r="499" ht="12.7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</row>
    <row r="500" ht="12.7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</row>
    <row r="501" ht="12.7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</row>
    <row r="502" ht="12.7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</row>
    <row r="503" ht="12.7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</row>
    <row r="504" ht="12.7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</row>
    <row r="505" ht="12.7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</row>
    <row r="506" ht="12.7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</row>
    <row r="507" ht="12.7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</row>
    <row r="508" ht="12.7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</row>
    <row r="509" ht="12.7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</row>
    <row r="510" ht="12.7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</row>
    <row r="511" ht="12.7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</row>
    <row r="512" ht="12.7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</row>
    <row r="513" ht="12.7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</row>
    <row r="514" ht="12.7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</row>
    <row r="515" ht="12.7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</row>
    <row r="516" ht="12.7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</row>
    <row r="517" ht="12.7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</row>
    <row r="518" ht="12.7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</row>
    <row r="519" ht="12.7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</row>
    <row r="520" ht="12.7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</row>
    <row r="521" ht="12.7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</row>
    <row r="522" ht="12.7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</row>
    <row r="523" ht="12.7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</row>
    <row r="524" ht="12.7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</row>
    <row r="525" ht="12.7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</row>
    <row r="526" ht="12.7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</row>
    <row r="527" ht="12.7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</row>
    <row r="528" ht="12.7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</row>
    <row r="529" ht="12.7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</row>
    <row r="530" ht="12.7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</row>
    <row r="531" ht="12.7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</row>
    <row r="532" ht="12.7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</row>
    <row r="533" ht="12.7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</row>
    <row r="534" ht="12.7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</row>
    <row r="535" ht="12.7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</row>
    <row r="536" ht="12.7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</row>
    <row r="537" ht="12.7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</row>
    <row r="538" ht="12.7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</row>
    <row r="539" ht="12.7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</row>
    <row r="540" ht="12.7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</row>
    <row r="541" ht="12.7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</row>
    <row r="542" ht="12.7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</row>
    <row r="543" ht="12.7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</row>
    <row r="544" ht="12.7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</row>
    <row r="545" ht="12.7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</row>
    <row r="546" ht="12.7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</row>
    <row r="547" ht="12.7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</row>
    <row r="548" ht="12.7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</row>
    <row r="549" ht="12.7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</row>
    <row r="550" ht="12.7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</row>
    <row r="551" ht="12.7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</row>
    <row r="552" ht="12.7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</row>
    <row r="553" ht="12.7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</row>
    <row r="554" ht="12.7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</row>
    <row r="555" ht="12.7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</row>
    <row r="556" ht="12.7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</row>
    <row r="557" ht="12.7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</row>
    <row r="558" ht="12.7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</row>
    <row r="559" ht="12.7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</row>
    <row r="560" ht="12.7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</row>
    <row r="561" ht="12.7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</row>
    <row r="562" ht="12.7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</row>
    <row r="563" ht="12.7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</row>
    <row r="564" ht="12.7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</row>
    <row r="565" ht="12.7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</row>
    <row r="566" ht="12.7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</row>
    <row r="567" ht="12.7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</row>
    <row r="568" ht="12.7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</row>
    <row r="569" ht="12.7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</row>
    <row r="570" ht="12.7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</row>
    <row r="571" ht="12.7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</row>
    <row r="572" ht="12.7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</row>
    <row r="573" ht="12.7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</row>
    <row r="574" ht="12.7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</row>
    <row r="575" ht="12.7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</row>
    <row r="576" ht="12.7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</row>
    <row r="577" ht="12.7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</row>
    <row r="578" ht="12.7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</row>
    <row r="579" ht="12.7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</row>
    <row r="580" ht="12.7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</row>
    <row r="581" ht="12.7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</row>
    <row r="582" ht="12.7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</row>
    <row r="583" ht="12.7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</row>
    <row r="584" ht="12.7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</row>
    <row r="585" ht="12.7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</row>
    <row r="586" ht="12.7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</row>
    <row r="587" ht="12.7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</row>
    <row r="588" ht="12.7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</row>
    <row r="589" ht="12.7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</row>
    <row r="590" ht="12.7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</row>
    <row r="591" ht="12.7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</row>
    <row r="592" ht="12.7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</row>
    <row r="593" ht="12.7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</row>
    <row r="594" ht="12.7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</row>
    <row r="595" ht="12.7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</row>
    <row r="596" ht="12.7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</row>
    <row r="597" ht="12.7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</row>
    <row r="598" ht="12.7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</row>
    <row r="599" ht="12.7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</row>
    <row r="600" ht="12.7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</row>
    <row r="601" ht="12.7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</row>
    <row r="602" ht="12.7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</row>
    <row r="603" ht="12.7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</row>
    <row r="604" ht="12.7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</row>
    <row r="605" ht="12.7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</row>
    <row r="606" ht="12.7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</row>
    <row r="607" ht="12.7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</row>
    <row r="608" ht="12.7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</row>
    <row r="609" ht="12.7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</row>
    <row r="610" ht="12.7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</row>
    <row r="611" ht="12.7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</row>
    <row r="612" ht="12.7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</row>
    <row r="613" ht="12.7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</row>
    <row r="614" ht="12.7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</row>
    <row r="615" ht="12.7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</row>
    <row r="616" ht="12.7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</row>
    <row r="617" ht="12.7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</row>
    <row r="618" ht="12.7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</row>
    <row r="619" ht="12.7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</row>
    <row r="620" ht="12.7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</row>
    <row r="621" ht="12.7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</row>
    <row r="622" ht="12.7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</row>
    <row r="623" ht="12.7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</row>
    <row r="624" ht="12.7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</row>
    <row r="625" ht="12.7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</row>
    <row r="626" ht="12.7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</row>
    <row r="627" ht="12.7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</row>
    <row r="628" ht="12.7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</row>
    <row r="629" ht="12.7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</row>
    <row r="630" ht="12.7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</row>
    <row r="631" ht="12.7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</row>
    <row r="632" ht="12.7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</row>
    <row r="633" ht="12.7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</row>
    <row r="634" ht="12.7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</row>
    <row r="635" ht="12.7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</row>
    <row r="636" ht="12.7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</row>
    <row r="637" ht="12.7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</row>
    <row r="638" ht="12.7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</row>
    <row r="639" ht="12.7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</row>
    <row r="640" ht="12.7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</row>
    <row r="641" ht="12.7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</row>
    <row r="642" ht="12.7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</row>
    <row r="643" ht="12.7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</row>
    <row r="644" ht="12.7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</row>
    <row r="645" ht="12.7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</row>
    <row r="646" ht="12.7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</row>
    <row r="647" ht="12.7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</row>
    <row r="648" ht="12.7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</row>
    <row r="649" ht="12.7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</row>
    <row r="650" ht="12.7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</row>
    <row r="651" ht="12.7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</row>
    <row r="652" ht="12.7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</row>
    <row r="653" ht="12.7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</row>
    <row r="654" ht="12.7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</row>
    <row r="655" ht="12.7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</row>
    <row r="656" ht="12.7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</row>
    <row r="657" ht="12.7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</row>
    <row r="658" ht="12.7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</row>
    <row r="659" ht="12.7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</row>
    <row r="660" ht="12.7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</row>
    <row r="661" ht="12.7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</row>
    <row r="662" ht="12.7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</row>
    <row r="663" ht="12.7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</row>
    <row r="664" ht="12.7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</row>
    <row r="665" ht="12.7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</row>
    <row r="666" ht="12.7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</row>
    <row r="667" ht="12.7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</row>
    <row r="668" ht="12.7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</row>
    <row r="669" ht="12.7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</row>
    <row r="670" ht="12.7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</row>
    <row r="671" ht="12.7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</row>
    <row r="672" ht="12.7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</row>
    <row r="673" ht="12.7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</row>
    <row r="674" ht="12.7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</row>
    <row r="675" ht="12.7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</row>
    <row r="676" ht="12.7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</row>
    <row r="677" ht="12.7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</row>
    <row r="678" ht="12.7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</row>
    <row r="679" ht="12.7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</row>
    <row r="680" ht="12.7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</row>
    <row r="681" ht="12.7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</row>
    <row r="682" ht="12.7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</row>
    <row r="683" ht="12.7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</row>
    <row r="684" ht="12.7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</row>
    <row r="685" ht="12.7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</row>
    <row r="686" ht="12.7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</row>
    <row r="687" ht="12.7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</row>
    <row r="688" ht="12.7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</row>
    <row r="689" ht="12.7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</row>
    <row r="690" ht="12.7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</row>
    <row r="691" ht="12.7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</row>
    <row r="692" ht="12.7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</row>
    <row r="693" ht="12.7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</row>
    <row r="694" ht="12.7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</row>
    <row r="695" ht="12.7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</row>
    <row r="696" ht="12.7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</row>
    <row r="697" ht="12.7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</row>
    <row r="698" ht="12.7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</row>
    <row r="699" ht="12.7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</row>
    <row r="700" ht="12.7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</row>
    <row r="701" ht="12.7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</row>
    <row r="702" ht="12.7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</row>
    <row r="703" ht="12.7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</row>
    <row r="704" ht="12.7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</row>
    <row r="705" ht="12.7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</row>
    <row r="706" ht="12.7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</row>
    <row r="707" ht="12.7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</row>
    <row r="708" ht="12.7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</row>
    <row r="709" ht="12.7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</row>
    <row r="710" ht="12.7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</row>
    <row r="711" ht="12.7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</row>
    <row r="712" ht="12.7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</row>
    <row r="713" ht="12.7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</row>
    <row r="714" ht="12.7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</row>
    <row r="715" ht="12.7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</row>
    <row r="716" ht="12.7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</row>
    <row r="717" ht="12.7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</row>
    <row r="718" ht="12.7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</row>
    <row r="719" ht="12.7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</row>
    <row r="720" ht="12.7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</row>
    <row r="721" ht="12.7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</row>
    <row r="722" ht="12.7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</row>
    <row r="723" ht="12.7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</row>
    <row r="724" ht="12.7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</row>
    <row r="725" ht="12.7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</row>
    <row r="726" ht="12.7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</row>
    <row r="727" ht="12.7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</row>
    <row r="728" ht="12.7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</row>
    <row r="729" ht="12.7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</row>
    <row r="730" ht="12.7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</row>
    <row r="731" ht="12.7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</row>
    <row r="732" ht="12.7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</row>
    <row r="733" ht="12.7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</row>
    <row r="734" ht="12.7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</row>
    <row r="735" ht="12.7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</row>
    <row r="736" ht="12.7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</row>
    <row r="737" ht="12.7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</row>
    <row r="738" ht="12.7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</row>
    <row r="739" ht="12.7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</row>
    <row r="740" ht="12.7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</row>
    <row r="741" ht="12.7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</row>
    <row r="742" ht="12.7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</row>
    <row r="743" ht="12.7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</row>
    <row r="744" ht="12.7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</row>
    <row r="745" ht="12.7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</row>
    <row r="746" ht="12.7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</row>
    <row r="747" ht="12.7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</row>
    <row r="748" ht="12.7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</row>
    <row r="749" ht="12.7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</row>
    <row r="750" ht="12.7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</row>
    <row r="751" ht="12.7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</row>
    <row r="752" ht="12.7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</row>
    <row r="753" ht="12.7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</row>
    <row r="754" ht="12.7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</row>
    <row r="755" ht="12.7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</row>
    <row r="756" ht="12.7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</row>
    <row r="757" ht="12.7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</row>
    <row r="758" ht="12.7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</row>
    <row r="759" ht="12.7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</row>
    <row r="760" ht="12.7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</row>
    <row r="761" ht="12.7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</row>
    <row r="762" ht="12.7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</row>
    <row r="763" ht="12.7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</row>
    <row r="764" ht="12.7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</row>
    <row r="765" ht="12.7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</row>
    <row r="766" ht="12.7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</row>
    <row r="767" ht="12.7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</row>
    <row r="768" ht="12.7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</row>
    <row r="769" ht="12.7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</row>
    <row r="770" ht="12.7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</row>
    <row r="771" ht="12.7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</row>
    <row r="772" ht="12.7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</row>
    <row r="773" ht="12.7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</row>
    <row r="774" ht="12.7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</row>
    <row r="775" ht="12.7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</row>
    <row r="776" ht="12.7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</row>
    <row r="777" ht="12.7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</row>
    <row r="778" ht="12.7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</row>
    <row r="779" ht="12.7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</row>
    <row r="780" ht="12.7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</row>
    <row r="781" ht="12.7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</row>
    <row r="782" ht="12.7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</row>
    <row r="783" ht="12.7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</row>
    <row r="784" ht="12.7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</row>
    <row r="785" ht="12.7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</row>
    <row r="786" ht="12.7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</row>
    <row r="787" ht="12.7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</row>
    <row r="788" ht="12.7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</row>
    <row r="789" ht="12.7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</row>
    <row r="790" ht="12.7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</row>
    <row r="791" ht="12.7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</row>
    <row r="792" ht="12.7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</row>
    <row r="793" ht="12.7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</row>
    <row r="794" ht="12.7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</row>
    <row r="795" ht="12.7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</row>
    <row r="796" ht="12.7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</row>
    <row r="797" ht="12.7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</row>
    <row r="798" ht="12.7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</row>
    <row r="799" ht="12.7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</row>
    <row r="800" ht="12.7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</row>
    <row r="801" ht="12.7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</row>
    <row r="802" ht="12.7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</row>
    <row r="803" ht="12.7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</row>
    <row r="804" ht="12.7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</row>
    <row r="805" ht="12.7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</row>
    <row r="806" ht="12.7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</row>
    <row r="807" ht="12.7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</row>
    <row r="808" ht="12.7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</row>
    <row r="809" ht="12.7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</row>
    <row r="810" ht="12.7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</row>
    <row r="811" ht="12.7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</row>
    <row r="812" ht="12.7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</row>
    <row r="813" ht="12.7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</row>
    <row r="814" ht="12.7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</row>
    <row r="815" ht="12.7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</row>
    <row r="816" ht="12.7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</row>
    <row r="817" ht="12.7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</row>
    <row r="818" ht="12.7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</row>
    <row r="819" ht="12.7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</row>
    <row r="820" ht="12.7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</row>
    <row r="821" ht="12.7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</row>
    <row r="822" ht="12.7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</row>
    <row r="823" ht="12.7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</row>
    <row r="824" ht="12.7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</row>
    <row r="825" ht="12.7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</row>
    <row r="826" ht="12.7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</row>
    <row r="827" ht="12.7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</row>
    <row r="828" ht="12.7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</row>
    <row r="829" ht="12.7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</row>
    <row r="830" ht="12.7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</row>
    <row r="831" ht="12.7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</row>
    <row r="832" ht="12.7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</row>
    <row r="833" ht="12.7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</row>
    <row r="834" ht="12.7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</row>
    <row r="835" ht="12.7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</row>
    <row r="836" ht="12.7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</row>
    <row r="837" ht="12.7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</row>
    <row r="838" ht="12.7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</row>
    <row r="839" ht="12.7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</row>
    <row r="840" ht="12.7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</row>
    <row r="841" ht="12.7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</row>
    <row r="842" ht="12.7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</row>
    <row r="843" ht="12.7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</row>
    <row r="844" ht="12.7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</row>
    <row r="845" ht="12.7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</row>
    <row r="846" ht="12.7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</row>
    <row r="847" ht="12.7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</row>
    <row r="848" ht="12.7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</row>
    <row r="849" ht="12.7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</row>
    <row r="850" ht="12.7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</row>
    <row r="851" ht="12.7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</row>
    <row r="852" ht="12.7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</row>
    <row r="853" ht="12.7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</row>
    <row r="854" ht="12.7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</row>
    <row r="855" ht="12.7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</row>
    <row r="856" ht="12.7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</row>
    <row r="857" ht="12.7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</row>
    <row r="858" ht="12.7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</row>
    <row r="859" ht="12.7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</row>
    <row r="860" ht="12.7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</row>
    <row r="861" ht="12.7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</row>
    <row r="862" ht="12.7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</row>
    <row r="863" ht="12.7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</row>
    <row r="864" ht="12.7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</row>
    <row r="865" ht="12.7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</row>
    <row r="866" ht="12.7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</row>
    <row r="867" ht="12.7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</row>
    <row r="868" ht="12.7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</row>
    <row r="869" ht="12.7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</row>
    <row r="870" ht="12.7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</row>
    <row r="871" ht="12.7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</row>
    <row r="872" ht="12.7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</row>
    <row r="873" ht="12.7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</row>
    <row r="874" ht="12.7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</row>
    <row r="875" ht="12.7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</row>
    <row r="876" ht="12.7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</row>
    <row r="877" ht="12.7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</row>
    <row r="878" ht="12.7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</row>
    <row r="879" ht="12.7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</row>
    <row r="880" ht="12.7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</row>
    <row r="881" ht="12.7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</row>
    <row r="882" ht="12.7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</row>
    <row r="883" ht="12.7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</row>
    <row r="884" ht="12.7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</row>
    <row r="885" ht="12.7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</row>
    <row r="886" ht="12.7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</row>
    <row r="887" ht="12.7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</row>
    <row r="888" ht="12.7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</row>
    <row r="889" ht="12.7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</row>
    <row r="890" ht="12.7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</row>
    <row r="891" ht="12.7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</row>
    <row r="892" ht="12.7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</row>
    <row r="893" ht="12.7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</row>
    <row r="894" ht="12.7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</row>
    <row r="895" ht="12.7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</row>
    <row r="896" ht="12.7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</row>
    <row r="897" ht="12.7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</row>
    <row r="898" ht="12.7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</row>
    <row r="899" ht="12.7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</row>
    <row r="900" ht="12.7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</row>
    <row r="901" ht="12.7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</row>
    <row r="902" ht="12.7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</row>
    <row r="903" ht="12.7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</row>
    <row r="904" ht="12.7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</row>
    <row r="905" ht="12.7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</row>
    <row r="906" ht="12.7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</row>
    <row r="907" ht="12.7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</row>
    <row r="908" ht="12.7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</row>
    <row r="909" ht="12.7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</row>
    <row r="910" ht="12.7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</row>
    <row r="911" ht="12.7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</row>
    <row r="912" ht="12.7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</row>
    <row r="913" ht="12.7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</row>
    <row r="914" ht="12.7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</row>
    <row r="915" ht="12.7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</row>
    <row r="916" ht="12.7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</row>
    <row r="917" ht="12.7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</row>
    <row r="918" ht="12.7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</row>
    <row r="919" ht="12.7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</row>
    <row r="920" ht="12.7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</row>
    <row r="921" ht="12.7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</row>
    <row r="922" ht="12.7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</row>
    <row r="923" ht="12.7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</row>
    <row r="924" ht="12.7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</row>
    <row r="925" ht="12.7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</row>
    <row r="926" ht="12.7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</row>
    <row r="927" ht="12.7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</row>
    <row r="928" ht="12.7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</row>
    <row r="929" ht="12.7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</row>
    <row r="930" ht="12.7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</row>
    <row r="931" ht="12.7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</row>
    <row r="932" ht="12.7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</row>
    <row r="933" ht="12.7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</row>
    <row r="934" ht="12.7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</row>
    <row r="935" ht="12.7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</row>
    <row r="936" ht="12.7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</row>
    <row r="937" ht="12.7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</row>
    <row r="938" ht="12.7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</row>
    <row r="939" ht="12.7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</row>
    <row r="940" ht="12.7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</row>
    <row r="941" ht="12.7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</row>
    <row r="942" ht="12.7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</row>
    <row r="943" ht="12.7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</row>
    <row r="944" ht="12.7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</row>
    <row r="945" ht="12.7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</row>
    <row r="946" ht="12.7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</row>
    <row r="947" ht="12.7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</row>
    <row r="948" ht="12.7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</row>
    <row r="949" ht="12.7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</row>
    <row r="950" ht="12.7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</row>
    <row r="951" ht="12.7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</row>
    <row r="952" ht="12.7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</row>
    <row r="953" ht="12.7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</row>
    <row r="954" ht="12.7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</row>
    <row r="955" ht="12.7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</row>
    <row r="956" ht="12.7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</row>
    <row r="957" ht="12.7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</row>
    <row r="958" ht="12.7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</row>
    <row r="959" ht="12.7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</row>
    <row r="960" ht="12.7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</row>
    <row r="961" ht="12.7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</row>
    <row r="962" ht="12.7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</row>
    <row r="963" ht="12.7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</row>
    <row r="964" ht="12.7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</row>
    <row r="965" ht="12.7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</row>
    <row r="966" ht="12.7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</row>
    <row r="967" ht="12.7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</row>
    <row r="968" ht="12.7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</row>
    <row r="969" ht="12.7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</row>
    <row r="970" ht="12.7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</row>
    <row r="971" ht="12.7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</row>
    <row r="972" ht="12.7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</row>
    <row r="973" ht="12.7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</row>
    <row r="974" ht="12.7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</row>
    <row r="975" ht="12.7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</row>
    <row r="976" ht="12.7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</row>
    <row r="977" ht="12.7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</row>
    <row r="978" ht="12.7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</row>
    <row r="979" ht="12.7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</row>
    <row r="980" ht="12.7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</row>
    <row r="981" ht="12.7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</row>
    <row r="982" ht="12.7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</row>
    <row r="983" ht="12.7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</row>
    <row r="984" ht="12.7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</row>
    <row r="985" ht="12.7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</row>
    <row r="986" ht="12.7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</row>
    <row r="987" ht="12.7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</row>
    <row r="988" ht="12.7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</row>
    <row r="989" ht="12.7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</row>
    <row r="990" ht="12.7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</row>
    <row r="991" ht="12.7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</row>
    <row r="992" ht="12.7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</row>
    <row r="993" ht="12.7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</row>
    <row r="994" ht="12.7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</row>
    <row r="995" ht="12.7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</row>
    <row r="996" ht="12.7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</row>
    <row r="997" ht="12.7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</row>
    <row r="998" ht="12.7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</row>
    <row r="999" ht="12.7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</row>
    <row r="1000" ht="12.75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</row>
    <row r="1001" ht="12.75" customHeight="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</row>
    <row r="1002" ht="12.75" customHeight="1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</row>
    <row r="1003" ht="12.75" customHeight="1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</row>
  </sheetData>
  <autoFilter ref="A1:K70"/>
  <printOptions horizontalCentered="1" gridLines="1"/>
  <pageMargins left="0.7" right="0.7" top="0.75" bottom="0.75" header="0" footer="0"/>
  <pageSetup orientation="landscape" paperSize="9" fitToHeight="0" pageOrder="overThenDown" cellComments="atEnd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 fitToPage="1"/>
  </sheetPr>
  <dimension ref="A1:K997"/>
  <sheetViews>
    <sheetView topLeftCell="D1" workbookViewId="0">
      <pane ySplit="1" topLeftCell="A44" activePane="bottomLeft" state="frozen"/>
      <selection pane="bottomLeft" activeCell="D53" sqref="A53:XFD53"/>
    </sheetView>
  </sheetViews>
  <sheetFormatPr baseColWidth="8" defaultColWidth="12.5703125" defaultRowHeight="15.75" customHeight="1"/>
  <cols>
    <col width="10.42578125" customWidth="1" min="1" max="1"/>
    <col width="22.85546875" customWidth="1" min="2" max="2"/>
    <col width="18.140625" customWidth="1" min="3" max="3"/>
    <col width="13.28515625" customWidth="1" min="4" max="4"/>
    <col width="57.140625" customWidth="1" min="5" max="5"/>
    <col width="18.140625" customWidth="1" min="6" max="6"/>
    <col width="61" customWidth="1" min="7" max="7"/>
    <col width="15.28515625" customWidth="1" min="8" max="8"/>
    <col width="31.42578125" customWidth="1" min="9" max="10"/>
    <col width="18.140625" customWidth="1" min="11" max="11"/>
  </cols>
  <sheetData>
    <row r="1" ht="28.5" customFormat="1" customHeight="1" s="33">
      <c r="A1" s="30" t="inlineStr">
        <is>
          <t>REGIÃO</t>
        </is>
      </c>
      <c r="B1" s="31" t="inlineStr">
        <is>
          <t>CIDADE</t>
        </is>
      </c>
      <c r="C1" s="31" t="inlineStr">
        <is>
          <t>NÚMERO DO TRECHO</t>
        </is>
      </c>
      <c r="D1" s="31" t="inlineStr">
        <is>
          <t>RODOVIA</t>
        </is>
      </c>
      <c r="E1" s="31" t="inlineStr">
        <is>
          <t>TRECHO</t>
        </is>
      </c>
      <c r="F1" s="31" t="inlineStr">
        <is>
          <t>SRE</t>
        </is>
      </c>
      <c r="G1" s="31" t="inlineStr">
        <is>
          <t>SEGMENTO</t>
        </is>
      </c>
      <c r="H1" s="31" t="inlineStr">
        <is>
          <t>SITUAÇÃO</t>
        </is>
      </c>
      <c r="I1" s="31" t="inlineStr">
        <is>
          <t>COORDENADA INICIAL</t>
        </is>
      </c>
      <c r="J1" s="31" t="inlineStr">
        <is>
          <t>COORDENADA FINAL</t>
        </is>
      </c>
      <c r="K1" s="32" t="inlineStr">
        <is>
          <t>EXTENSÃO REAL (km)</t>
        </is>
      </c>
    </row>
    <row r="2" ht="30" customHeight="1">
      <c r="A2" s="20" t="n">
        <v>12</v>
      </c>
      <c r="B2" s="21" t="inlineStr">
        <is>
          <t>PEIXE</t>
        </is>
      </c>
      <c r="C2" s="22" t="n">
        <v>224</v>
      </c>
      <c r="D2" s="18" t="inlineStr">
        <is>
          <t>TO-141</t>
        </is>
      </c>
      <c r="E2" s="21" t="inlineStr">
        <is>
          <t>RODOVIA TO-141 - TRECHO PALMEIRÓPOLIS - DIVISA TO-GO</t>
        </is>
      </c>
      <c r="F2" s="18" t="inlineStr">
        <is>
          <t>141ETO0107</t>
        </is>
      </c>
      <c r="G2" s="21" t="inlineStr">
        <is>
          <t>FIM DUPLICAÇÃO(PU PALMEIRÓPOLIS) - FIM PU PALMEIRÓPOLIS</t>
        </is>
      </c>
      <c r="H2" s="18" t="inlineStr">
        <is>
          <t>PSU</t>
        </is>
      </c>
      <c r="I2" s="18" t="inlineStr">
        <is>
          <t>-48.3916491232, -13.0520511684</t>
        </is>
      </c>
      <c r="J2" s="18" t="inlineStr">
        <is>
          <t>-48.3983568585, -13.0425886359</t>
        </is>
      </c>
      <c r="K2" s="19" t="n">
        <v>1.313788517</v>
      </c>
    </row>
    <row r="3" ht="30" customHeight="1">
      <c r="A3" s="20" t="n">
        <v>12</v>
      </c>
      <c r="B3" s="21" t="inlineStr">
        <is>
          <t>PEIXE</t>
        </is>
      </c>
      <c r="C3" s="22" t="n">
        <v>224</v>
      </c>
      <c r="D3" s="18" t="inlineStr">
        <is>
          <t>TO-141</t>
        </is>
      </c>
      <c r="E3" s="21" t="inlineStr">
        <is>
          <t>RODOVIA TO-141 - TRECHO PALMEIRÓPOLIS - DIVISA TO-GO</t>
        </is>
      </c>
      <c r="F3" s="18" t="inlineStr">
        <is>
          <t>141ETO0110</t>
        </is>
      </c>
      <c r="G3" s="21" t="inlineStr">
        <is>
          <t>FIM PU PALMEIRÓPOLIS - DIV. TO/GO</t>
        </is>
      </c>
      <c r="H3" s="18" t="inlineStr">
        <is>
          <t>PPS</t>
        </is>
      </c>
      <c r="I3" s="18" t="inlineStr">
        <is>
          <t>-48.3916491232, -13.0520511684</t>
        </is>
      </c>
      <c r="J3" s="18" t="inlineStr">
        <is>
          <t>-48.3883446591, -13.2623720664</t>
        </is>
      </c>
      <c r="K3" s="19" t="n">
        <v>26.31938049</v>
      </c>
    </row>
    <row r="4" ht="30" customHeight="1">
      <c r="A4" s="20" t="n">
        <v>12</v>
      </c>
      <c r="B4" s="21" t="inlineStr">
        <is>
          <t>PEIXE</t>
        </is>
      </c>
      <c r="C4" s="22" t="n">
        <v>224</v>
      </c>
      <c r="D4" s="18" t="inlineStr">
        <is>
          <t>TO-141</t>
        </is>
      </c>
      <c r="E4" s="21" t="inlineStr">
        <is>
          <t>RODOVIA TO-141 - TRECHO PALMEIRÓPOLIS - DIVISA TO-GO</t>
        </is>
      </c>
      <c r="F4" s="18" t="inlineStr">
        <is>
          <t>141ETO0105D</t>
        </is>
      </c>
      <c r="G4" s="21" t="inlineStr">
        <is>
          <t>ENTR. TO-387(INÍCIO DUPLICAÇÃO)(PU PALMEIRÓPOLIS) - FIM DUPLICAÇÃO(PU PALMEIRÓPOLIS)</t>
        </is>
      </c>
      <c r="H4" s="18" t="inlineStr">
        <is>
          <t>PDU</t>
        </is>
      </c>
      <c r="I4" s="18" t="inlineStr">
        <is>
          <t>-48.4073671733, -13.0424462039</t>
        </is>
      </c>
      <c r="J4" s="18" t="inlineStr">
        <is>
          <t>-48.3983568585, -13.0425886359</t>
        </is>
      </c>
      <c r="K4" s="19" t="n">
        <v>0.978047267</v>
      </c>
    </row>
    <row r="5" ht="30" customHeight="1">
      <c r="A5" s="20" t="n">
        <v>12</v>
      </c>
      <c r="B5" s="21" t="inlineStr">
        <is>
          <t>PEIXE</t>
        </is>
      </c>
      <c r="C5" s="22" t="n">
        <v>224</v>
      </c>
      <c r="D5" s="18" t="inlineStr">
        <is>
          <t>TO-141</t>
        </is>
      </c>
      <c r="E5" s="21" t="inlineStr">
        <is>
          <t>RODOVIA TO-141 - TRECHO PALMEIRÓPOLIS - DIVISA TO-GO</t>
        </is>
      </c>
      <c r="F5" s="18" t="inlineStr">
        <is>
          <t>141ETO0105E</t>
        </is>
      </c>
      <c r="G5" s="21" t="inlineStr">
        <is>
          <t>ENTR. TO-387(INÍCIO DUPLICAÇÃO)(PU PALMEIRÓPOLIS) - FIM DUPLICAÇÃO(PU PALMEIRÓPOLIS)</t>
        </is>
      </c>
      <c r="H5" s="18" t="inlineStr">
        <is>
          <t>PDU</t>
        </is>
      </c>
      <c r="I5" s="18" t="inlineStr">
        <is>
          <t>-48.4073671733, -13.0424462039</t>
        </is>
      </c>
      <c r="J5" s="18" t="inlineStr">
        <is>
          <t>-48.3983568585, -13.0425886359</t>
        </is>
      </c>
      <c r="K5" s="19" t="n">
        <v>0.986374919</v>
      </c>
    </row>
    <row r="6" ht="15" customHeight="1">
      <c r="A6" s="20" t="n">
        <v>12</v>
      </c>
      <c r="B6" s="21" t="inlineStr">
        <is>
          <t>PEIXE</t>
        </is>
      </c>
      <c r="C6" s="22" t="n">
        <v>225</v>
      </c>
      <c r="D6" s="18" t="inlineStr">
        <is>
          <t>TO-280</t>
        </is>
      </c>
      <c r="E6" s="21" t="inlineStr">
        <is>
          <t>RODOVIA TO-280 - TRECHO NATIVIDADE - ALMAS</t>
        </is>
      </c>
      <c r="F6" s="18" t="inlineStr">
        <is>
          <t>280ETO0150</t>
        </is>
      </c>
      <c r="G6" s="21" t="inlineStr">
        <is>
          <t>ENTR. TO-040 (ALMAS) - ENTR. BR-010-TO-050</t>
        </is>
      </c>
      <c r="H6" s="18" t="inlineStr">
        <is>
          <t>PPS</t>
        </is>
      </c>
      <c r="I6" s="18" t="inlineStr">
        <is>
          <t>-47.168445, -11.560857</t>
        </is>
      </c>
      <c r="J6" s="18" t="inlineStr">
        <is>
          <t>-47.722667, -11.687714</t>
        </is>
      </c>
      <c r="K6" s="19" t="n">
        <v>76.27821833</v>
      </c>
    </row>
    <row r="7" ht="30" customHeight="1">
      <c r="A7" s="20" t="n">
        <v>12</v>
      </c>
      <c r="B7" s="21" t="inlineStr">
        <is>
          <t>PEIXE</t>
        </is>
      </c>
      <c r="C7" s="22" t="n">
        <v>226</v>
      </c>
      <c r="D7" s="18" t="inlineStr">
        <is>
          <t>TO-280</t>
        </is>
      </c>
      <c r="E7" s="21" t="inlineStr">
        <is>
          <t>RODOVIA TO-280 - TRECHO SÃO VALÉRIO DE NATIVIDADE - NATIVIDADE</t>
        </is>
      </c>
      <c r="F7" s="18" t="inlineStr">
        <is>
          <t>280ETO0190</t>
        </is>
      </c>
      <c r="G7" s="21" t="inlineStr">
        <is>
          <t>ENTR. TO-482 - INÍCIO PU SÃO VALÉRIO DA NATIVIDADE</t>
        </is>
      </c>
      <c r="H7" s="18" t="inlineStr">
        <is>
          <t>PPS</t>
        </is>
      </c>
      <c r="I7" s="18" t="inlineStr">
        <is>
          <t>-48.230608, -11.964667</t>
        </is>
      </c>
      <c r="J7" s="18" t="inlineStr">
        <is>
          <t>-48.172958, -11.917976</t>
        </is>
      </c>
      <c r="K7" s="19" t="n">
        <v>8.348112102</v>
      </c>
    </row>
    <row r="8" ht="30" customHeight="1">
      <c r="A8" s="20" t="n">
        <v>12</v>
      </c>
      <c r="B8" s="21" t="inlineStr">
        <is>
          <t>PEIXE</t>
        </is>
      </c>
      <c r="C8" s="22" t="n">
        <v>226</v>
      </c>
      <c r="D8" s="18" t="inlineStr">
        <is>
          <t>TO-280</t>
        </is>
      </c>
      <c r="E8" s="21" t="inlineStr">
        <is>
          <t>RODOVIA TO-280 - TRECHO SÃO VALÉRIO DE NATIVIDADE - NATIVIDADE</t>
        </is>
      </c>
      <c r="F8" s="18" t="inlineStr">
        <is>
          <t>280ETO0180</t>
        </is>
      </c>
      <c r="G8" s="21" t="inlineStr">
        <is>
          <t>ENTR. TO-486 - ENTR. TO-482</t>
        </is>
      </c>
      <c r="H8" s="18" t="inlineStr">
        <is>
          <t>PPS</t>
        </is>
      </c>
      <c r="I8" s="18" t="inlineStr">
        <is>
          <t>-48.172958, -11.917976</t>
        </is>
      </c>
      <c r="J8" s="18" t="inlineStr">
        <is>
          <t>-47.762698, -11.721811</t>
        </is>
      </c>
      <c r="K8" s="19" t="n">
        <v>52.97229422</v>
      </c>
    </row>
    <row r="9" ht="30" customHeight="1">
      <c r="A9" s="20" t="n">
        <v>12</v>
      </c>
      <c r="B9" s="21" t="inlineStr">
        <is>
          <t>PEIXE</t>
        </is>
      </c>
      <c r="C9" s="22" t="n">
        <v>226</v>
      </c>
      <c r="D9" s="18" t="inlineStr">
        <is>
          <t>TO-280</t>
        </is>
      </c>
      <c r="E9" s="21" t="inlineStr">
        <is>
          <t>RODOVIA TO-280 - TRECHO SÃO VALÉRIO DE NATIVIDADE - NATIVIDADE</t>
        </is>
      </c>
      <c r="F9" s="18" t="inlineStr">
        <is>
          <t>280ETO0175</t>
        </is>
      </c>
      <c r="G9" s="21" t="inlineStr">
        <is>
          <t>FIM PU NATIVIDADE - ENTR. TO-486</t>
        </is>
      </c>
      <c r="H9" s="18" t="inlineStr">
        <is>
          <t>PPS</t>
        </is>
      </c>
      <c r="I9" s="18" t="inlineStr">
        <is>
          <t>-47.762698, -11.721811</t>
        </is>
      </c>
      <c r="J9" s="18" t="inlineStr">
        <is>
          <t>-47.74155, -11.715129</t>
        </is>
      </c>
      <c r="K9" s="19" t="n">
        <v>2.428774102</v>
      </c>
    </row>
    <row r="10" ht="30" customHeight="1">
      <c r="A10" s="20" t="n">
        <v>12</v>
      </c>
      <c r="B10" s="21" t="inlineStr">
        <is>
          <t>PEIXE</t>
        </is>
      </c>
      <c r="C10" s="22" t="n">
        <v>226</v>
      </c>
      <c r="D10" s="18" t="inlineStr">
        <is>
          <t>TO-280</t>
        </is>
      </c>
      <c r="E10" s="21" t="inlineStr">
        <is>
          <t>RODOVIA TO-280 - TRECHO SÃO VALÉRIO DE NATIVIDADE - NATIVIDADE</t>
        </is>
      </c>
      <c r="F10" s="18" t="inlineStr">
        <is>
          <t>280ETO0152</t>
        </is>
      </c>
      <c r="G10" s="21" t="inlineStr">
        <is>
          <t>ENTR. BR-010(B)/TO-050(A)(PU NATIVIDADE) - ENTR. BR-010(A)/TO-050(B)(PU NATIVIDADE)</t>
        </is>
      </c>
      <c r="H10" s="18" t="inlineStr">
        <is>
          <t>PSU</t>
        </is>
      </c>
      <c r="I10" s="18" t="inlineStr">
        <is>
          <t>-47.722667, -11.687714</t>
        </is>
      </c>
      <c r="J10" s="18" t="inlineStr">
        <is>
          <t>-47.731711, -11.712532</t>
        </is>
      </c>
      <c r="K10" s="19" t="n">
        <v>3.090524366</v>
      </c>
    </row>
    <row r="11" ht="30" customHeight="1">
      <c r="A11" s="20" t="n">
        <v>12</v>
      </c>
      <c r="B11" s="21" t="inlineStr">
        <is>
          <t>PEIXE</t>
        </is>
      </c>
      <c r="C11" s="22" t="n">
        <v>226</v>
      </c>
      <c r="D11" s="18" t="inlineStr">
        <is>
          <t>TO-280</t>
        </is>
      </c>
      <c r="E11" s="21" t="inlineStr">
        <is>
          <t>RODOVIA TO-280 - TRECHO SÃO VALÉRIO DE NATIVIDADE - NATIVIDADE</t>
        </is>
      </c>
      <c r="F11" s="18" t="inlineStr">
        <is>
          <t>280ETO0153</t>
        </is>
      </c>
      <c r="G11" s="21" t="inlineStr">
        <is>
          <t>ENTR. BR-010(A)/TO-050(B)(PU NATIVIDADE) - FIM PU NATIVIDADE</t>
        </is>
      </c>
      <c r="H11" s="18" t="inlineStr">
        <is>
          <t>PSU</t>
        </is>
      </c>
      <c r="I11" s="18" t="inlineStr">
        <is>
          <t>-47.74155, -11.715129</t>
        </is>
      </c>
      <c r="J11" s="18" t="inlineStr">
        <is>
          <t>-47.731711, -11.712532</t>
        </is>
      </c>
      <c r="K11" s="19" t="n">
        <v>1.117230837</v>
      </c>
    </row>
    <row r="12" ht="30" customHeight="1">
      <c r="A12" s="20" t="n">
        <v>12</v>
      </c>
      <c r="B12" s="21" t="inlineStr">
        <is>
          <t>PEIXE</t>
        </is>
      </c>
      <c r="C12" s="22" t="n">
        <v>227</v>
      </c>
      <c r="D12" s="18" t="inlineStr">
        <is>
          <t>TO-280</t>
        </is>
      </c>
      <c r="E12" s="21" t="inlineStr">
        <is>
          <t>RODOVIA TO-280 - TRECHO ENTR. BR-242 - SÃO VALÉRIO DE NATIVIDADE</t>
        </is>
      </c>
      <c r="F12" s="18" t="inlineStr">
        <is>
          <t>280ETO0220</t>
        </is>
      </c>
      <c r="G12" s="21" t="inlineStr">
        <is>
          <t>ENTR. TO-373 - ENTR. BR-242</t>
        </is>
      </c>
      <c r="H12" s="18" t="inlineStr">
        <is>
          <t>PPS</t>
        </is>
      </c>
      <c r="I12" s="18" t="inlineStr">
        <is>
          <t>-48.32445, -12.018143</t>
        </is>
      </c>
      <c r="J12" s="18" t="inlineStr">
        <is>
          <t>-48.443263, -12.151418</t>
        </is>
      </c>
      <c r="K12" s="19" t="n">
        <v>21.41467872</v>
      </c>
    </row>
    <row r="13" ht="30" customHeight="1">
      <c r="A13" s="20" t="n">
        <v>12</v>
      </c>
      <c r="B13" s="21" t="inlineStr">
        <is>
          <t>PEIXE</t>
        </is>
      </c>
      <c r="C13" s="22" t="n">
        <v>227</v>
      </c>
      <c r="D13" s="18" t="inlineStr">
        <is>
          <t>TO-280</t>
        </is>
      </c>
      <c r="E13" s="21" t="inlineStr">
        <is>
          <t>RODOVIA TO-280 - TRECHO ENTR. BR-242 - SÃO VALÉRIO DE NATIVIDADE</t>
        </is>
      </c>
      <c r="F13" s="18" t="inlineStr">
        <is>
          <t>280ETO0210</t>
        </is>
      </c>
      <c r="G13" s="21" t="inlineStr">
        <is>
          <t>ENTR. TO-490 - ENTR. TO-373</t>
        </is>
      </c>
      <c r="H13" s="18" t="inlineStr">
        <is>
          <t>PPS</t>
        </is>
      </c>
      <c r="I13" s="18" t="inlineStr">
        <is>
          <t>-48.242908, -11.990464</t>
        </is>
      </c>
      <c r="J13" s="18" t="inlineStr">
        <is>
          <t>-48.32445, -12.018143</t>
        </is>
      </c>
      <c r="K13" s="19" t="n">
        <v>9.542799386</v>
      </c>
    </row>
    <row r="14" ht="30" customHeight="1">
      <c r="A14" s="20" t="n">
        <v>12</v>
      </c>
      <c r="B14" s="21" t="inlineStr">
        <is>
          <t>PEIXE</t>
        </is>
      </c>
      <c r="C14" s="22" t="n">
        <v>227</v>
      </c>
      <c r="D14" s="18" t="inlineStr">
        <is>
          <t>TO-280</t>
        </is>
      </c>
      <c r="E14" s="21" t="inlineStr">
        <is>
          <t>RODOVIA TO-280 - TRECHO ENTR. BR-242 - SÃO VALÉRIO DE NATIVIDADE</t>
        </is>
      </c>
      <c r="F14" s="18" t="inlineStr">
        <is>
          <t>280ETO0191</t>
        </is>
      </c>
      <c r="G14" s="21" t="inlineStr">
        <is>
          <t>INÍCIO PU SÃO VALÉRIO DA NATIVIDADE - INÍCIO DUPLICAÇÃO(PU SÃO VALÉRIO DA NATIVIDADE)</t>
        </is>
      </c>
      <c r="H14" s="18" t="inlineStr">
        <is>
          <t>PSU</t>
        </is>
      </c>
      <c r="I14" s="18" t="inlineStr">
        <is>
          <t>-48.230608, -11.964667</t>
        </is>
      </c>
      <c r="J14" s="18" t="inlineStr">
        <is>
          <t>-48.2329750223, -11.9720847427</t>
        </is>
      </c>
      <c r="K14" s="19" t="n">
        <v>0.872317345</v>
      </c>
    </row>
    <row r="15" ht="30" customHeight="1">
      <c r="A15" s="20" t="n">
        <v>12</v>
      </c>
      <c r="B15" s="21" t="inlineStr">
        <is>
          <t>PEIXE</t>
        </is>
      </c>
      <c r="C15" s="22" t="n">
        <v>227</v>
      </c>
      <c r="D15" s="18" t="inlineStr">
        <is>
          <t>TO-280</t>
        </is>
      </c>
      <c r="E15" s="21" t="inlineStr">
        <is>
          <t>RODOVIA TO-280 - TRECHO ENTR. BR-242 - SÃO VALÉRIO DE NATIVIDADE</t>
        </is>
      </c>
      <c r="F15" s="18" t="inlineStr">
        <is>
          <t>280ETO0193</t>
        </is>
      </c>
      <c r="G15" s="21" t="inlineStr">
        <is>
          <t>FIM DUPLICAÇÃO(PU SÃO VALÉRIO DA NATIVIDADE) - FIM PU SÃO VALÉRIO DA NATIVIDADE</t>
        </is>
      </c>
      <c r="H15" s="18" t="inlineStr">
        <is>
          <t>PSU</t>
        </is>
      </c>
      <c r="I15" s="18" t="inlineStr">
        <is>
          <t>-48.2347149667, -11.980341242</t>
        </is>
      </c>
      <c r="J15" s="18" t="inlineStr">
        <is>
          <t>-48.236721984, -11.9840043481</t>
        </is>
      </c>
      <c r="K15" s="19" t="n">
        <v>0.468745395</v>
      </c>
    </row>
    <row r="16" ht="30" customHeight="1">
      <c r="A16" s="20" t="n">
        <v>12</v>
      </c>
      <c r="B16" s="21" t="inlineStr">
        <is>
          <t>PEIXE</t>
        </is>
      </c>
      <c r="C16" s="22" t="n">
        <v>227</v>
      </c>
      <c r="D16" s="18" t="inlineStr">
        <is>
          <t>TO-280</t>
        </is>
      </c>
      <c r="E16" s="21" t="inlineStr">
        <is>
          <t>RODOVIA TO-280 - TRECHO ENTR. BR-242 - SÃO VALÉRIO DE NATIVIDADE</t>
        </is>
      </c>
      <c r="F16" s="18" t="inlineStr">
        <is>
          <t>280ETO0200</t>
        </is>
      </c>
      <c r="G16" s="21" t="inlineStr">
        <is>
          <t>FIM PU SÃO VALÉRIO DA NATIVIDADE - ENTR. TO-490</t>
        </is>
      </c>
      <c r="H16" s="18" t="inlineStr">
        <is>
          <t>PPS</t>
        </is>
      </c>
      <c r="I16" s="18" t="inlineStr">
        <is>
          <t>-48.236721984, -11.9840043481</t>
        </is>
      </c>
      <c r="J16" s="18" t="inlineStr">
        <is>
          <t>-48.242908, -11.990464</t>
        </is>
      </c>
      <c r="K16" s="19" t="n">
        <v>0.985528899</v>
      </c>
    </row>
    <row r="17" ht="30" customHeight="1">
      <c r="A17" s="20" t="n">
        <v>12</v>
      </c>
      <c r="B17" s="21" t="inlineStr">
        <is>
          <t>PEIXE</t>
        </is>
      </c>
      <c r="C17" s="22" t="n">
        <v>227</v>
      </c>
      <c r="D17" s="18" t="inlineStr">
        <is>
          <t>TO-280</t>
        </is>
      </c>
      <c r="E17" s="21" t="inlineStr">
        <is>
          <t>RODOVIA TO-280 - TRECHO ENTR. BR-242 - SÃO VALÉRIO DE NATIVIDADE</t>
        </is>
      </c>
      <c r="F17" s="18" t="inlineStr">
        <is>
          <t>280ETO0192E</t>
        </is>
      </c>
      <c r="G17" s="21" t="inlineStr">
        <is>
          <t>INÍCIO DUPLICAÇÃO(PU SÃO VALÉRIO DA NATIVIDADE) - FIM DUPLICAÇÃO(PU SÃO VALÉRIO DA NATIVIDADE)</t>
        </is>
      </c>
      <c r="H17" s="18" t="inlineStr">
        <is>
          <t>PDU</t>
        </is>
      </c>
      <c r="I17" s="18" t="inlineStr">
        <is>
          <t>-48.2329750223, -11.9720847427</t>
        </is>
      </c>
      <c r="J17" s="18" t="inlineStr">
        <is>
          <t>-48.2347149667, -11.980341242</t>
        </is>
      </c>
      <c r="K17" s="19" t="n">
        <v>0.933796989</v>
      </c>
    </row>
    <row r="18" ht="30" customHeight="1">
      <c r="A18" s="20" t="n">
        <v>12</v>
      </c>
      <c r="B18" s="21" t="inlineStr">
        <is>
          <t>PEIXE</t>
        </is>
      </c>
      <c r="C18" s="22" t="n">
        <v>227</v>
      </c>
      <c r="D18" s="18" t="inlineStr">
        <is>
          <t>TO-280</t>
        </is>
      </c>
      <c r="E18" s="21" t="inlineStr">
        <is>
          <t>RODOVIA TO-280 - TRECHO ENTR. BR-242 - SÃO VALÉRIO DE NATIVIDADE</t>
        </is>
      </c>
      <c r="F18" s="18" t="inlineStr">
        <is>
          <t>280ETO0192D</t>
        </is>
      </c>
      <c r="G18" s="21" t="inlineStr">
        <is>
          <t>INÍCIO DUPLICAÇÃO(PU SÃO VALÉRIO DA NATIVIDADE) - FIM DUPLICAÇÃO(PU SÃO VALÉRIO DA NATIVIDADE)</t>
        </is>
      </c>
      <c r="H18" s="18" t="inlineStr">
        <is>
          <t>PDU</t>
        </is>
      </c>
      <c r="I18" s="18" t="inlineStr">
        <is>
          <t>-48.2347149667, -11.980341242</t>
        </is>
      </c>
      <c r="J18" s="18" t="inlineStr">
        <is>
          <t>-48.2329750223, -11.9720847427</t>
        </is>
      </c>
      <c r="K18" s="19" t="n">
        <v>0.936094218</v>
      </c>
    </row>
    <row r="19" ht="15" customHeight="1">
      <c r="A19" s="20" t="n">
        <v>12</v>
      </c>
      <c r="B19" s="21" t="inlineStr">
        <is>
          <t>PEIXE</t>
        </is>
      </c>
      <c r="C19" s="22" t="n">
        <v>227</v>
      </c>
      <c r="D19" s="18" t="inlineStr">
        <is>
          <t>ACESSO</t>
        </is>
      </c>
      <c r="E19" s="21" t="inlineStr">
        <is>
          <t>ACESSO</t>
        </is>
      </c>
      <c r="F19" s="18" t="inlineStr">
        <is>
          <t>ACESSO01</t>
        </is>
      </c>
      <c r="G19" s="21" t="inlineStr">
        <is>
          <t>ENTR. TO-280 - UHE PEIXE ANGICAL</t>
        </is>
      </c>
      <c r="H19" s="18" t="inlineStr">
        <is>
          <t>PPS</t>
        </is>
      </c>
      <c r="I19" s="18" t="inlineStr">
        <is>
          <t>-48.45702445, -12.190694573</t>
        </is>
      </c>
      <c r="J19" s="18" t="inlineStr">
        <is>
          <t>-48.3899178147, -12.2255329701</t>
        </is>
      </c>
      <c r="K19" s="19" t="n">
        <v>8.993163701</v>
      </c>
    </row>
    <row r="20" ht="30" customHeight="1">
      <c r="A20" s="20" t="n">
        <v>12</v>
      </c>
      <c r="B20" s="21" t="inlineStr">
        <is>
          <t>PEIXE</t>
        </is>
      </c>
      <c r="C20" s="22" t="n">
        <v>228</v>
      </c>
      <c r="D20" s="18" t="inlineStr">
        <is>
          <t>TO-296</t>
        </is>
      </c>
      <c r="E20" s="21" t="inlineStr">
        <is>
          <t>RODOVIA TO-296 - TRECHO SÃO SALVADOR DO TOCANTINS - PARANÃ</t>
        </is>
      </c>
      <c r="F20" s="18" t="inlineStr">
        <is>
          <t>296ETO0220</t>
        </is>
      </c>
      <c r="G20" s="21" t="inlineStr">
        <is>
          <t>ENTR. BR-242(B)/BR-010(B)TO-387(A)(PU PARANÃ) - ACESSO SÃO SALVADOR DO TOCANTINS</t>
        </is>
      </c>
      <c r="H20" s="18" t="inlineStr">
        <is>
          <t>PPS</t>
        </is>
      </c>
      <c r="I20" s="18" t="inlineStr">
        <is>
          <t>-47.862564, -12.624276</t>
        </is>
      </c>
      <c r="J20" s="18" t="inlineStr">
        <is>
          <t>-48.252518, -12.754409</t>
        </is>
      </c>
      <c r="K20" s="19" t="n">
        <v>54.94196148</v>
      </c>
    </row>
    <row r="21" ht="15" customHeight="1">
      <c r="A21" s="20" t="n">
        <v>12</v>
      </c>
      <c r="B21" s="21" t="inlineStr">
        <is>
          <t>PEIXE</t>
        </is>
      </c>
      <c r="C21" s="22" t="n">
        <v>228</v>
      </c>
      <c r="D21" s="18" t="inlineStr">
        <is>
          <t>ACESSO</t>
        </is>
      </c>
      <c r="E21" s="21" t="inlineStr">
        <is>
          <t>ACESSO</t>
        </is>
      </c>
      <c r="F21" s="18" t="inlineStr">
        <is>
          <t>ACESSO02</t>
        </is>
      </c>
      <c r="G21" s="21" t="inlineStr">
        <is>
          <t>ENTR. TO-387 - UHE SÃO SALVADOR</t>
        </is>
      </c>
      <c r="H21" s="18" t="inlineStr">
        <is>
          <t>PPS</t>
        </is>
      </c>
      <c r="I21" s="18" t="inlineStr">
        <is>
          <t>-48.2341052132, -12.729836966</t>
        </is>
      </c>
      <c r="J21" s="18" t="inlineStr">
        <is>
          <t>-48.2354203, -12.8017311278</t>
        </is>
      </c>
      <c r="K21" s="19" t="n">
        <v>10.47596369</v>
      </c>
    </row>
    <row r="22" ht="30" customHeight="1">
      <c r="A22" s="20" t="n">
        <v>12</v>
      </c>
      <c r="B22" s="21" t="inlineStr">
        <is>
          <t>PEIXE</t>
        </is>
      </c>
      <c r="C22" s="22" t="n">
        <v>229</v>
      </c>
      <c r="D22" s="18" t="inlineStr">
        <is>
          <t>TO-296</t>
        </is>
      </c>
      <c r="E22" s="21" t="inlineStr">
        <is>
          <t>RODOVIA TO-296 - TRECHO JAÚ DO TOCANTINS - SÃO SALVADOR DO TOCANTINS</t>
        </is>
      </c>
      <c r="F22" s="18" t="inlineStr">
        <is>
          <t>296ETO0290</t>
        </is>
      </c>
      <c r="G22" s="21" t="inlineStr">
        <is>
          <t>FIM PU JAÚ DO TOCANTINS - ENTR. TO-498(B)</t>
        </is>
      </c>
      <c r="H22" s="18" t="inlineStr">
        <is>
          <t>PPS</t>
        </is>
      </c>
      <c r="I22" s="18" t="inlineStr">
        <is>
          <t>-48.613501, -12.619321</t>
        </is>
      </c>
      <c r="J22" s="18" t="inlineStr">
        <is>
          <t>-48.595776, -12.650234</t>
        </is>
      </c>
      <c r="K22" s="19" t="n">
        <v>3.950919744</v>
      </c>
    </row>
    <row r="23" ht="30" customHeight="1">
      <c r="A23" s="20" t="n">
        <v>12</v>
      </c>
      <c r="B23" s="21" t="inlineStr">
        <is>
          <t>PEIXE</t>
        </is>
      </c>
      <c r="C23" s="22" t="n">
        <v>229</v>
      </c>
      <c r="D23" s="18" t="inlineStr">
        <is>
          <t>TO-296</t>
        </is>
      </c>
      <c r="E23" s="21" t="inlineStr">
        <is>
          <t>RODOVIA TO-296 - TRECHO JAÚ DO TOCANTINS - SÃO SALVADOR DO TOCANTINS</t>
        </is>
      </c>
      <c r="F23" s="18" t="inlineStr">
        <is>
          <t>296ETO0240</t>
        </is>
      </c>
      <c r="G23" s="21" t="inlineStr">
        <is>
          <t>ENTR. TO-387(B) - INÍCIO PAVIMENTAÇÃO(PU POV. RETIRO)</t>
        </is>
      </c>
      <c r="H23" s="18" t="inlineStr">
        <is>
          <t>LEN</t>
        </is>
      </c>
      <c r="I23" s="18" t="inlineStr">
        <is>
          <t>-48.267235, -12.764797</t>
        </is>
      </c>
      <c r="J23" s="18" t="inlineStr">
        <is>
          <t>-48.284007, -12.613204</t>
        </is>
      </c>
      <c r="K23" s="19" t="n">
        <v>22.18925457</v>
      </c>
    </row>
    <row r="24" ht="30" customHeight="1">
      <c r="A24" s="20" t="n">
        <v>12</v>
      </c>
      <c r="B24" s="21" t="inlineStr">
        <is>
          <t>PEIXE</t>
        </is>
      </c>
      <c r="C24" s="22" t="n">
        <v>229</v>
      </c>
      <c r="D24" s="18" t="inlineStr">
        <is>
          <t>TO-296</t>
        </is>
      </c>
      <c r="E24" s="21" t="inlineStr">
        <is>
          <t>RODOVIA TO-296 - TRECHO JAÚ DO TOCANTINS - SÃO SALVADOR DO TOCANTINS</t>
        </is>
      </c>
      <c r="F24" s="18" t="inlineStr">
        <is>
          <t>296ETO0260</t>
        </is>
      </c>
      <c r="G24" s="21" t="inlineStr">
        <is>
          <t>ENTR, TO-491 - INÍCIO PAVMENTAÇÃO(PU JAÚ DO TOCANTINS)</t>
        </is>
      </c>
      <c r="H24" s="18" t="inlineStr">
        <is>
          <t>LEN</t>
        </is>
      </c>
      <c r="I24" s="18" t="inlineStr">
        <is>
          <t>-48.319684, -12.570387</t>
        </is>
      </c>
      <c r="J24" s="18" t="inlineStr">
        <is>
          <t>-48.591215, -12.648667</t>
        </is>
      </c>
      <c r="K24" s="19" t="n">
        <v>51.42893563</v>
      </c>
    </row>
    <row r="25" ht="30" customHeight="1">
      <c r="A25" s="20" t="n">
        <v>12</v>
      </c>
      <c r="B25" s="21" t="inlineStr">
        <is>
          <t>PEIXE</t>
        </is>
      </c>
      <c r="C25" s="22" t="n">
        <v>229</v>
      </c>
      <c r="D25" s="18" t="inlineStr">
        <is>
          <t>TO-296</t>
        </is>
      </c>
      <c r="E25" s="21" t="inlineStr">
        <is>
          <t>RODOVIA TO-296 - TRECHO JAÚ DO TOCANTINS - SÃO SALVADOR DO TOCANTINS</t>
        </is>
      </c>
      <c r="F25" s="18" t="inlineStr">
        <is>
          <t>296ETO0250</t>
        </is>
      </c>
      <c r="G25" s="21" t="inlineStr">
        <is>
          <t>FIM PAVIMENTAÇÃO(PU POV. RETIRO) - ENTR. TO-491</t>
        </is>
      </c>
      <c r="H25" s="18" t="inlineStr">
        <is>
          <t>LEN</t>
        </is>
      </c>
      <c r="I25" s="18" t="inlineStr">
        <is>
          <t>-48.286, -12.610954</t>
        </is>
      </c>
      <c r="J25" s="18" t="inlineStr">
        <is>
          <t>-48.319684, -12.570387</t>
        </is>
      </c>
      <c r="K25" s="19" t="n">
        <v>7.569254248</v>
      </c>
    </row>
    <row r="26" ht="30" customHeight="1">
      <c r="A26" s="20" t="n">
        <v>12</v>
      </c>
      <c r="B26" s="21" t="inlineStr">
        <is>
          <t>PEIXE</t>
        </is>
      </c>
      <c r="C26" s="22" t="n">
        <v>229</v>
      </c>
      <c r="D26" s="18" t="inlineStr">
        <is>
          <t>TO-296</t>
        </is>
      </c>
      <c r="E26" s="21" t="inlineStr">
        <is>
          <t>RODOVIA TO-296 - TRECHO JAÚ DO TOCANTINS - SÃO SALVADOR DO TOCANTINS</t>
        </is>
      </c>
      <c r="F26" s="18" t="inlineStr">
        <is>
          <t>296ETO0230</t>
        </is>
      </c>
      <c r="G26" s="21" t="inlineStr">
        <is>
          <t>ACESSO SÃO SALVADOR DO TOCANTINS - ENTR. TO-387(B)</t>
        </is>
      </c>
      <c r="H26" s="18" t="inlineStr">
        <is>
          <t>PPS</t>
        </is>
      </c>
      <c r="I26" s="18" t="inlineStr">
        <is>
          <t>-48.252518, -12.754409</t>
        </is>
      </c>
      <c r="J26" s="18" t="inlineStr">
        <is>
          <t>-48.267235, -12.764797</t>
        </is>
      </c>
      <c r="K26" s="19" t="n">
        <v>1.969764113</v>
      </c>
    </row>
    <row r="27" ht="30" customHeight="1">
      <c r="A27" s="20" t="n">
        <v>12</v>
      </c>
      <c r="B27" s="21" t="inlineStr">
        <is>
          <t>PEIXE</t>
        </is>
      </c>
      <c r="C27" s="22" t="n">
        <v>229</v>
      </c>
      <c r="D27" s="18" t="inlineStr">
        <is>
          <t>TO-296</t>
        </is>
      </c>
      <c r="E27" s="21" t="inlineStr">
        <is>
          <t>RODOVIA TO-296 - TRECHO JAÚ DO TOCANTINS - SÃO SALVADOR DO TOCANTINS</t>
        </is>
      </c>
      <c r="F27" s="18" t="inlineStr">
        <is>
          <t>296ETO0242</t>
        </is>
      </c>
      <c r="G27" s="21" t="inlineStr">
        <is>
          <t>INÍCIO PAVIMENTAÇÃO(PU POV. RETIRO) - FIM PAVIMENTAÇÃO(PU POV. RETIRO)</t>
        </is>
      </c>
      <c r="H27" s="18" t="inlineStr">
        <is>
          <t>PSU</t>
        </is>
      </c>
      <c r="I27" s="18" t="inlineStr">
        <is>
          <t>-48.284007, -12.613204</t>
        </is>
      </c>
      <c r="J27" s="18" t="inlineStr">
        <is>
          <t>-48.286, -12.610954</t>
        </is>
      </c>
      <c r="K27" s="19" t="n">
        <v>0.331468397</v>
      </c>
    </row>
    <row r="28" ht="30" customHeight="1">
      <c r="A28" s="20" t="n">
        <v>12</v>
      </c>
      <c r="B28" s="21" t="inlineStr">
        <is>
          <t>PEIXE</t>
        </is>
      </c>
      <c r="C28" s="22" t="n">
        <v>229</v>
      </c>
      <c r="D28" s="18" t="inlineStr">
        <is>
          <t>TO-296</t>
        </is>
      </c>
      <c r="E28" s="21" t="inlineStr">
        <is>
          <t>RODOVIA TO-296 - TRECHO JAÚ DO TOCANTINS - SÃO SALVADOR DO TOCANTINS</t>
        </is>
      </c>
      <c r="F28" s="18" t="inlineStr">
        <is>
          <t>296ETO0261</t>
        </is>
      </c>
      <c r="G28" s="21" t="inlineStr">
        <is>
          <t>INÍCIO PAVIMENTAÇÃO(PU JAÚ DO TOVANTINS) - ENTR. TO-498(A)(PU JAÚ DO TOCANTINS)</t>
        </is>
      </c>
      <c r="H28" s="18" t="inlineStr">
        <is>
          <t>PSU</t>
        </is>
      </c>
      <c r="I28" s="18" t="inlineStr">
        <is>
          <t>-48.591215, -12.648667</t>
        </is>
      </c>
      <c r="J28" s="18" t="inlineStr">
        <is>
          <t>-48.5932167193, -12.6517197696</t>
        </is>
      </c>
      <c r="K28" s="19" t="n">
        <v>0.419278764</v>
      </c>
    </row>
    <row r="29" ht="30" customHeight="1">
      <c r="A29" s="20" t="n">
        <v>12</v>
      </c>
      <c r="B29" s="21" t="inlineStr">
        <is>
          <t>PEIXE</t>
        </is>
      </c>
      <c r="C29" s="22" t="n">
        <v>229</v>
      </c>
      <c r="D29" s="18" t="inlineStr">
        <is>
          <t>TO-296</t>
        </is>
      </c>
      <c r="E29" s="21" t="inlineStr">
        <is>
          <t>RODOVIA TO-296 - TRECHO JAÚ DO TOCANTINS - SÃO SALVADOR DO TOCANTINS</t>
        </is>
      </c>
      <c r="F29" s="18" t="inlineStr">
        <is>
          <t>296ETO0262</t>
        </is>
      </c>
      <c r="G29" s="21" t="inlineStr">
        <is>
          <t>ENTR. TO-498(A)(PU JAÚ DO TOCANTINS) - FIM PU JAÚ DO TOCANTINS</t>
        </is>
      </c>
      <c r="H29" s="18" t="inlineStr">
        <is>
          <t>PSU</t>
        </is>
      </c>
      <c r="I29" s="18" t="inlineStr">
        <is>
          <t>-48.5932167193, -12.6517197696</t>
        </is>
      </c>
      <c r="J29" s="18" t="inlineStr">
        <is>
          <t>-48.595776, -12.650234</t>
        </is>
      </c>
      <c r="K29" s="19" t="n">
        <v>0.323814412</v>
      </c>
    </row>
    <row r="30" ht="30" customHeight="1">
      <c r="A30" s="20" t="n">
        <v>12</v>
      </c>
      <c r="B30" s="21" t="inlineStr">
        <is>
          <t>PEIXE</t>
        </is>
      </c>
      <c r="C30" s="22" t="n">
        <v>230</v>
      </c>
      <c r="D30" s="18" t="inlineStr">
        <is>
          <t>TO-296</t>
        </is>
      </c>
      <c r="E30" s="21" t="inlineStr">
        <is>
          <t>RODOVIA TO-296 - TALISMÃ - ENTR. TO-498 (JAÚ DO TOCANTINS)</t>
        </is>
      </c>
      <c r="F30" s="18" t="inlineStr">
        <is>
          <t>296ETO0300</t>
        </is>
      </c>
      <c r="G30" s="21" t="inlineStr">
        <is>
          <t>ENTR. TO-498(B) - ENTR. TO-495</t>
        </is>
      </c>
      <c r="H30" s="18" t="inlineStr">
        <is>
          <t>PPS</t>
        </is>
      </c>
      <c r="I30" s="18" t="inlineStr">
        <is>
          <t>-48.613501, -12.619321</t>
        </is>
      </c>
      <c r="J30" s="18" t="inlineStr">
        <is>
          <t>-48.67785, -12.743445</t>
        </is>
      </c>
      <c r="K30" s="19" t="n">
        <v>16.51920232</v>
      </c>
    </row>
    <row r="31" ht="30" customHeight="1">
      <c r="A31" s="20" t="n">
        <v>12</v>
      </c>
      <c r="B31" s="21" t="inlineStr">
        <is>
          <t>PEIXE</t>
        </is>
      </c>
      <c r="C31" s="22" t="n">
        <v>230</v>
      </c>
      <c r="D31" s="18" t="inlineStr">
        <is>
          <t>TO-296</t>
        </is>
      </c>
      <c r="E31" s="21" t="inlineStr">
        <is>
          <t>RODOVIA TO-296 - TALISMÃ - ENTR. TO-498 (JAÚ DO TOCANTINS)</t>
        </is>
      </c>
      <c r="F31" s="18" t="inlineStr">
        <is>
          <t>296ETO0310</t>
        </is>
      </c>
      <c r="G31" s="21" t="inlineStr">
        <is>
          <t>ENTR. TO-495 - ENTR. BR-153(PU TALISMÃ)</t>
        </is>
      </c>
      <c r="H31" s="18" t="inlineStr">
        <is>
          <t>PPS</t>
        </is>
      </c>
      <c r="I31" s="18" t="inlineStr">
        <is>
          <t>-49.09195522, -12.7891190329</t>
        </is>
      </c>
      <c r="J31" s="18" t="inlineStr">
        <is>
          <t>-48.6774143094, -12.7430141611</t>
        </is>
      </c>
      <c r="K31" s="19" t="n">
        <v>46.31074373</v>
      </c>
    </row>
    <row r="32" ht="30" customHeight="1">
      <c r="A32" s="20" t="n">
        <v>12</v>
      </c>
      <c r="B32" s="21" t="inlineStr">
        <is>
          <t>PEIXE</t>
        </is>
      </c>
      <c r="C32" s="22" t="n">
        <v>231</v>
      </c>
      <c r="D32" s="18" t="inlineStr">
        <is>
          <t>TO-365</t>
        </is>
      </c>
      <c r="E32" s="21" t="inlineStr">
        <is>
          <t>RODOVIA TO-365 - TRECHO IPUEIRAS - SILVANÓPOLIS</t>
        </is>
      </c>
      <c r="F32" s="18" t="inlineStr">
        <is>
          <t>365ETO0170</t>
        </is>
      </c>
      <c r="G32" s="21" t="inlineStr">
        <is>
          <t>ENTR. BR-010/TO-050(SILVANÓPOLIS) - POV. SURUBIM</t>
        </is>
      </c>
      <c r="H32" s="18" t="inlineStr">
        <is>
          <t>LEN</t>
        </is>
      </c>
      <c r="I32" s="18" t="inlineStr">
        <is>
          <t>-48.34366, -11.246862</t>
        </is>
      </c>
      <c r="J32" s="18" t="inlineStr">
        <is>
          <t>-48.182983, -11.15112</t>
        </is>
      </c>
      <c r="K32" s="19" t="n">
        <v>21.35912791</v>
      </c>
    </row>
    <row r="33" ht="30" customHeight="1">
      <c r="A33" s="20" t="n">
        <v>12</v>
      </c>
      <c r="B33" s="21" t="inlineStr">
        <is>
          <t>PEIXE</t>
        </is>
      </c>
      <c r="C33" s="22" t="n">
        <v>231</v>
      </c>
      <c r="D33" s="18" t="inlineStr">
        <is>
          <t>TO-365</t>
        </is>
      </c>
      <c r="E33" s="21" t="inlineStr">
        <is>
          <t>RODOVIA TO-365 - TRECHO IPUEIRAS - SILVANÓPOLIS</t>
        </is>
      </c>
      <c r="F33" s="18" t="inlineStr">
        <is>
          <t>365ETO0180</t>
        </is>
      </c>
      <c r="G33" s="21" t="inlineStr">
        <is>
          <t>POV. SURUBIM - ENTR. TO-458</t>
        </is>
      </c>
      <c r="H33" s="18" t="inlineStr">
        <is>
          <t>LEN</t>
        </is>
      </c>
      <c r="I33" s="18" t="inlineStr">
        <is>
          <t>-48.3987909032, -11.2596123534</t>
        </is>
      </c>
      <c r="J33" s="18" t="inlineStr">
        <is>
          <t>-48.34366, -11.246862</t>
        </is>
      </c>
      <c r="K33" s="19" t="n">
        <v>6.37978291</v>
      </c>
    </row>
    <row r="34" ht="30" customHeight="1">
      <c r="A34" s="20" t="n">
        <v>12</v>
      </c>
      <c r="B34" s="21" t="inlineStr">
        <is>
          <t>PEIXE</t>
        </is>
      </c>
      <c r="C34" s="22" t="n">
        <v>231</v>
      </c>
      <c r="D34" s="18" t="inlineStr">
        <is>
          <t>TO-365</t>
        </is>
      </c>
      <c r="E34" s="21" t="inlineStr">
        <is>
          <t>RODOVIA TO-365 - TRECHO IPUEIRAS - SILVANÓPOLIS</t>
        </is>
      </c>
      <c r="F34" s="18" t="inlineStr">
        <is>
          <t>365ETO0190</t>
        </is>
      </c>
      <c r="G34" s="21" t="inlineStr">
        <is>
          <t>ENTR. TO-458 - INÍCIO PAVIMENTAÇÃO(PU IPUEIRAS)</t>
        </is>
      </c>
      <c r="H34" s="18" t="inlineStr">
        <is>
          <t>LEN</t>
        </is>
      </c>
      <c r="I34" s="18" t="inlineStr">
        <is>
          <t>-48.3987909032, -11.2596123534</t>
        </is>
      </c>
      <c r="J34" s="18" t="inlineStr">
        <is>
          <t>-48.440494969, -11.242190339</t>
        </is>
      </c>
      <c r="K34" s="19" t="n">
        <v>4.989597583</v>
      </c>
    </row>
    <row r="35" ht="30" customHeight="1">
      <c r="A35" s="20" t="n">
        <v>12</v>
      </c>
      <c r="B35" s="21" t="inlineStr">
        <is>
          <t>PEIXE</t>
        </is>
      </c>
      <c r="C35" s="22" t="n">
        <v>231</v>
      </c>
      <c r="D35" s="18" t="inlineStr">
        <is>
          <t>TO-365</t>
        </is>
      </c>
      <c r="E35" s="21" t="inlineStr">
        <is>
          <t>RODOVIA TO-365 - TRECHO IPUEIRAS - SILVANÓPOLIS</t>
        </is>
      </c>
      <c r="F35" s="18" t="inlineStr">
        <is>
          <t>365ETO0210</t>
        </is>
      </c>
      <c r="G35" s="21" t="inlineStr">
        <is>
          <t>ENTR. TO-458(PU IPUEIRAS) - RIO TOCANTINS(BALSA)</t>
        </is>
      </c>
      <c r="H35" s="18" t="inlineStr">
        <is>
          <t>LEN</t>
        </is>
      </c>
      <c r="I35" s="18" t="inlineStr">
        <is>
          <t>-48.4488663469, -11.2408511674</t>
        </is>
      </c>
      <c r="J35" s="18" t="inlineStr">
        <is>
          <t>-48.459336, -11.246542</t>
        </is>
      </c>
      <c r="K35" s="19" t="n">
        <v>1.362583029</v>
      </c>
    </row>
    <row r="36" ht="30" customHeight="1">
      <c r="A36" s="20" t="n">
        <v>12</v>
      </c>
      <c r="B36" s="21" t="inlineStr">
        <is>
          <t>PEIXE</t>
        </is>
      </c>
      <c r="C36" s="22" t="n">
        <v>232</v>
      </c>
      <c r="D36" s="18" t="inlineStr">
        <is>
          <t>TO-373</t>
        </is>
      </c>
      <c r="E36" s="21" t="inlineStr">
        <is>
          <t>RODOVIA TO-373 - TRECHO ENTR. TO-365 (BALSA) - SÃO MIGUEL - LAGOA DO ROMÃO -ENTR. TO-280</t>
        </is>
      </c>
      <c r="F36" s="18" t="inlineStr">
        <is>
          <t>373ETO0150</t>
        </is>
      </c>
      <c r="G36" s="21" t="inlineStr">
        <is>
          <t>ENTR. TO-479 - ENTR. TO-280</t>
        </is>
      </c>
      <c r="H36" s="18" t="inlineStr">
        <is>
          <t>LEN</t>
        </is>
      </c>
      <c r="I36" s="18" t="inlineStr">
        <is>
          <t>-48.32445, -12.018143</t>
        </is>
      </c>
      <c r="J36" s="18" t="inlineStr">
        <is>
          <t>-48.395878, -11.853915</t>
        </is>
      </c>
      <c r="K36" s="19" t="n">
        <v>20.94540932</v>
      </c>
    </row>
    <row r="37" ht="30" customHeight="1">
      <c r="A37" s="20" t="n">
        <v>12</v>
      </c>
      <c r="B37" s="21" t="inlineStr">
        <is>
          <t>PEIXE</t>
        </is>
      </c>
      <c r="C37" s="22" t="n">
        <v>232</v>
      </c>
      <c r="D37" s="18" t="inlineStr">
        <is>
          <t>TO-373</t>
        </is>
      </c>
      <c r="E37" s="21" t="inlineStr">
        <is>
          <t>RODOVIA TO-373 - TRECHO ENTR. TO-365 (BALSA) - SÃO MIGUEL - LAGOA DO ROMÃO -ENTR. TO-280</t>
        </is>
      </c>
      <c r="F37" s="18" t="inlineStr">
        <is>
          <t>373ETO0130</t>
        </is>
      </c>
      <c r="G37" s="21" t="inlineStr">
        <is>
          <t>PU POV. SÃO MIGUEL - INÍCIO PAVIMENTAÇÃO(PU POV. LAGOA DO ROMÃO)</t>
        </is>
      </c>
      <c r="H37" s="18" t="inlineStr">
        <is>
          <t>LEN</t>
        </is>
      </c>
      <c r="I37" s="18" t="inlineStr">
        <is>
          <t>-48.393088, -11.837392</t>
        </is>
      </c>
      <c r="J37" s="18" t="inlineStr">
        <is>
          <t>-48.527765, -11.59937</t>
        </is>
      </c>
      <c r="K37" s="19" t="n">
        <v>38.23042821</v>
      </c>
    </row>
    <row r="38" ht="30" customHeight="1">
      <c r="A38" s="20" t="n">
        <v>12</v>
      </c>
      <c r="B38" s="21" t="inlineStr">
        <is>
          <t>PEIXE</t>
        </is>
      </c>
      <c r="C38" s="22" t="n">
        <v>232</v>
      </c>
      <c r="D38" s="18" t="inlineStr">
        <is>
          <t>TO-373</t>
        </is>
      </c>
      <c r="E38" s="21" t="inlineStr">
        <is>
          <t>RODOVIA TO-373 - TRECHO ENTR. TO-365 (BALSA) - SÃO MIGUEL - LAGOA DO ROMÃO -ENTR. TO-280</t>
        </is>
      </c>
      <c r="F38" s="18" t="inlineStr">
        <is>
          <t>373ETO0120</t>
        </is>
      </c>
      <c r="G38" s="21" t="inlineStr">
        <is>
          <t>RIO TOCANTINS(BALSA) - PU POV. SÃO MIGUEL</t>
        </is>
      </c>
      <c r="H38" s="18" t="inlineStr">
        <is>
          <t>LEN</t>
        </is>
      </c>
      <c r="I38" s="18" t="inlineStr">
        <is>
          <t>-48.527765, -11.59937</t>
        </is>
      </c>
      <c r="J38" s="18" t="inlineStr">
        <is>
          <t>-48.58823, -11.428717</t>
        </is>
      </c>
      <c r="K38" s="19" t="n">
        <v>26.77763975</v>
      </c>
    </row>
    <row r="39" ht="30" customHeight="1">
      <c r="A39" s="20" t="n">
        <v>12</v>
      </c>
      <c r="B39" s="21" t="inlineStr">
        <is>
          <t>PEIXE</t>
        </is>
      </c>
      <c r="C39" s="22" t="n">
        <v>232</v>
      </c>
      <c r="D39" s="18" t="inlineStr">
        <is>
          <t>TO-373</t>
        </is>
      </c>
      <c r="E39" s="21" t="inlineStr">
        <is>
          <t>RODOVIA TO-373 - TRECHO ENTR. TO-365 (BALSA) - SÃO MIGUEL - LAGOA DO ROMÃO -ENTR. TO-280</t>
        </is>
      </c>
      <c r="F39" s="18" t="inlineStr">
        <is>
          <t>373ETO0132</t>
        </is>
      </c>
      <c r="G39" s="21" t="inlineStr">
        <is>
          <t>INÍCIO PAVIMENTAÇÃO(PU POV. LAGOA DO ROMÃO) - FIM PAVIMENTAÇÃO(PU POV. LAGOA DO ROMÃO)</t>
        </is>
      </c>
      <c r="H39" s="18" t="inlineStr">
        <is>
          <t>PSU</t>
        </is>
      </c>
      <c r="I39" s="18" t="inlineStr">
        <is>
          <t>-48.393088, -11.837392</t>
        </is>
      </c>
      <c r="J39" s="18" t="inlineStr">
        <is>
          <t>-48.3930297725, -11.8420956726</t>
        </is>
      </c>
      <c r="K39" s="19" t="n">
        <v>0.523699051</v>
      </c>
    </row>
    <row r="40" ht="30" customHeight="1">
      <c r="A40" s="20" t="n">
        <v>12</v>
      </c>
      <c r="B40" s="21" t="inlineStr">
        <is>
          <t>PEIXE</t>
        </is>
      </c>
      <c r="C40" s="22" t="n">
        <v>232</v>
      </c>
      <c r="D40" s="18" t="inlineStr">
        <is>
          <t>TO-373</t>
        </is>
      </c>
      <c r="E40" s="21" t="inlineStr">
        <is>
          <t>RODOVIA TO-373 - TRECHO ENTR. TO-365 (BALSA) - SÃO MIGUEL - LAGOA DO ROMÃO -ENTR. TO-280</t>
        </is>
      </c>
      <c r="F40" s="18" t="inlineStr">
        <is>
          <t>373ETO0140</t>
        </is>
      </c>
      <c r="G40" s="21" t="inlineStr">
        <is>
          <t>FIM PAVIMENTAÇÃO(PU POV. LAGOA DO ROMÃO) - ENTR. TO-479</t>
        </is>
      </c>
      <c r="H40" s="18" t="inlineStr">
        <is>
          <t>LEN</t>
        </is>
      </c>
      <c r="I40" s="18" t="inlineStr">
        <is>
          <t>-48.3930297725, -11.8420956726</t>
        </is>
      </c>
      <c r="J40" s="18" t="inlineStr">
        <is>
          <t>-48.395878, -11.853915</t>
        </is>
      </c>
      <c r="K40" s="19" t="n">
        <v>1.356666865</v>
      </c>
    </row>
    <row r="41" ht="30" customHeight="1">
      <c r="A41" s="20" t="n">
        <v>12</v>
      </c>
      <c r="B41" s="21" t="inlineStr">
        <is>
          <t>PEIXE</t>
        </is>
      </c>
      <c r="C41" s="22" t="n">
        <v>233</v>
      </c>
      <c r="D41" s="18" t="inlineStr">
        <is>
          <t>TO-373</t>
        </is>
      </c>
      <c r="E41" s="21" t="inlineStr">
        <is>
          <t>RODOVIA TO-373 - TRECHO ALVORADA - ENTR. BR-242</t>
        </is>
      </c>
      <c r="F41" s="18" t="inlineStr">
        <is>
          <t>373ETO0220</t>
        </is>
      </c>
      <c r="G41" s="21" t="inlineStr">
        <is>
          <t>POV. CANA BRAVA - ENTR. BR-153(PU ALVORADA)</t>
        </is>
      </c>
      <c r="H41" s="18" t="inlineStr">
        <is>
          <t>PPS</t>
        </is>
      </c>
      <c r="I41" s="18" t="inlineStr">
        <is>
          <t>-49.11768, -12.482192</t>
        </is>
      </c>
      <c r="J41" s="18" t="inlineStr">
        <is>
          <t>-48.9140201234, -12.4778520388</t>
        </is>
      </c>
      <c r="K41" s="19" t="n">
        <v>23.19458639</v>
      </c>
    </row>
    <row r="42" ht="30" customHeight="1">
      <c r="A42" s="20" t="n">
        <v>12</v>
      </c>
      <c r="B42" s="21" t="inlineStr">
        <is>
          <t>PEIXE</t>
        </is>
      </c>
      <c r="C42" s="22" t="n">
        <v>233</v>
      </c>
      <c r="D42" s="18" t="inlineStr">
        <is>
          <t>TO-373</t>
        </is>
      </c>
      <c r="E42" s="21" t="inlineStr">
        <is>
          <t>RODOVIA TO-373 - TRECHO ALVORADA - ENTR. BR-242</t>
        </is>
      </c>
      <c r="F42" s="18" t="inlineStr">
        <is>
          <t>373ETO0210</t>
        </is>
      </c>
      <c r="G42" s="21" t="inlineStr">
        <is>
          <t>POV. VILA UNIÃO - POV. CANA BRAVA</t>
        </is>
      </c>
      <c r="H42" s="18" t="inlineStr">
        <is>
          <t>PPS</t>
        </is>
      </c>
      <c r="I42" s="18" t="inlineStr">
        <is>
          <t>-48.9140201234, -12.4778520388</t>
        </is>
      </c>
      <c r="J42" s="18" t="inlineStr">
        <is>
          <t>-48.819962, -12.395529</t>
        </is>
      </c>
      <c r="K42" s="19" t="n">
        <v>13.72601841</v>
      </c>
    </row>
    <row r="43" ht="30" customHeight="1">
      <c r="A43" s="20" t="n">
        <v>12</v>
      </c>
      <c r="B43" s="21" t="inlineStr">
        <is>
          <t>PEIXE</t>
        </is>
      </c>
      <c r="C43" s="22" t="n">
        <v>233</v>
      </c>
      <c r="D43" s="18" t="inlineStr">
        <is>
          <t>TO-373</t>
        </is>
      </c>
      <c r="E43" s="21" t="inlineStr">
        <is>
          <t>RODOVIA TO-373 - TRECHO ALVORADA - ENTR. BR-242</t>
        </is>
      </c>
      <c r="F43" s="18" t="inlineStr">
        <is>
          <t>373ETO0200</t>
        </is>
      </c>
      <c r="G43" s="21" t="inlineStr">
        <is>
          <t>ENTR. TO-498(PU POV. SANTA CRUZ) - POV. VILA UNIÃO</t>
        </is>
      </c>
      <c r="H43" s="18" t="inlineStr">
        <is>
          <t>PPS</t>
        </is>
      </c>
      <c r="I43" s="18" t="inlineStr">
        <is>
          <t>-48.819962, -12.395529</t>
        </is>
      </c>
      <c r="J43" s="18" t="inlineStr">
        <is>
          <t>-48.638939, -12.345124</t>
        </is>
      </c>
      <c r="K43" s="19" t="n">
        <v>22.14080752</v>
      </c>
    </row>
    <row r="44" ht="30" customHeight="1">
      <c r="A44" s="20" t="n">
        <v>12</v>
      </c>
      <c r="B44" s="21" t="inlineStr">
        <is>
          <t>PEIXE</t>
        </is>
      </c>
      <c r="C44" s="22" t="n">
        <v>233</v>
      </c>
      <c r="D44" s="18" t="inlineStr">
        <is>
          <t>TO-373</t>
        </is>
      </c>
      <c r="E44" s="21" t="inlineStr">
        <is>
          <t>RODOVIA TO-373 - TRECHO ALVORADA - ENTR. BR-242</t>
        </is>
      </c>
      <c r="F44" s="18" t="inlineStr">
        <is>
          <t>373ETO0190</t>
        </is>
      </c>
      <c r="G44" s="21" t="inlineStr">
        <is>
          <t>ENTR. BR-242 - INÍCIO PU POV. SANTA CRUZ</t>
        </is>
      </c>
      <c r="H44" s="18" t="inlineStr">
        <is>
          <t>PPS</t>
        </is>
      </c>
      <c r="I44" s="18" t="inlineStr">
        <is>
          <t>-48.636855, -12.341731</t>
        </is>
      </c>
      <c r="J44" s="18" t="inlineStr">
        <is>
          <t>-48.541886, -12.164251</t>
        </is>
      </c>
      <c r="K44" s="19" t="n">
        <v>22.3496483</v>
      </c>
    </row>
    <row r="45" ht="30" customHeight="1">
      <c r="A45" s="20" t="n">
        <v>12</v>
      </c>
      <c r="B45" s="21" t="inlineStr">
        <is>
          <t>PEIXE</t>
        </is>
      </c>
      <c r="C45" s="22" t="n">
        <v>233</v>
      </c>
      <c r="D45" s="18" t="inlineStr">
        <is>
          <t>TO-373</t>
        </is>
      </c>
      <c r="E45" s="21" t="inlineStr">
        <is>
          <t>RODOVIA TO-373 - TRECHO ALVORADA - ENTR. BR-242</t>
        </is>
      </c>
      <c r="F45" s="18" t="inlineStr">
        <is>
          <t>373ETO0192</t>
        </is>
      </c>
      <c r="G45" s="21" t="inlineStr">
        <is>
          <t>INÍCIO PU POV. SANTA CRUZ - ENTR. TO-498(PU POV. SANTA CRUZ)</t>
        </is>
      </c>
      <c r="H45" s="18" t="inlineStr">
        <is>
          <t>PSU</t>
        </is>
      </c>
      <c r="I45" s="18" t="inlineStr">
        <is>
          <t>-48.638939, -12.345124</t>
        </is>
      </c>
      <c r="J45" s="18" t="inlineStr">
        <is>
          <t>-48.636855, -12.341731</t>
        </is>
      </c>
      <c r="K45" s="19" t="n">
        <v>0.438708313</v>
      </c>
    </row>
    <row r="46" ht="30" customHeight="1">
      <c r="A46" s="20" t="n">
        <v>12</v>
      </c>
      <c r="B46" s="21" t="inlineStr">
        <is>
          <t>PEIXE</t>
        </is>
      </c>
      <c r="C46" s="22" t="n">
        <v>234</v>
      </c>
      <c r="D46" s="18" t="inlineStr">
        <is>
          <t>TO-387</t>
        </is>
      </c>
      <c r="E46" s="21" t="inlineStr">
        <is>
          <t>RODOVIA TO-387 - TRECHO PALMEIRÓPOLIS - SÃO SALVADOR DO TOCANTINS</t>
        </is>
      </c>
      <c r="F46" s="18" t="inlineStr">
        <is>
          <t>387ETO0170</t>
        </is>
      </c>
      <c r="G46" s="21" t="inlineStr">
        <is>
          <t>ENTR. TO-296(B) - INÍCIO PU PALMEIRÓPOLIS</t>
        </is>
      </c>
      <c r="H46" s="18" t="inlineStr">
        <is>
          <t>PPS</t>
        </is>
      </c>
      <c r="I46" s="18" t="inlineStr">
        <is>
          <t>-48.267235, -12.764797</t>
        </is>
      </c>
      <c r="J46" s="18" t="inlineStr">
        <is>
          <t>-48.407215, -13.03665</t>
        </is>
      </c>
      <c r="K46" s="19" t="n">
        <v>37.42248921</v>
      </c>
    </row>
    <row r="47" ht="30" customHeight="1">
      <c r="A47" s="20" t="n">
        <v>12</v>
      </c>
      <c r="B47" s="21" t="inlineStr">
        <is>
          <t>PEIXE</t>
        </is>
      </c>
      <c r="C47" s="22" t="n">
        <v>235</v>
      </c>
      <c r="D47" s="18" t="inlineStr">
        <is>
          <t>TO-387</t>
        </is>
      </c>
      <c r="E47" s="21" t="inlineStr">
        <is>
          <t>RODOVIA TO-387 - TRECHO PALMEIRÓPOLIS - DIVISA TO-GO</t>
        </is>
      </c>
      <c r="F47" s="18" t="inlineStr">
        <is>
          <t>387ETO0210</t>
        </is>
      </c>
      <c r="G47" s="21" t="inlineStr">
        <is>
          <t>ENTR. TO-498 - POV. BARROLÂNDIA</t>
        </is>
      </c>
      <c r="H47" s="18" t="inlineStr">
        <is>
          <t>PPS</t>
        </is>
      </c>
      <c r="I47" s="18" t="inlineStr">
        <is>
          <t>-48.544375, -13.003771</t>
        </is>
      </c>
      <c r="J47" s="18" t="inlineStr">
        <is>
          <t>-48.564187, -13.042476</t>
        </is>
      </c>
      <c r="K47" s="19" t="n">
        <v>5.16733816</v>
      </c>
    </row>
    <row r="48" ht="30" customHeight="1">
      <c r="A48" s="20" t="n">
        <v>12</v>
      </c>
      <c r="B48" s="21" t="inlineStr">
        <is>
          <t>PEIXE</t>
        </is>
      </c>
      <c r="C48" s="22" t="n">
        <v>235</v>
      </c>
      <c r="D48" s="18" t="inlineStr">
        <is>
          <t>TO-387</t>
        </is>
      </c>
      <c r="E48" s="21" t="inlineStr">
        <is>
          <t>RODOVIA TO-387 - TRECHO PALMEIRÓPOLIS - DIVISA TO-GO</t>
        </is>
      </c>
      <c r="F48" s="18" t="inlineStr">
        <is>
          <t>387ETO0220</t>
        </is>
      </c>
      <c r="G48" s="21" t="inlineStr">
        <is>
          <t>POV. BARROLÂNDIA - DIV. TO/GO</t>
        </is>
      </c>
      <c r="H48" s="18" t="inlineStr">
        <is>
          <t>PPS</t>
        </is>
      </c>
      <c r="I48" s="18" t="inlineStr">
        <is>
          <t>-48.564187, -13.042476</t>
        </is>
      </c>
      <c r="J48" s="18" t="inlineStr">
        <is>
          <t>-48.5945720708, -13.0884201286</t>
        </is>
      </c>
      <c r="K48" s="19" t="n">
        <v>6.13819055</v>
      </c>
    </row>
    <row r="49" ht="30" customHeight="1">
      <c r="A49" s="20" t="n">
        <v>12</v>
      </c>
      <c r="B49" s="21" t="inlineStr">
        <is>
          <t>PEIXE</t>
        </is>
      </c>
      <c r="C49" s="22" t="n">
        <v>235</v>
      </c>
      <c r="D49" s="18" t="inlineStr">
        <is>
          <t>TO-387</t>
        </is>
      </c>
      <c r="E49" s="21" t="inlineStr">
        <is>
          <t>RODOVIA TO-387 - TRECHO PALMEIRÓPOLIS - DIVISA TO-GO</t>
        </is>
      </c>
      <c r="F49" s="18" t="inlineStr">
        <is>
          <t>387ETO0200</t>
        </is>
      </c>
      <c r="G49" s="21" t="inlineStr">
        <is>
          <t>FIM DUPLICAÇÃO PU PALMEIRÓPOLIS - ENTR. TO-498</t>
        </is>
      </c>
      <c r="H49" s="18" t="inlineStr">
        <is>
          <t>PPS</t>
        </is>
      </c>
      <c r="I49" s="18" t="inlineStr">
        <is>
          <t>-48.419269, -13.041477</t>
        </is>
      </c>
      <c r="J49" s="18" t="inlineStr">
        <is>
          <t>-48.544375, -13.003771</t>
        </is>
      </c>
      <c r="K49" s="19" t="n">
        <v>16.8893792</v>
      </c>
    </row>
    <row r="50" ht="30" customHeight="1">
      <c r="A50" s="20" t="n">
        <v>12</v>
      </c>
      <c r="B50" s="21" t="inlineStr">
        <is>
          <t>PEIXE</t>
        </is>
      </c>
      <c r="C50" s="22" t="n">
        <v>235</v>
      </c>
      <c r="D50" s="18" t="inlineStr">
        <is>
          <t>TO-387</t>
        </is>
      </c>
      <c r="E50" s="21" t="inlineStr">
        <is>
          <t>RODOVIA TO-387 - TRECHO PALMEIRÓPOLIS - DIVISA TO-GO</t>
        </is>
      </c>
      <c r="F50" s="18" t="inlineStr">
        <is>
          <t>387ETO0171</t>
        </is>
      </c>
      <c r="G50" s="21" t="inlineStr">
        <is>
          <t>INÍCIO PU PALMEIRÓPOLIS - ENTR. TO-141/TO-387(INÍCIO DUPLICAÇÃO PU PALMEIRÓPOLIS)</t>
        </is>
      </c>
      <c r="H50" s="18" t="inlineStr">
        <is>
          <t>PSU</t>
        </is>
      </c>
      <c r="I50" s="18" t="inlineStr">
        <is>
          <t>-48.4073671733, -13.0424462039</t>
        </is>
      </c>
      <c r="J50" s="18" t="inlineStr">
        <is>
          <t>-48.407215, -13.03665</t>
        </is>
      </c>
      <c r="K50" s="19" t="n">
        <v>0.651330107</v>
      </c>
    </row>
    <row r="51" ht="45" customHeight="1">
      <c r="A51" s="20" t="n">
        <v>12</v>
      </c>
      <c r="B51" s="21" t="inlineStr">
        <is>
          <t>PEIXE</t>
        </is>
      </c>
      <c r="C51" s="22" t="n">
        <v>235</v>
      </c>
      <c r="D51" s="18" t="inlineStr">
        <is>
          <t>TO-387</t>
        </is>
      </c>
      <c r="E51" s="21" t="inlineStr">
        <is>
          <t>RODOVIA TO-387 - TRECHO PALMEIRÓPOLIS - DIVISA TO-GO</t>
        </is>
      </c>
      <c r="F51" s="18" t="inlineStr">
        <is>
          <t>387ETO0172D</t>
        </is>
      </c>
      <c r="G51" s="21" t="inlineStr">
        <is>
          <t>ENTR. TO-141/TO-387(INÍCIO DUPLICAÇÃO PU PALMEIRÓPOLIS) - FIM DUPLICAÇÃO PU PALMEIRÓPOLIS</t>
        </is>
      </c>
      <c r="H51" s="18" t="inlineStr">
        <is>
          <t>PDU</t>
        </is>
      </c>
      <c r="I51" s="18" t="inlineStr">
        <is>
          <t>-48.419269, -13.041477</t>
        </is>
      </c>
      <c r="J51" s="18" t="inlineStr">
        <is>
          <t>-48.4073671733, -13.0424462039</t>
        </is>
      </c>
      <c r="K51" s="19" t="n">
        <v>1.328494835</v>
      </c>
    </row>
    <row r="52" ht="45" customHeight="1">
      <c r="A52" s="20" t="n">
        <v>12</v>
      </c>
      <c r="B52" s="21" t="inlineStr">
        <is>
          <t>PEIXE</t>
        </is>
      </c>
      <c r="C52" s="22" t="n">
        <v>235</v>
      </c>
      <c r="D52" s="18" t="inlineStr">
        <is>
          <t>TO-387</t>
        </is>
      </c>
      <c r="E52" s="21" t="inlineStr">
        <is>
          <t>RODOVIA TO-387 - TRECHO PALMEIRÓPOLIS - DIVISA TO-GO</t>
        </is>
      </c>
      <c r="F52" s="18" t="inlineStr">
        <is>
          <t>387ETO0172E</t>
        </is>
      </c>
      <c r="G52" s="21" t="inlineStr">
        <is>
          <t>ENTR. TO-141/TO-387(INÍCIO DUPLICAÇÃO PU PALMEIRÓPOLIS) - FIM DUPLICAÇÃO PU PALMEIRÓPOLIS</t>
        </is>
      </c>
      <c r="H52" s="18" t="inlineStr">
        <is>
          <t>PDU</t>
        </is>
      </c>
      <c r="I52" s="18" t="inlineStr">
        <is>
          <t>-48.4073535064, -13.0425349009</t>
        </is>
      </c>
      <c r="J52" s="18" t="inlineStr">
        <is>
          <t>-48.419269, -13.041477</t>
        </is>
      </c>
      <c r="K52" s="19" t="n">
        <v>1.336563497</v>
      </c>
    </row>
    <row r="53" ht="30" customHeight="1">
      <c r="A53" s="20" t="n">
        <v>12</v>
      </c>
      <c r="B53" s="21" t="inlineStr">
        <is>
          <t>PEIXE</t>
        </is>
      </c>
      <c r="C53" s="22" t="n">
        <v>236</v>
      </c>
      <c r="D53" s="18" t="inlineStr">
        <is>
          <t>TO-458</t>
        </is>
      </c>
      <c r="E53" s="21" t="inlineStr">
        <is>
          <t>RODOVIA TO-458 - TRECHO ENTR. TO-365 (IPUEIRAS) - ENTR. BR-010</t>
        </is>
      </c>
      <c r="F53" s="18" t="inlineStr">
        <is>
          <t>458ETO0050</t>
        </is>
      </c>
      <c r="G53" s="21" t="inlineStr">
        <is>
          <t>ENTR. TO-365 - POV. MORRO DE SÃO JOÃO</t>
        </is>
      </c>
      <c r="H53" s="18" t="inlineStr">
        <is>
          <t>LEN</t>
        </is>
      </c>
      <c r="I53" s="18" t="inlineStr">
        <is>
          <t>-48.35443, -11.327232</t>
        </is>
      </c>
      <c r="J53" s="18" t="inlineStr">
        <is>
          <t>-48.3987909032, -11.2596123534</t>
        </is>
      </c>
      <c r="K53" s="19" t="n">
        <v>10.2683596</v>
      </c>
    </row>
    <row r="54" ht="30" customHeight="1">
      <c r="A54" s="20" t="n">
        <v>12</v>
      </c>
      <c r="B54" s="21" t="inlineStr">
        <is>
          <t>PEIXE</t>
        </is>
      </c>
      <c r="C54" s="22" t="n">
        <v>236</v>
      </c>
      <c r="D54" s="18" t="inlineStr">
        <is>
          <t>TO-458</t>
        </is>
      </c>
      <c r="E54" s="21" t="inlineStr">
        <is>
          <t>RODOVIA TO-458 - TRECHO ENTR. TO-365 (IPUEIRAS) - ENTR. BR-010</t>
        </is>
      </c>
      <c r="F54" s="18" t="inlineStr">
        <is>
          <t>458ETO0060</t>
        </is>
      </c>
      <c r="G54" s="21" t="inlineStr">
        <is>
          <t>POV. MORRO DE SÃO JOÃO - ENTR. TO-482</t>
        </is>
      </c>
      <c r="H54" s="18" t="inlineStr">
        <is>
          <t>LEN</t>
        </is>
      </c>
      <c r="I54" s="18" t="inlineStr">
        <is>
          <t>-48.20139, -11.39927</t>
        </is>
      </c>
      <c r="J54" s="18" t="inlineStr">
        <is>
          <t>-48.35443, -11.327232</t>
        </is>
      </c>
      <c r="K54" s="19" t="n">
        <v>20.90579498</v>
      </c>
    </row>
    <row r="55" ht="30" customHeight="1">
      <c r="A55" s="20" t="n">
        <v>12</v>
      </c>
      <c r="B55" s="21" t="inlineStr">
        <is>
          <t>PEIXE</t>
        </is>
      </c>
      <c r="C55" s="22" t="n">
        <v>236</v>
      </c>
      <c r="D55" s="18" t="inlineStr">
        <is>
          <t>TO-458</t>
        </is>
      </c>
      <c r="E55" s="21" t="inlineStr">
        <is>
          <t>RODOVIA TO-458 - TRECHO ENTR. TO-365 (IPUEIRAS) - ENTR. BR-010</t>
        </is>
      </c>
      <c r="F55" s="18" t="inlineStr">
        <is>
          <t>458ETO0070</t>
        </is>
      </c>
      <c r="G55" s="21" t="inlineStr">
        <is>
          <t>ENTR. TO-482 - ENTR. BR-010/TO-050</t>
        </is>
      </c>
      <c r="H55" s="18" t="inlineStr">
        <is>
          <t>LEN</t>
        </is>
      </c>
      <c r="I55" s="18" t="inlineStr">
        <is>
          <t>-48.176852, -11.406416</t>
        </is>
      </c>
      <c r="J55" s="18" t="inlineStr">
        <is>
          <t>-48.201314, -11.399238</t>
        </is>
      </c>
      <c r="K55" s="19" t="n">
        <v>3.027449273</v>
      </c>
    </row>
    <row r="56" ht="30" customHeight="1">
      <c r="A56" s="20" t="n">
        <v>12</v>
      </c>
      <c r="B56" s="21" t="inlineStr">
        <is>
          <t>PEIXE</t>
        </is>
      </c>
      <c r="C56" s="22" t="n">
        <v>237</v>
      </c>
      <c r="D56" s="18" t="inlineStr">
        <is>
          <t>TO-479</t>
        </is>
      </c>
      <c r="E56" s="21" t="inlineStr">
        <is>
          <t>RODOVIA TO-479 - TRECHO PEIXE - POVOADO LAGOA DO ROMÃO (ENTR. TO-373)</t>
        </is>
      </c>
      <c r="F56" s="18" t="inlineStr">
        <is>
          <t>479ETO0010</t>
        </is>
      </c>
      <c r="G56" s="21" t="inlineStr">
        <is>
          <t>ENTR. TO-373 - RIO TOCANTINS(PEIXE)</t>
        </is>
      </c>
      <c r="H56" s="18" t="inlineStr">
        <is>
          <t>LEN</t>
        </is>
      </c>
      <c r="I56" s="18" t="inlineStr">
        <is>
          <t>-48.395878, -11.853915</t>
        </is>
      </c>
      <c r="J56" s="18" t="inlineStr">
        <is>
          <t>-48.525306, -12.025504</t>
        </is>
      </c>
      <c r="K56" s="19" t="n">
        <v>26.04424711</v>
      </c>
    </row>
    <row r="57" ht="30" customHeight="1">
      <c r="A57" s="20" t="n">
        <v>12</v>
      </c>
      <c r="B57" s="21" t="inlineStr">
        <is>
          <t>PEIXE</t>
        </is>
      </c>
      <c r="C57" s="22" t="n">
        <v>238</v>
      </c>
      <c r="D57" s="18" t="inlineStr">
        <is>
          <t>TO-482</t>
        </is>
      </c>
      <c r="E57" s="21" t="inlineStr">
        <is>
          <t>RODOVIA TO-482 - TRECHO: ENTR. TO-280 (SÃO VALÉRIO DE NATIVIDADE) / ENTR. TO-458</t>
        </is>
      </c>
      <c r="F57" s="18" t="inlineStr">
        <is>
          <t>482ETO0030</t>
        </is>
      </c>
      <c r="G57" s="21" t="inlineStr">
        <is>
          <t>POV. SÃO PEDRO - ENTR. TO-280</t>
        </is>
      </c>
      <c r="H57" s="18" t="inlineStr">
        <is>
          <t>LEN</t>
        </is>
      </c>
      <c r="I57" s="18" t="inlineStr">
        <is>
          <t>-48.280162, -11.678081</t>
        </is>
      </c>
      <c r="J57" s="18" t="inlineStr">
        <is>
          <t>-48.172981, -11.917997</t>
        </is>
      </c>
      <c r="K57" s="19" t="n">
        <v>34.31416608</v>
      </c>
    </row>
    <row r="58" ht="30" customHeight="1">
      <c r="A58" s="20" t="n">
        <v>12</v>
      </c>
      <c r="B58" s="21" t="inlineStr">
        <is>
          <t>PEIXE</t>
        </is>
      </c>
      <c r="C58" s="22" t="n">
        <v>238</v>
      </c>
      <c r="D58" s="18" t="inlineStr">
        <is>
          <t>TO-482</t>
        </is>
      </c>
      <c r="E58" s="21" t="inlineStr">
        <is>
          <t>RODOVIA TO-482 - TRECHO: ENTR. TO-280 (SÃO VALÉRIO DE NATIVIDADE) / ENTR. TO-458</t>
        </is>
      </c>
      <c r="F58" s="18" t="inlineStr">
        <is>
          <t>482ETO0010</t>
        </is>
      </c>
      <c r="G58" s="21" t="inlineStr">
        <is>
          <t>ENTR. TO-458 - POV. APINAJÉ</t>
        </is>
      </c>
      <c r="H58" s="18" t="inlineStr">
        <is>
          <t>LEN</t>
        </is>
      </c>
      <c r="I58" s="18" t="inlineStr">
        <is>
          <t>-48.20139, -11.39927</t>
        </is>
      </c>
      <c r="J58" s="18" t="inlineStr">
        <is>
          <t>-48.293071, -11.536082</t>
        </is>
      </c>
      <c r="K58" s="19" t="n">
        <v>20.96563643</v>
      </c>
    </row>
    <row r="59" ht="30" customHeight="1">
      <c r="A59" s="20" t="n">
        <v>12</v>
      </c>
      <c r="B59" s="21" t="inlineStr">
        <is>
          <t>PEIXE</t>
        </is>
      </c>
      <c r="C59" s="22" t="n">
        <v>238</v>
      </c>
      <c r="D59" s="18" t="inlineStr">
        <is>
          <t>TO-482</t>
        </is>
      </c>
      <c r="E59" s="21" t="inlineStr">
        <is>
          <t>RODOVIA TO-482 - TRECHO: ENTR. TO-280 (SÃO VALÉRIO DE NATIVIDADE) / ENTR. TO-458</t>
        </is>
      </c>
      <c r="F59" s="18" t="inlineStr">
        <is>
          <t>482ETO0020</t>
        </is>
      </c>
      <c r="G59" s="21" t="inlineStr">
        <is>
          <t>POV. APINAJÉ - POV. SÃO PEDRO</t>
        </is>
      </c>
      <c r="H59" s="18" t="inlineStr">
        <is>
          <t>LEN</t>
        </is>
      </c>
      <c r="I59" s="18" t="inlineStr">
        <is>
          <t>-48.280162, -11.678081</t>
        </is>
      </c>
      <c r="J59" s="18" t="inlineStr">
        <is>
          <t>-48.293071, -11.536082</t>
        </is>
      </c>
      <c r="K59" s="19" t="n">
        <v>17.61149802</v>
      </c>
    </row>
    <row r="60" ht="30" customHeight="1">
      <c r="A60" s="20" t="n">
        <v>12</v>
      </c>
      <c r="B60" s="21" t="inlineStr">
        <is>
          <t>PEIXE</t>
        </is>
      </c>
      <c r="C60" s="22" t="n">
        <v>239</v>
      </c>
      <c r="D60" s="18" t="inlineStr">
        <is>
          <t>TO-486</t>
        </is>
      </c>
      <c r="E60" s="21" t="inlineStr">
        <is>
          <t>RODOVIA TO-486 - TRECHO SANTA ROSA DO TOCANTINS - ENTR. TO-280 (NATIVIDADE)</t>
        </is>
      </c>
      <c r="F60" s="18" t="inlineStr">
        <is>
          <t>486ETO0010</t>
        </is>
      </c>
      <c r="G60" s="21" t="inlineStr">
        <is>
          <t>FIM DUPLICAÇÃO PU SANTA ROSA - ENTR. TO-280(A)</t>
        </is>
      </c>
      <c r="H60" s="18" t="inlineStr">
        <is>
          <t>LEN</t>
        </is>
      </c>
      <c r="I60" s="18" t="inlineStr">
        <is>
          <t>-48.116723537, -11.4541483715</t>
        </is>
      </c>
      <c r="J60" s="18" t="inlineStr">
        <is>
          <t>-47.762698, -11.721811</t>
        </is>
      </c>
      <c r="K60" s="19" t="n">
        <v>63.94617419</v>
      </c>
    </row>
    <row r="61" ht="30" customHeight="1">
      <c r="A61" s="20" t="n">
        <v>12</v>
      </c>
      <c r="B61" s="21" t="inlineStr">
        <is>
          <t>PEIXE</t>
        </is>
      </c>
      <c r="C61" s="22" t="n">
        <v>240</v>
      </c>
      <c r="D61" s="18" t="inlineStr">
        <is>
          <t>TO-490</t>
        </is>
      </c>
      <c r="E61" s="21" t="inlineStr">
        <is>
          <t>RODOVIA TO-490 - TRECHO SÃO VALÉRIO DE NATIVIDADE - ENTR. BR-242</t>
        </is>
      </c>
      <c r="F61" s="18" t="inlineStr">
        <is>
          <t>490ETO0010</t>
        </is>
      </c>
      <c r="G61" s="21" t="inlineStr">
        <is>
          <t>ENTR. TO-280(B) - POV. TIGRE</t>
        </is>
      </c>
      <c r="H61" s="18" t="inlineStr">
        <is>
          <t>LEN</t>
        </is>
      </c>
      <c r="I61" s="18" t="inlineStr">
        <is>
          <t>-48.242908, -11.990464</t>
        </is>
      </c>
      <c r="J61" s="18" t="inlineStr">
        <is>
          <t>-48.054423, -12.163853</t>
        </is>
      </c>
      <c r="K61" s="19" t="n">
        <v>35.00636785</v>
      </c>
    </row>
    <row r="62" ht="30" customHeight="1">
      <c r="A62" s="20" t="n">
        <v>12</v>
      </c>
      <c r="B62" s="21" t="inlineStr">
        <is>
          <t>PEIXE</t>
        </is>
      </c>
      <c r="C62" s="22" t="n">
        <v>240</v>
      </c>
      <c r="D62" s="18" t="inlineStr">
        <is>
          <t>TO-490</t>
        </is>
      </c>
      <c r="E62" s="21" t="inlineStr">
        <is>
          <t>RODOVIA TO-490 - TRECHO SÃO VALÉRIO DE NATIVIDADE - ENTR. BR-242</t>
        </is>
      </c>
      <c r="F62" s="18" t="inlineStr">
        <is>
          <t>490ETO0020</t>
        </is>
      </c>
      <c r="G62" s="21" t="inlineStr">
        <is>
          <t>POV. TIGRE - ENTR. BR-242</t>
        </is>
      </c>
      <c r="H62" s="18" t="inlineStr">
        <is>
          <t>LEN</t>
        </is>
      </c>
      <c r="I62" s="18" t="inlineStr">
        <is>
          <t>-48.054423, -12.163853</t>
        </is>
      </c>
      <c r="J62" s="18" t="inlineStr">
        <is>
          <t>-47.9258117325, -12.4941981551</t>
        </is>
      </c>
      <c r="K62" s="19" t="n">
        <v>45.63493801</v>
      </c>
    </row>
    <row r="63" ht="30" customHeight="1">
      <c r="A63" s="20" t="n">
        <v>12</v>
      </c>
      <c r="B63" s="21" t="inlineStr">
        <is>
          <t>PEIXE</t>
        </is>
      </c>
      <c r="C63" s="22" t="n">
        <v>241</v>
      </c>
      <c r="D63" s="18" t="inlineStr">
        <is>
          <t>TO-491</t>
        </is>
      </c>
      <c r="E63" s="21" t="inlineStr">
        <is>
          <t>RODOVIA TO-491 - TRECHO ENTR. BR-242 - ENTR. TO-296 (POVOADO RETIRO)</t>
        </is>
      </c>
      <c r="F63" s="18" t="inlineStr">
        <is>
          <t>491ETO0010</t>
        </is>
      </c>
      <c r="G63" s="21" t="inlineStr">
        <is>
          <t>ENTR. BR.242 - ENTR. TO-296</t>
        </is>
      </c>
      <c r="H63" s="18" t="inlineStr">
        <is>
          <t>LEN</t>
        </is>
      </c>
      <c r="I63" s="18" t="inlineStr">
        <is>
          <t>-48.319684, -12.570387</t>
        </is>
      </c>
      <c r="J63" s="18" t="inlineStr">
        <is>
          <t>-48.470783, -12.223928</t>
        </is>
      </c>
      <c r="K63" s="19" t="n">
        <v>59.56615547</v>
      </c>
    </row>
    <row r="64" ht="30" customHeight="1">
      <c r="A64" s="20" t="n">
        <v>12</v>
      </c>
      <c r="B64" s="21" t="inlineStr">
        <is>
          <t>PEIXE</t>
        </is>
      </c>
      <c r="C64" s="22" t="n">
        <v>242</v>
      </c>
      <c r="D64" s="18" t="inlineStr">
        <is>
          <t>TO-495</t>
        </is>
      </c>
      <c r="E64" s="21" t="inlineStr">
        <is>
          <t>RODOVIA TO-495 - TRECHO DIVISA TO-GO - LOURENÇO BORGES - ENTR. TO-296</t>
        </is>
      </c>
      <c r="F64" s="18" t="inlineStr">
        <is>
          <t>495ETO0010</t>
        </is>
      </c>
      <c r="G64" s="21" t="inlineStr">
        <is>
          <t>ENTR. TO-296 - INÍCIO PAVIMENTAÇÃO PU POV. LOURENÇO BORGES</t>
        </is>
      </c>
      <c r="H64" s="18" t="inlineStr">
        <is>
          <t>LEN</t>
        </is>
      </c>
      <c r="I64" s="18" t="inlineStr">
        <is>
          <t>-48.67785, -12.743445</t>
        </is>
      </c>
      <c r="J64" s="18" t="inlineStr">
        <is>
          <t>-48.757409, -12.853403</t>
        </is>
      </c>
      <c r="K64" s="19" t="n">
        <v>16.2246735</v>
      </c>
    </row>
    <row r="65" ht="30" customHeight="1">
      <c r="A65" s="20" t="n">
        <v>12</v>
      </c>
      <c r="B65" s="21" t="inlineStr">
        <is>
          <t>PEIXE</t>
        </is>
      </c>
      <c r="C65" s="22" t="n">
        <v>242</v>
      </c>
      <c r="D65" s="18" t="inlineStr">
        <is>
          <t>TO-495</t>
        </is>
      </c>
      <c r="E65" s="21" t="inlineStr">
        <is>
          <t>RODOVIA TO-495 - TRECHO DIVISA TO-GO - LOURENÇO BORGES - ENTR. TO-296</t>
        </is>
      </c>
      <c r="F65" s="18" t="inlineStr">
        <is>
          <t>495ETO0020</t>
        </is>
      </c>
      <c r="G65" s="21" t="inlineStr">
        <is>
          <t>FIM PAVIMENTAÇÃO POV. LOURENÇO BORGES - DIV. TO/GO</t>
        </is>
      </c>
      <c r="H65" s="18" t="inlineStr">
        <is>
          <t>LEN</t>
        </is>
      </c>
      <c r="I65" s="18" t="inlineStr">
        <is>
          <t>-48.761424, -12.854602</t>
        </is>
      </c>
      <c r="J65" s="18" t="inlineStr">
        <is>
          <t>-48.797982, -12.875323</t>
        </is>
      </c>
      <c r="K65" s="19" t="n">
        <v>4.913674709</v>
      </c>
    </row>
    <row r="66" ht="30" customHeight="1">
      <c r="A66" s="20" t="n">
        <v>12</v>
      </c>
      <c r="B66" s="21" t="inlineStr">
        <is>
          <t>PEIXE</t>
        </is>
      </c>
      <c r="C66" s="22" t="n">
        <v>242</v>
      </c>
      <c r="D66" s="18" t="inlineStr">
        <is>
          <t>TO-495</t>
        </is>
      </c>
      <c r="E66" s="21" t="inlineStr">
        <is>
          <t>RODOVIA TO-495 - TRECHO DIVISA TO-GO - LOURENÇO BORGES - ENTR. TO-296</t>
        </is>
      </c>
      <c r="F66" s="18" t="inlineStr">
        <is>
          <t>495ETO0012</t>
        </is>
      </c>
      <c r="G66" s="21" t="inlineStr">
        <is>
          <t>INÍCIO PAVIMENTAÇÃO PU POV. LOURENÇO BORGES - FIM PAVIMENTAÇÃO POV. LOURENÇO BORGES</t>
        </is>
      </c>
      <c r="H66" s="18" t="inlineStr">
        <is>
          <t>PSU</t>
        </is>
      </c>
      <c r="I66" s="18" t="inlineStr">
        <is>
          <t>-48.761424, -12.854602</t>
        </is>
      </c>
      <c r="J66" s="18" t="inlineStr">
        <is>
          <t>-48.757409, -12.853403</t>
        </is>
      </c>
      <c r="K66" s="19" t="n">
        <v>0.455709157</v>
      </c>
    </row>
    <row r="67" ht="30" customHeight="1">
      <c r="A67" s="20" t="n">
        <v>12</v>
      </c>
      <c r="B67" s="21" t="inlineStr">
        <is>
          <t>PEIXE</t>
        </is>
      </c>
      <c r="C67" s="22" t="n">
        <v>243</v>
      </c>
      <c r="D67" s="18" t="inlineStr">
        <is>
          <t>TO-498</t>
        </is>
      </c>
      <c r="E67" s="21" t="inlineStr">
        <is>
          <t>RODOVIA TO-498 - TRECHO JAÚ DO TOCANTINS - ENTR. TO-373 (SANTA CRUZ)</t>
        </is>
      </c>
      <c r="F67" s="18" t="inlineStr">
        <is>
          <t>498ETO0010</t>
        </is>
      </c>
      <c r="G67" s="21" t="inlineStr">
        <is>
          <t>ENTR. TO-373(POV. SANTA CRUZ) - ENTR. TO-296(B)</t>
        </is>
      </c>
      <c r="H67" s="18" t="inlineStr">
        <is>
          <t>PPS</t>
        </is>
      </c>
      <c r="I67" s="18" t="inlineStr">
        <is>
          <t>-48.638939, -12.345124</t>
        </is>
      </c>
      <c r="J67" s="18" t="inlineStr">
        <is>
          <t>-48.613501, -12.619321</t>
        </is>
      </c>
      <c r="K67" s="19" t="n">
        <v>32.03490463</v>
      </c>
    </row>
    <row r="68" ht="30" customHeight="1">
      <c r="A68" s="20" t="n">
        <v>12</v>
      </c>
      <c r="B68" s="21" t="inlineStr">
        <is>
          <t>PEIXE</t>
        </is>
      </c>
      <c r="C68" s="22" t="n">
        <v>244</v>
      </c>
      <c r="D68" s="18" t="inlineStr">
        <is>
          <t>TO-498</t>
        </is>
      </c>
      <c r="E68" s="21" t="inlineStr">
        <is>
          <t>RODOVIA TO-498 - TRECHO JAÚ DO TOCANTINS - ENTR. TO-387</t>
        </is>
      </c>
      <c r="F68" s="18" t="inlineStr">
        <is>
          <t>498ETO0080</t>
        </is>
      </c>
      <c r="G68" s="21" t="inlineStr">
        <is>
          <t>FIM DUPLICAÇÃO(PU NOVO HORIZONTE) - POV. MONTEIRÓPOLIS</t>
        </is>
      </c>
      <c r="H68" s="18" t="inlineStr">
        <is>
          <t>PPS</t>
        </is>
      </c>
      <c r="I68" s="18" t="inlineStr">
        <is>
          <t>-48.577547, -12.841359</t>
        </is>
      </c>
      <c r="J68" s="18" t="inlineStr">
        <is>
          <t>-48.570788, -12.939477</t>
        </is>
      </c>
      <c r="K68" s="19" t="n">
        <v>11.7932072</v>
      </c>
    </row>
    <row r="69" ht="30" customHeight="1">
      <c r="A69" s="20" t="n">
        <v>12</v>
      </c>
      <c r="B69" s="21" t="inlineStr">
        <is>
          <t>PEIXE</t>
        </is>
      </c>
      <c r="C69" s="22" t="n">
        <v>244</v>
      </c>
      <c r="D69" s="18" t="inlineStr">
        <is>
          <t>TO-498</t>
        </is>
      </c>
      <c r="E69" s="21" t="inlineStr">
        <is>
          <t>RODOVIA TO-498 - TRECHO JAÚ DO TOCANTINS - ENTR. TO-387</t>
        </is>
      </c>
      <c r="F69" s="18" t="inlineStr">
        <is>
          <t>498ETO0090</t>
        </is>
      </c>
      <c r="G69" s="21" t="inlineStr">
        <is>
          <t>POV. MONTEIRÓPOLIS - ENTR. TO-387</t>
        </is>
      </c>
      <c r="H69" s="18" t="inlineStr">
        <is>
          <t>PPS</t>
        </is>
      </c>
      <c r="I69" s="18" t="inlineStr">
        <is>
          <t>-48.544375, -13.003771</t>
        </is>
      </c>
      <c r="J69" s="18" t="inlineStr">
        <is>
          <t>-48.570788, -12.939477</t>
        </is>
      </c>
      <c r="K69" s="19" t="n">
        <v>9.043541832000001</v>
      </c>
    </row>
    <row r="70" ht="30" customHeight="1">
      <c r="A70" s="20" t="n">
        <v>12</v>
      </c>
      <c r="B70" s="21" t="inlineStr">
        <is>
          <t>PEIXE</t>
        </is>
      </c>
      <c r="C70" s="22" t="n">
        <v>244</v>
      </c>
      <c r="D70" s="18" t="inlineStr">
        <is>
          <t>TO-498</t>
        </is>
      </c>
      <c r="E70" s="21" t="inlineStr">
        <is>
          <t>RODOVIA TO-498 - TRECHO JAÚ DO TOCANTINS - ENTR. TO-387</t>
        </is>
      </c>
      <c r="F70" s="18" t="inlineStr">
        <is>
          <t>498ETO0042</t>
        </is>
      </c>
      <c r="G70" s="21" t="inlineStr">
        <is>
          <t>ENTR. TO-296(A)(PU JAÚ DO TOCANTINS) - FIM PU JAÚ DO TOCANTINS</t>
        </is>
      </c>
      <c r="H70" s="18" t="inlineStr">
        <is>
          <t>PSU</t>
        </is>
      </c>
      <c r="I70" s="18" t="inlineStr">
        <is>
          <t>-48.5932167193, -12.6517197696</t>
        </is>
      </c>
      <c r="J70" s="18" t="inlineStr">
        <is>
          <t>-48.588621, -12.656774</t>
        </is>
      </c>
      <c r="K70" s="19" t="n">
        <v>0.794576349</v>
      </c>
    </row>
    <row r="71" ht="30" customHeight="1">
      <c r="A71" s="20" t="n">
        <v>12</v>
      </c>
      <c r="B71" s="21" t="inlineStr">
        <is>
          <t>PEIXE</t>
        </is>
      </c>
      <c r="C71" s="22" t="n">
        <v>244</v>
      </c>
      <c r="D71" s="18" t="inlineStr">
        <is>
          <t>TO-498</t>
        </is>
      </c>
      <c r="E71" s="21" t="inlineStr">
        <is>
          <t>RODOVIA TO-498 - TRECHO JAÚ DO TOCANTINS - ENTR. TO-387</t>
        </is>
      </c>
      <c r="F71" s="18" t="inlineStr">
        <is>
          <t>498ETO0052D</t>
        </is>
      </c>
      <c r="G71" s="21" t="inlineStr">
        <is>
          <t>INÍCIO DUPLICAÇÃO(PU POV. NOVO HORIZONTE) - FIM DUPLICAÇÃO(PU NOVO HORIZONTE)</t>
        </is>
      </c>
      <c r="H71" s="18" t="inlineStr">
        <is>
          <t>PDU</t>
        </is>
      </c>
      <c r="I71" s="18" t="inlineStr">
        <is>
          <t>-48.577547, -12.841359</t>
        </is>
      </c>
      <c r="J71" s="18" t="inlineStr">
        <is>
          <t>-48.5785166476, -12.8359825107</t>
        </is>
      </c>
      <c r="K71" s="19" t="n">
        <v>0.606995967</v>
      </c>
    </row>
    <row r="72" ht="30" customHeight="1">
      <c r="A72" s="20" t="n">
        <v>12</v>
      </c>
      <c r="B72" s="21" t="inlineStr">
        <is>
          <t>PEIXE</t>
        </is>
      </c>
      <c r="C72" s="22" t="n">
        <v>244</v>
      </c>
      <c r="D72" s="18" t="inlineStr">
        <is>
          <t>TO-498</t>
        </is>
      </c>
      <c r="E72" s="21" t="inlineStr">
        <is>
          <t>RODOVIA TO-498 - TRECHO JAÚ DO TOCANTINS - ENTR. TO-387</t>
        </is>
      </c>
      <c r="F72" s="18" t="inlineStr">
        <is>
          <t>498ETO0052E</t>
        </is>
      </c>
      <c r="G72" s="21" t="inlineStr">
        <is>
          <t>INÍCIO DUPLICAÇÃO(PU POV. NOVO HORIZONTE) - FIM DUPLICAÇÃO(PU NOVO HORIZONTE)</t>
        </is>
      </c>
      <c r="H72" s="18" t="inlineStr">
        <is>
          <t>PDU</t>
        </is>
      </c>
      <c r="I72" s="18" t="inlineStr">
        <is>
          <t>-48.577547, -12.841359</t>
        </is>
      </c>
      <c r="J72" s="18" t="inlineStr">
        <is>
          <t>-48.5785166476, -12.8359825107</t>
        </is>
      </c>
      <c r="K72" s="19" t="n">
        <v>0.60764058</v>
      </c>
    </row>
    <row r="73" ht="30.75" customHeight="1" thickBot="1">
      <c r="A73" s="23" t="n">
        <v>12</v>
      </c>
      <c r="B73" s="24" t="inlineStr">
        <is>
          <t>PEIXE</t>
        </is>
      </c>
      <c r="C73" s="25" t="n">
        <v>244</v>
      </c>
      <c r="D73" s="26" t="inlineStr">
        <is>
          <t>TO-498</t>
        </is>
      </c>
      <c r="E73" s="24" t="inlineStr">
        <is>
          <t>RODOVIA TO-498 - TRECHO JAÚ DO TOCANTINS - ENTR. TO-387</t>
        </is>
      </c>
      <c r="F73" s="26" t="inlineStr">
        <is>
          <t>498ETO0050</t>
        </is>
      </c>
      <c r="G73" s="24" t="inlineStr">
        <is>
          <t>FIM PU JAÚ DO TOCANTINS - INÍCIO DUPLICAÇÃO PU POV. NOVO HORIZONTE</t>
        </is>
      </c>
      <c r="H73" s="26" t="inlineStr">
        <is>
          <t>PPS</t>
        </is>
      </c>
      <c r="I73" s="26" t="inlineStr">
        <is>
          <t>-48.588621, -12.656774</t>
        </is>
      </c>
      <c r="J73" s="26" t="inlineStr">
        <is>
          <t>-48.5785166476, -12.8359825107</t>
        </is>
      </c>
      <c r="K73" s="27" t="n">
        <v>20.63439861</v>
      </c>
    </row>
    <row r="74" ht="12.7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  <c r="J74" s="29" t="n"/>
      <c r="K74" s="29" t="n"/>
    </row>
    <row r="75" ht="12.7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  <c r="J75" s="29" t="n"/>
      <c r="K75" s="29" t="n"/>
    </row>
    <row r="76" ht="12.7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  <c r="J76" s="29" t="n"/>
      <c r="K76" s="29" t="n"/>
    </row>
    <row r="77" ht="12.7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  <c r="J77" s="29" t="n"/>
      <c r="K77" s="29" t="n"/>
    </row>
    <row r="78" ht="12.75" customHeight="1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</row>
    <row r="79" ht="12.75" customHeight="1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</row>
    <row r="80" ht="12.75" customHeight="1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</row>
    <row r="81" ht="12.75" customHeight="1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</row>
    <row r="82" ht="12.75" customHeight="1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</row>
    <row r="83" ht="12.75" customHeight="1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</row>
    <row r="84" ht="12.75" customHeight="1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</row>
    <row r="85" ht="12.75" customHeight="1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</row>
    <row r="86" ht="12.75" customHeight="1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</row>
    <row r="87" ht="12.75" customHeight="1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</row>
    <row r="88" ht="12.75" customHeight="1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</row>
    <row r="89" ht="12.75" customHeight="1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</row>
    <row r="90" ht="12.75" customHeight="1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</row>
    <row r="91" ht="12.75" customHeight="1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</row>
    <row r="92" ht="12.75" customHeight="1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</row>
    <row r="93" ht="12.75" customHeight="1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</row>
    <row r="94" ht="12.75" customHeight="1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</row>
    <row r="95" ht="12.75" customHeight="1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</row>
    <row r="96" ht="12.75" customHeight="1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</row>
    <row r="97" ht="12.75" customHeight="1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</row>
    <row r="98" ht="12.75" customHeight="1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</row>
    <row r="99" ht="12.75" customHeight="1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</row>
    <row r="100" ht="12.75" customHeight="1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</row>
    <row r="101" ht="12.75" customHeight="1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</row>
    <row r="102" ht="12.75" customHeight="1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</row>
    <row r="103" ht="12.75" customHeight="1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</row>
    <row r="104" ht="12.75" customHeight="1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</row>
    <row r="105" ht="12.75" customHeight="1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</row>
    <row r="106" ht="12.75" customHeight="1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</row>
    <row r="107" ht="12.75" customHeight="1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</row>
    <row r="108" ht="12.75" customHeight="1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</row>
    <row r="109" ht="12.75" customHeight="1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</row>
    <row r="110" ht="12.75" customHeight="1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</row>
    <row r="111" ht="12.75" customHeight="1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</row>
    <row r="112" ht="12.75" customHeight="1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</row>
    <row r="113" ht="12.75" customHeight="1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</row>
    <row r="114" ht="12.75" customHeight="1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</row>
    <row r="115" ht="12.75" customHeight="1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</row>
    <row r="116" ht="12.75" customHeight="1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</row>
    <row r="117" ht="12.75" customHeight="1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</row>
    <row r="118" ht="12.75" customHeight="1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</row>
    <row r="119" ht="12.75" customHeight="1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</row>
    <row r="120" ht="12.75" customHeight="1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</row>
    <row r="121" ht="12.75" customHeight="1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</row>
    <row r="122" ht="12.75" customHeight="1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</row>
    <row r="123" ht="12.75" customHeight="1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</row>
    <row r="124" ht="12.75" customHeight="1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</row>
    <row r="125" ht="12.75" customHeight="1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</row>
    <row r="126" ht="12.75" customHeight="1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</row>
    <row r="127" ht="12.75" customHeight="1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</row>
    <row r="128" ht="12.75" customHeight="1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</row>
    <row r="129" ht="12.75" customHeight="1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</row>
    <row r="130" ht="12.75" customHeight="1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</row>
    <row r="131" ht="12.75" customHeight="1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</row>
    <row r="132" ht="12.75" customHeight="1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</row>
    <row r="133" ht="12.75" customHeight="1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</row>
    <row r="134" ht="12.75" customHeight="1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</row>
    <row r="135" ht="12.75" customHeight="1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</row>
    <row r="136" ht="12.75" customHeight="1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</row>
    <row r="137" ht="12.75" customHeight="1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</row>
    <row r="138" ht="12.75" customHeight="1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</row>
    <row r="139" ht="12.75" customHeight="1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</row>
    <row r="140" ht="12.75" customHeight="1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</row>
    <row r="141" ht="12.75" customHeight="1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</row>
    <row r="142" ht="12.75" customHeight="1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</row>
    <row r="143" ht="12.75" customHeight="1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</row>
    <row r="144" ht="12.75" customHeight="1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</row>
    <row r="145" ht="12.75" customHeight="1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</row>
    <row r="146" ht="12.75" customHeight="1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</row>
    <row r="147" ht="12.75" customHeight="1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</row>
    <row r="148" ht="12.75" customHeight="1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</row>
    <row r="149" ht="12.75" customHeight="1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</row>
    <row r="150" ht="12.75" customHeight="1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</row>
    <row r="151" ht="12.75" customHeight="1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</row>
    <row r="152" ht="12.75" customHeight="1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</row>
    <row r="153" ht="12.75" customHeight="1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</row>
    <row r="154" ht="12.75" customHeight="1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</row>
    <row r="155" ht="12.75" customHeight="1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</row>
    <row r="156" ht="12.75" customHeight="1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</row>
    <row r="157" ht="12.75" customHeight="1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</row>
    <row r="158" ht="12.75" customHeight="1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</row>
    <row r="159" ht="12.75" customHeight="1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</row>
    <row r="160" ht="12.75" customHeight="1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</row>
    <row r="161" ht="12.75" customHeight="1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</row>
    <row r="162" ht="12.75" customHeight="1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</row>
    <row r="163" ht="12.75" customHeight="1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</row>
    <row r="164" ht="12.75" customHeight="1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</row>
    <row r="165" ht="12.75" customHeight="1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</row>
    <row r="166" ht="12.75" customHeight="1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</row>
    <row r="167" ht="12.75" customHeight="1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</row>
    <row r="168" ht="12.75" customHeight="1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</row>
    <row r="169" ht="12.75" customHeight="1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</row>
    <row r="170" ht="12.75" customHeight="1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</row>
    <row r="171" ht="12.75" customHeight="1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</row>
    <row r="172" ht="12.75" customHeight="1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</row>
    <row r="173" ht="12.75" customHeight="1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</row>
    <row r="174" ht="12.75" customHeight="1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</row>
    <row r="175" ht="12.75" customHeight="1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</row>
    <row r="176" ht="12.75" customHeight="1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</row>
    <row r="177" ht="12.75" customHeight="1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</row>
    <row r="178" ht="12.75" customHeight="1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</row>
    <row r="179" ht="12.75" customHeight="1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</row>
    <row r="180" ht="12.75" customHeight="1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</row>
    <row r="181" ht="12.75" customHeight="1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</row>
    <row r="182" ht="12.75" customHeight="1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</row>
    <row r="183" ht="12.75" customHeight="1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</row>
    <row r="184" ht="12.75" customHeight="1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</row>
    <row r="185" ht="12.75" customHeight="1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</row>
    <row r="186" ht="12.75" customHeight="1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</row>
    <row r="187" ht="12.75" customHeight="1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</row>
    <row r="188" ht="12.75" customHeight="1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</row>
    <row r="189" ht="12.75" customHeight="1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</row>
    <row r="190" ht="12.75" customHeight="1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</row>
    <row r="191" ht="12.75" customHeight="1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</row>
    <row r="192" ht="12.75" customHeight="1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</row>
    <row r="193" ht="12.75" customHeight="1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</row>
    <row r="194" ht="12.75" customHeight="1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</row>
    <row r="195" ht="12.75" customHeight="1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</row>
    <row r="196" ht="12.75" customHeight="1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</row>
    <row r="197" ht="12.75" customHeight="1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</row>
    <row r="198" ht="12.75" customHeight="1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</row>
    <row r="199" ht="12.75" customHeight="1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</row>
    <row r="200" ht="12.75" customHeight="1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</row>
    <row r="201" ht="12.75" customHeight="1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</row>
    <row r="202" ht="12.75" customHeight="1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</row>
    <row r="203" ht="12.75" customHeight="1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</row>
    <row r="204" ht="12.75" customHeight="1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</row>
    <row r="205" ht="12.75" customHeight="1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</row>
    <row r="206" ht="12.75" customHeight="1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</row>
    <row r="207" ht="12.75" customHeight="1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</row>
    <row r="208" ht="12.75" customHeight="1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</row>
    <row r="209" ht="12.75" customHeight="1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</row>
    <row r="210" ht="12.75" customHeight="1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</row>
    <row r="211" ht="12.75" customHeight="1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</row>
    <row r="212" ht="12.75" customHeight="1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</row>
    <row r="213" ht="12.75" customHeight="1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</row>
    <row r="214" ht="12.75" customHeight="1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</row>
    <row r="215" ht="12.75" customHeight="1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</row>
    <row r="216" ht="12.75" customHeight="1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</row>
    <row r="217" ht="12.75" customHeight="1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</row>
    <row r="218" ht="12.75" customHeight="1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</row>
    <row r="219" ht="12.75" customHeight="1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</row>
    <row r="220" ht="12.75" customHeight="1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</row>
    <row r="221" ht="12.75" customHeight="1">
      <c r="A221" s="28" t="n"/>
      <c r="B221" s="28" t="n"/>
      <c r="C221" s="28" t="n"/>
      <c r="D221" s="28" t="n"/>
      <c r="E221" s="28" t="n"/>
      <c r="F221" s="28" t="n"/>
      <c r="G221" s="28" t="n"/>
      <c r="H221" s="28" t="n"/>
      <c r="I221" s="28" t="n"/>
      <c r="J221" s="28" t="n"/>
      <c r="K221" s="28" t="n"/>
    </row>
    <row r="222" ht="12.75" customHeight="1">
      <c r="A222" s="28" t="n"/>
      <c r="B222" s="28" t="n"/>
      <c r="C222" s="28" t="n"/>
      <c r="D222" s="28" t="n"/>
      <c r="E222" s="28" t="n"/>
      <c r="F222" s="28" t="n"/>
      <c r="G222" s="28" t="n"/>
      <c r="H222" s="28" t="n"/>
      <c r="I222" s="28" t="n"/>
      <c r="J222" s="28" t="n"/>
      <c r="K222" s="28" t="n"/>
    </row>
    <row r="223" ht="12.75" customHeight="1">
      <c r="A223" s="28" t="n"/>
      <c r="B223" s="28" t="n"/>
      <c r="C223" s="28" t="n"/>
      <c r="D223" s="28" t="n"/>
      <c r="E223" s="28" t="n"/>
      <c r="F223" s="28" t="n"/>
      <c r="G223" s="28" t="n"/>
      <c r="H223" s="28" t="n"/>
      <c r="I223" s="28" t="n"/>
      <c r="J223" s="28" t="n"/>
      <c r="K223" s="28" t="n"/>
    </row>
    <row r="224" ht="12.75" customHeight="1">
      <c r="A224" s="28" t="n"/>
      <c r="B224" s="28" t="n"/>
      <c r="C224" s="28" t="n"/>
      <c r="D224" s="28" t="n"/>
      <c r="E224" s="28" t="n"/>
      <c r="F224" s="28" t="n"/>
      <c r="G224" s="28" t="n"/>
      <c r="H224" s="28" t="n"/>
      <c r="I224" s="28" t="n"/>
      <c r="J224" s="28" t="n"/>
      <c r="K224" s="28" t="n"/>
    </row>
    <row r="225" ht="12.75" customHeight="1">
      <c r="A225" s="28" t="n"/>
      <c r="B225" s="28" t="n"/>
      <c r="C225" s="28" t="n"/>
      <c r="D225" s="28" t="n"/>
      <c r="E225" s="28" t="n"/>
      <c r="F225" s="28" t="n"/>
      <c r="G225" s="28" t="n"/>
      <c r="H225" s="28" t="n"/>
      <c r="I225" s="28" t="n"/>
      <c r="J225" s="28" t="n"/>
      <c r="K225" s="28" t="n"/>
    </row>
    <row r="226" ht="12.75" customHeight="1">
      <c r="A226" s="28" t="n"/>
      <c r="B226" s="28" t="n"/>
      <c r="C226" s="28" t="n"/>
      <c r="D226" s="28" t="n"/>
      <c r="E226" s="28" t="n"/>
      <c r="F226" s="28" t="n"/>
      <c r="G226" s="28" t="n"/>
      <c r="H226" s="28" t="n"/>
      <c r="I226" s="28" t="n"/>
      <c r="J226" s="28" t="n"/>
      <c r="K226" s="28" t="n"/>
    </row>
    <row r="227" ht="12.75" customHeight="1">
      <c r="A227" s="28" t="n"/>
      <c r="B227" s="28" t="n"/>
      <c r="C227" s="28" t="n"/>
      <c r="D227" s="28" t="n"/>
      <c r="E227" s="28" t="n"/>
      <c r="F227" s="28" t="n"/>
      <c r="G227" s="28" t="n"/>
      <c r="H227" s="28" t="n"/>
      <c r="I227" s="28" t="n"/>
      <c r="J227" s="28" t="n"/>
      <c r="K227" s="28" t="n"/>
    </row>
    <row r="228" ht="12.75" customHeight="1">
      <c r="A228" s="28" t="n"/>
      <c r="B228" s="28" t="n"/>
      <c r="C228" s="28" t="n"/>
      <c r="D228" s="28" t="n"/>
      <c r="E228" s="28" t="n"/>
      <c r="F228" s="28" t="n"/>
      <c r="G228" s="28" t="n"/>
      <c r="H228" s="28" t="n"/>
      <c r="I228" s="28" t="n"/>
      <c r="J228" s="28" t="n"/>
      <c r="K228" s="28" t="n"/>
    </row>
    <row r="229" ht="12.75" customHeight="1">
      <c r="A229" s="28" t="n"/>
      <c r="B229" s="28" t="n"/>
      <c r="C229" s="28" t="n"/>
      <c r="D229" s="28" t="n"/>
      <c r="E229" s="28" t="n"/>
      <c r="F229" s="28" t="n"/>
      <c r="G229" s="28" t="n"/>
      <c r="H229" s="28" t="n"/>
      <c r="I229" s="28" t="n"/>
      <c r="J229" s="28" t="n"/>
      <c r="K229" s="28" t="n"/>
    </row>
    <row r="230" ht="12.75" customHeight="1">
      <c r="A230" s="28" t="n"/>
      <c r="B230" s="28" t="n"/>
      <c r="C230" s="28" t="n"/>
      <c r="D230" s="28" t="n"/>
      <c r="E230" s="28" t="n"/>
      <c r="F230" s="28" t="n"/>
      <c r="G230" s="28" t="n"/>
      <c r="H230" s="28" t="n"/>
      <c r="I230" s="28" t="n"/>
      <c r="J230" s="28" t="n"/>
      <c r="K230" s="28" t="n"/>
    </row>
    <row r="231" ht="12.75" customHeight="1">
      <c r="A231" s="28" t="n"/>
      <c r="B231" s="28" t="n"/>
      <c r="C231" s="28" t="n"/>
      <c r="D231" s="28" t="n"/>
      <c r="E231" s="28" t="n"/>
      <c r="F231" s="28" t="n"/>
      <c r="G231" s="28" t="n"/>
      <c r="H231" s="28" t="n"/>
      <c r="I231" s="28" t="n"/>
      <c r="J231" s="28" t="n"/>
      <c r="K231" s="28" t="n"/>
    </row>
    <row r="232" ht="12.75" customHeight="1">
      <c r="A232" s="28" t="n"/>
      <c r="B232" s="28" t="n"/>
      <c r="C232" s="28" t="n"/>
      <c r="D232" s="28" t="n"/>
      <c r="E232" s="28" t="n"/>
      <c r="F232" s="28" t="n"/>
      <c r="G232" s="28" t="n"/>
      <c r="H232" s="28" t="n"/>
      <c r="I232" s="28" t="n"/>
      <c r="J232" s="28" t="n"/>
      <c r="K232" s="28" t="n"/>
    </row>
    <row r="233" ht="12.75" customHeight="1">
      <c r="A233" s="28" t="n"/>
      <c r="B233" s="28" t="n"/>
      <c r="C233" s="28" t="n"/>
      <c r="D233" s="28" t="n"/>
      <c r="E233" s="28" t="n"/>
      <c r="F233" s="28" t="n"/>
      <c r="G233" s="28" t="n"/>
      <c r="H233" s="28" t="n"/>
      <c r="I233" s="28" t="n"/>
      <c r="J233" s="28" t="n"/>
      <c r="K233" s="28" t="n"/>
    </row>
    <row r="234" ht="12.75" customHeight="1">
      <c r="A234" s="28" t="n"/>
      <c r="B234" s="28" t="n"/>
      <c r="C234" s="28" t="n"/>
      <c r="D234" s="28" t="n"/>
      <c r="E234" s="28" t="n"/>
      <c r="F234" s="28" t="n"/>
      <c r="G234" s="28" t="n"/>
      <c r="H234" s="28" t="n"/>
      <c r="I234" s="28" t="n"/>
      <c r="J234" s="28" t="n"/>
      <c r="K234" s="28" t="n"/>
    </row>
    <row r="235" ht="12.75" customHeight="1">
      <c r="A235" s="28" t="n"/>
      <c r="B235" s="28" t="n"/>
      <c r="C235" s="28" t="n"/>
      <c r="D235" s="28" t="n"/>
      <c r="E235" s="28" t="n"/>
      <c r="F235" s="28" t="n"/>
      <c r="G235" s="28" t="n"/>
      <c r="H235" s="28" t="n"/>
      <c r="I235" s="28" t="n"/>
      <c r="J235" s="28" t="n"/>
      <c r="K235" s="28" t="n"/>
    </row>
    <row r="236" ht="12.75" customHeight="1">
      <c r="A236" s="28" t="n"/>
      <c r="B236" s="28" t="n"/>
      <c r="C236" s="28" t="n"/>
      <c r="D236" s="28" t="n"/>
      <c r="E236" s="28" t="n"/>
      <c r="F236" s="28" t="n"/>
      <c r="G236" s="28" t="n"/>
      <c r="H236" s="28" t="n"/>
      <c r="I236" s="28" t="n"/>
      <c r="J236" s="28" t="n"/>
      <c r="K236" s="28" t="n"/>
    </row>
    <row r="237" ht="12.75" customHeight="1">
      <c r="A237" s="28" t="n"/>
      <c r="B237" s="28" t="n"/>
      <c r="C237" s="28" t="n"/>
      <c r="D237" s="28" t="n"/>
      <c r="E237" s="28" t="n"/>
      <c r="F237" s="28" t="n"/>
      <c r="G237" s="28" t="n"/>
      <c r="H237" s="28" t="n"/>
      <c r="I237" s="28" t="n"/>
      <c r="J237" s="28" t="n"/>
      <c r="K237" s="28" t="n"/>
    </row>
    <row r="238" ht="12.75" customHeight="1">
      <c r="A238" s="28" t="n"/>
      <c r="B238" s="28" t="n"/>
      <c r="C238" s="28" t="n"/>
      <c r="D238" s="28" t="n"/>
      <c r="E238" s="28" t="n"/>
      <c r="F238" s="28" t="n"/>
      <c r="G238" s="28" t="n"/>
      <c r="H238" s="28" t="n"/>
      <c r="I238" s="28" t="n"/>
      <c r="J238" s="28" t="n"/>
      <c r="K238" s="28" t="n"/>
    </row>
    <row r="239" ht="12.75" customHeight="1">
      <c r="A239" s="28" t="n"/>
      <c r="B239" s="28" t="n"/>
      <c r="C239" s="28" t="n"/>
      <c r="D239" s="28" t="n"/>
      <c r="E239" s="28" t="n"/>
      <c r="F239" s="28" t="n"/>
      <c r="G239" s="28" t="n"/>
      <c r="H239" s="28" t="n"/>
      <c r="I239" s="28" t="n"/>
      <c r="J239" s="28" t="n"/>
      <c r="K239" s="28" t="n"/>
    </row>
    <row r="240" ht="12.75" customHeight="1">
      <c r="A240" s="28" t="n"/>
      <c r="B240" s="28" t="n"/>
      <c r="C240" s="28" t="n"/>
      <c r="D240" s="28" t="n"/>
      <c r="E240" s="28" t="n"/>
      <c r="F240" s="28" t="n"/>
      <c r="G240" s="28" t="n"/>
      <c r="H240" s="28" t="n"/>
      <c r="I240" s="28" t="n"/>
      <c r="J240" s="28" t="n"/>
      <c r="K240" s="28" t="n"/>
    </row>
    <row r="241" ht="12.75" customHeight="1">
      <c r="A241" s="28" t="n"/>
      <c r="B241" s="28" t="n"/>
      <c r="C241" s="28" t="n"/>
      <c r="D241" s="28" t="n"/>
      <c r="E241" s="28" t="n"/>
      <c r="F241" s="28" t="n"/>
      <c r="G241" s="28" t="n"/>
      <c r="H241" s="28" t="n"/>
      <c r="I241" s="28" t="n"/>
      <c r="J241" s="28" t="n"/>
      <c r="K241" s="28" t="n"/>
    </row>
    <row r="242" ht="12.75" customHeight="1">
      <c r="A242" s="28" t="n"/>
      <c r="B242" s="28" t="n"/>
      <c r="C242" s="28" t="n"/>
      <c r="D242" s="28" t="n"/>
      <c r="E242" s="28" t="n"/>
      <c r="F242" s="28" t="n"/>
      <c r="G242" s="28" t="n"/>
      <c r="H242" s="28" t="n"/>
      <c r="I242" s="28" t="n"/>
      <c r="J242" s="28" t="n"/>
      <c r="K242" s="28" t="n"/>
    </row>
    <row r="243" ht="12.75" customHeight="1">
      <c r="A243" s="28" t="n"/>
      <c r="B243" s="28" t="n"/>
      <c r="C243" s="28" t="n"/>
      <c r="D243" s="28" t="n"/>
      <c r="E243" s="28" t="n"/>
      <c r="F243" s="28" t="n"/>
      <c r="G243" s="28" t="n"/>
      <c r="H243" s="28" t="n"/>
      <c r="I243" s="28" t="n"/>
      <c r="J243" s="28" t="n"/>
      <c r="K243" s="28" t="n"/>
    </row>
    <row r="244" ht="12.75" customHeight="1">
      <c r="A244" s="28" t="n"/>
      <c r="B244" s="28" t="n"/>
      <c r="C244" s="28" t="n"/>
      <c r="D244" s="28" t="n"/>
      <c r="E244" s="28" t="n"/>
      <c r="F244" s="28" t="n"/>
      <c r="G244" s="28" t="n"/>
      <c r="H244" s="28" t="n"/>
      <c r="I244" s="28" t="n"/>
      <c r="J244" s="28" t="n"/>
      <c r="K244" s="28" t="n"/>
    </row>
    <row r="245" ht="12.75" customHeight="1">
      <c r="A245" s="28" t="n"/>
      <c r="B245" s="28" t="n"/>
      <c r="C245" s="28" t="n"/>
      <c r="D245" s="28" t="n"/>
      <c r="E245" s="28" t="n"/>
      <c r="F245" s="28" t="n"/>
      <c r="G245" s="28" t="n"/>
      <c r="H245" s="28" t="n"/>
      <c r="I245" s="28" t="n"/>
      <c r="J245" s="28" t="n"/>
      <c r="K245" s="28" t="n"/>
    </row>
    <row r="246" ht="12.75" customHeight="1">
      <c r="A246" s="28" t="n"/>
      <c r="B246" s="28" t="n"/>
      <c r="C246" s="28" t="n"/>
      <c r="D246" s="28" t="n"/>
      <c r="E246" s="28" t="n"/>
      <c r="F246" s="28" t="n"/>
      <c r="G246" s="28" t="n"/>
      <c r="H246" s="28" t="n"/>
      <c r="I246" s="28" t="n"/>
      <c r="J246" s="28" t="n"/>
      <c r="K246" s="28" t="n"/>
    </row>
    <row r="247" ht="12.75" customHeight="1">
      <c r="A247" s="28" t="n"/>
      <c r="B247" s="28" t="n"/>
      <c r="C247" s="28" t="n"/>
      <c r="D247" s="28" t="n"/>
      <c r="E247" s="28" t="n"/>
      <c r="F247" s="28" t="n"/>
      <c r="G247" s="28" t="n"/>
      <c r="H247" s="28" t="n"/>
      <c r="I247" s="28" t="n"/>
      <c r="J247" s="28" t="n"/>
      <c r="K247" s="28" t="n"/>
    </row>
    <row r="248" ht="12.75" customHeight="1">
      <c r="A248" s="28" t="n"/>
      <c r="B248" s="28" t="n"/>
      <c r="C248" s="28" t="n"/>
      <c r="D248" s="28" t="n"/>
      <c r="E248" s="28" t="n"/>
      <c r="F248" s="28" t="n"/>
      <c r="G248" s="28" t="n"/>
      <c r="H248" s="28" t="n"/>
      <c r="I248" s="28" t="n"/>
      <c r="J248" s="28" t="n"/>
      <c r="K248" s="28" t="n"/>
    </row>
    <row r="249" ht="12.75" customHeight="1">
      <c r="A249" s="28" t="n"/>
      <c r="B249" s="28" t="n"/>
      <c r="C249" s="28" t="n"/>
      <c r="D249" s="28" t="n"/>
      <c r="E249" s="28" t="n"/>
      <c r="F249" s="28" t="n"/>
      <c r="G249" s="28" t="n"/>
      <c r="H249" s="28" t="n"/>
      <c r="I249" s="28" t="n"/>
      <c r="J249" s="28" t="n"/>
      <c r="K249" s="28" t="n"/>
    </row>
    <row r="250" ht="12.75" customHeight="1">
      <c r="A250" s="28" t="n"/>
      <c r="B250" s="28" t="n"/>
      <c r="C250" s="28" t="n"/>
      <c r="D250" s="28" t="n"/>
      <c r="E250" s="28" t="n"/>
      <c r="F250" s="28" t="n"/>
      <c r="G250" s="28" t="n"/>
      <c r="H250" s="28" t="n"/>
      <c r="I250" s="28" t="n"/>
      <c r="J250" s="28" t="n"/>
      <c r="K250" s="28" t="n"/>
    </row>
    <row r="251" ht="12.75" customHeight="1">
      <c r="A251" s="28" t="n"/>
      <c r="B251" s="28" t="n"/>
      <c r="C251" s="28" t="n"/>
      <c r="D251" s="28" t="n"/>
      <c r="E251" s="28" t="n"/>
      <c r="F251" s="28" t="n"/>
      <c r="G251" s="28" t="n"/>
      <c r="H251" s="28" t="n"/>
      <c r="I251" s="28" t="n"/>
      <c r="J251" s="28" t="n"/>
      <c r="K251" s="28" t="n"/>
    </row>
    <row r="252" ht="12.75" customHeight="1">
      <c r="A252" s="28" t="n"/>
      <c r="B252" s="28" t="n"/>
      <c r="C252" s="28" t="n"/>
      <c r="D252" s="28" t="n"/>
      <c r="E252" s="28" t="n"/>
      <c r="F252" s="28" t="n"/>
      <c r="G252" s="28" t="n"/>
      <c r="H252" s="28" t="n"/>
      <c r="I252" s="28" t="n"/>
      <c r="J252" s="28" t="n"/>
      <c r="K252" s="28" t="n"/>
    </row>
    <row r="253" ht="12.75" customHeight="1">
      <c r="A253" s="28" t="n"/>
      <c r="B253" s="28" t="n"/>
      <c r="C253" s="28" t="n"/>
      <c r="D253" s="28" t="n"/>
      <c r="E253" s="28" t="n"/>
      <c r="F253" s="28" t="n"/>
      <c r="G253" s="28" t="n"/>
      <c r="H253" s="28" t="n"/>
      <c r="I253" s="28" t="n"/>
      <c r="J253" s="28" t="n"/>
      <c r="K253" s="28" t="n"/>
    </row>
    <row r="254" ht="12.75" customHeight="1">
      <c r="A254" s="28" t="n"/>
      <c r="B254" s="28" t="n"/>
      <c r="C254" s="28" t="n"/>
      <c r="D254" s="28" t="n"/>
      <c r="E254" s="28" t="n"/>
      <c r="F254" s="28" t="n"/>
      <c r="G254" s="28" t="n"/>
      <c r="H254" s="28" t="n"/>
      <c r="I254" s="28" t="n"/>
      <c r="J254" s="28" t="n"/>
      <c r="K254" s="28" t="n"/>
    </row>
    <row r="255" ht="12.75" customHeight="1">
      <c r="A255" s="28" t="n"/>
      <c r="B255" s="28" t="n"/>
      <c r="C255" s="28" t="n"/>
      <c r="D255" s="28" t="n"/>
      <c r="E255" s="28" t="n"/>
      <c r="F255" s="28" t="n"/>
      <c r="G255" s="28" t="n"/>
      <c r="H255" s="28" t="n"/>
      <c r="I255" s="28" t="n"/>
      <c r="J255" s="28" t="n"/>
      <c r="K255" s="28" t="n"/>
    </row>
    <row r="256" ht="12.75" customHeight="1">
      <c r="A256" s="28" t="n"/>
      <c r="B256" s="28" t="n"/>
      <c r="C256" s="28" t="n"/>
      <c r="D256" s="28" t="n"/>
      <c r="E256" s="28" t="n"/>
      <c r="F256" s="28" t="n"/>
      <c r="G256" s="28" t="n"/>
      <c r="H256" s="28" t="n"/>
      <c r="I256" s="28" t="n"/>
      <c r="J256" s="28" t="n"/>
      <c r="K256" s="28" t="n"/>
    </row>
    <row r="257" ht="12.75" customHeight="1">
      <c r="A257" s="28" t="n"/>
      <c r="B257" s="28" t="n"/>
      <c r="C257" s="28" t="n"/>
      <c r="D257" s="28" t="n"/>
      <c r="E257" s="28" t="n"/>
      <c r="F257" s="28" t="n"/>
      <c r="G257" s="28" t="n"/>
      <c r="H257" s="28" t="n"/>
      <c r="I257" s="28" t="n"/>
      <c r="J257" s="28" t="n"/>
      <c r="K257" s="28" t="n"/>
    </row>
    <row r="258" ht="12.75" customHeight="1">
      <c r="A258" s="28" t="n"/>
      <c r="B258" s="28" t="n"/>
      <c r="C258" s="28" t="n"/>
      <c r="D258" s="28" t="n"/>
      <c r="E258" s="28" t="n"/>
      <c r="F258" s="28" t="n"/>
      <c r="G258" s="28" t="n"/>
      <c r="H258" s="28" t="n"/>
      <c r="I258" s="28" t="n"/>
      <c r="J258" s="28" t="n"/>
      <c r="K258" s="28" t="n"/>
    </row>
    <row r="259" ht="12.75" customHeight="1">
      <c r="A259" s="28" t="n"/>
      <c r="B259" s="28" t="n"/>
      <c r="C259" s="28" t="n"/>
      <c r="D259" s="28" t="n"/>
      <c r="E259" s="28" t="n"/>
      <c r="F259" s="28" t="n"/>
      <c r="G259" s="28" t="n"/>
      <c r="H259" s="28" t="n"/>
      <c r="I259" s="28" t="n"/>
      <c r="J259" s="28" t="n"/>
      <c r="K259" s="28" t="n"/>
    </row>
    <row r="260" ht="12.75" customHeight="1">
      <c r="A260" s="28" t="n"/>
      <c r="B260" s="28" t="n"/>
      <c r="C260" s="28" t="n"/>
      <c r="D260" s="28" t="n"/>
      <c r="E260" s="28" t="n"/>
      <c r="F260" s="28" t="n"/>
      <c r="G260" s="28" t="n"/>
      <c r="H260" s="28" t="n"/>
      <c r="I260" s="28" t="n"/>
      <c r="J260" s="28" t="n"/>
      <c r="K260" s="28" t="n"/>
    </row>
    <row r="261" ht="12.75" customHeight="1">
      <c r="A261" s="28" t="n"/>
      <c r="B261" s="28" t="n"/>
      <c r="C261" s="28" t="n"/>
      <c r="D261" s="28" t="n"/>
      <c r="E261" s="28" t="n"/>
      <c r="F261" s="28" t="n"/>
      <c r="G261" s="28" t="n"/>
      <c r="H261" s="28" t="n"/>
      <c r="I261" s="28" t="n"/>
      <c r="J261" s="28" t="n"/>
      <c r="K261" s="28" t="n"/>
    </row>
    <row r="262" ht="12.75" customHeight="1">
      <c r="A262" s="28" t="n"/>
      <c r="B262" s="28" t="n"/>
      <c r="C262" s="28" t="n"/>
      <c r="D262" s="28" t="n"/>
      <c r="E262" s="28" t="n"/>
      <c r="F262" s="28" t="n"/>
      <c r="G262" s="28" t="n"/>
      <c r="H262" s="28" t="n"/>
      <c r="I262" s="28" t="n"/>
      <c r="J262" s="28" t="n"/>
      <c r="K262" s="28" t="n"/>
    </row>
    <row r="263" ht="12.75" customHeight="1">
      <c r="A263" s="28" t="n"/>
      <c r="B263" s="28" t="n"/>
      <c r="C263" s="28" t="n"/>
      <c r="D263" s="28" t="n"/>
      <c r="E263" s="28" t="n"/>
      <c r="F263" s="28" t="n"/>
      <c r="G263" s="28" t="n"/>
      <c r="H263" s="28" t="n"/>
      <c r="I263" s="28" t="n"/>
      <c r="J263" s="28" t="n"/>
      <c r="K263" s="28" t="n"/>
    </row>
    <row r="264" ht="12.75" customHeight="1">
      <c r="A264" s="28" t="n"/>
      <c r="B264" s="28" t="n"/>
      <c r="C264" s="28" t="n"/>
      <c r="D264" s="28" t="n"/>
      <c r="E264" s="28" t="n"/>
      <c r="F264" s="28" t="n"/>
      <c r="G264" s="28" t="n"/>
      <c r="H264" s="28" t="n"/>
      <c r="I264" s="28" t="n"/>
      <c r="J264" s="28" t="n"/>
      <c r="K264" s="28" t="n"/>
    </row>
    <row r="265" ht="12.75" customHeight="1">
      <c r="A265" s="28" t="n"/>
      <c r="B265" s="28" t="n"/>
      <c r="C265" s="28" t="n"/>
      <c r="D265" s="28" t="n"/>
      <c r="E265" s="28" t="n"/>
      <c r="F265" s="28" t="n"/>
      <c r="G265" s="28" t="n"/>
      <c r="H265" s="28" t="n"/>
      <c r="I265" s="28" t="n"/>
      <c r="J265" s="28" t="n"/>
      <c r="K265" s="28" t="n"/>
    </row>
    <row r="266" ht="12.75" customHeight="1">
      <c r="A266" s="28" t="n"/>
      <c r="B266" s="28" t="n"/>
      <c r="C266" s="28" t="n"/>
      <c r="D266" s="28" t="n"/>
      <c r="E266" s="28" t="n"/>
      <c r="F266" s="28" t="n"/>
      <c r="G266" s="28" t="n"/>
      <c r="H266" s="28" t="n"/>
      <c r="I266" s="28" t="n"/>
      <c r="J266" s="28" t="n"/>
      <c r="K266" s="28" t="n"/>
    </row>
    <row r="267" ht="12.75" customHeight="1">
      <c r="A267" s="28" t="n"/>
      <c r="B267" s="28" t="n"/>
      <c r="C267" s="28" t="n"/>
      <c r="D267" s="28" t="n"/>
      <c r="E267" s="28" t="n"/>
      <c r="F267" s="28" t="n"/>
      <c r="G267" s="28" t="n"/>
      <c r="H267" s="28" t="n"/>
      <c r="I267" s="28" t="n"/>
      <c r="J267" s="28" t="n"/>
      <c r="K267" s="28" t="n"/>
    </row>
    <row r="268" ht="12.75" customHeight="1">
      <c r="A268" s="28" t="n"/>
      <c r="B268" s="28" t="n"/>
      <c r="C268" s="28" t="n"/>
      <c r="D268" s="28" t="n"/>
      <c r="E268" s="28" t="n"/>
      <c r="F268" s="28" t="n"/>
      <c r="G268" s="28" t="n"/>
      <c r="H268" s="28" t="n"/>
      <c r="I268" s="28" t="n"/>
      <c r="J268" s="28" t="n"/>
      <c r="K268" s="28" t="n"/>
    </row>
    <row r="269" ht="12.75" customHeight="1">
      <c r="A269" s="28" t="n"/>
      <c r="B269" s="28" t="n"/>
      <c r="C269" s="28" t="n"/>
      <c r="D269" s="28" t="n"/>
      <c r="E269" s="28" t="n"/>
      <c r="F269" s="28" t="n"/>
      <c r="G269" s="28" t="n"/>
      <c r="H269" s="28" t="n"/>
      <c r="I269" s="28" t="n"/>
      <c r="J269" s="28" t="n"/>
      <c r="K269" s="28" t="n"/>
    </row>
    <row r="270" ht="12.75" customHeight="1">
      <c r="A270" s="28" t="n"/>
      <c r="B270" s="28" t="n"/>
      <c r="C270" s="28" t="n"/>
      <c r="D270" s="28" t="n"/>
      <c r="E270" s="28" t="n"/>
      <c r="F270" s="28" t="n"/>
      <c r="G270" s="28" t="n"/>
      <c r="H270" s="28" t="n"/>
      <c r="I270" s="28" t="n"/>
      <c r="J270" s="28" t="n"/>
      <c r="K270" s="28" t="n"/>
    </row>
    <row r="271" ht="12.75" customHeight="1">
      <c r="A271" s="28" t="n"/>
      <c r="B271" s="28" t="n"/>
      <c r="C271" s="28" t="n"/>
      <c r="D271" s="28" t="n"/>
      <c r="E271" s="28" t="n"/>
      <c r="F271" s="28" t="n"/>
      <c r="G271" s="28" t="n"/>
      <c r="H271" s="28" t="n"/>
      <c r="I271" s="28" t="n"/>
      <c r="J271" s="28" t="n"/>
      <c r="K271" s="28" t="n"/>
    </row>
    <row r="272" ht="12.75" customHeight="1">
      <c r="A272" s="28" t="n"/>
      <c r="B272" s="28" t="n"/>
      <c r="C272" s="28" t="n"/>
      <c r="D272" s="28" t="n"/>
      <c r="E272" s="28" t="n"/>
      <c r="F272" s="28" t="n"/>
      <c r="G272" s="28" t="n"/>
      <c r="H272" s="28" t="n"/>
      <c r="I272" s="28" t="n"/>
      <c r="J272" s="28" t="n"/>
      <c r="K272" s="28" t="n"/>
    </row>
    <row r="273" ht="12.75" customHeight="1">
      <c r="A273" s="28" t="n"/>
      <c r="B273" s="28" t="n"/>
      <c r="C273" s="28" t="n"/>
      <c r="D273" s="28" t="n"/>
      <c r="E273" s="28" t="n"/>
      <c r="F273" s="28" t="n"/>
      <c r="G273" s="28" t="n"/>
      <c r="H273" s="28" t="n"/>
      <c r="I273" s="28" t="n"/>
      <c r="J273" s="28" t="n"/>
      <c r="K273" s="28" t="n"/>
    </row>
    <row r="274" ht="12.75" customHeight="1">
      <c r="A274" s="28" t="n"/>
      <c r="B274" s="28" t="n"/>
      <c r="C274" s="28" t="n"/>
      <c r="D274" s="28" t="n"/>
      <c r="E274" s="28" t="n"/>
      <c r="F274" s="28" t="n"/>
      <c r="G274" s="28" t="n"/>
      <c r="H274" s="28" t="n"/>
      <c r="I274" s="28" t="n"/>
      <c r="J274" s="28" t="n"/>
      <c r="K274" s="28" t="n"/>
    </row>
    <row r="275" ht="12.75" customHeight="1">
      <c r="A275" s="28" t="n"/>
      <c r="B275" s="28" t="n"/>
      <c r="C275" s="28" t="n"/>
      <c r="D275" s="28" t="n"/>
      <c r="E275" s="28" t="n"/>
      <c r="F275" s="28" t="n"/>
      <c r="G275" s="28" t="n"/>
      <c r="H275" s="28" t="n"/>
      <c r="I275" s="28" t="n"/>
      <c r="J275" s="28" t="n"/>
      <c r="K275" s="28" t="n"/>
    </row>
    <row r="276" ht="12.75" customHeight="1">
      <c r="A276" s="28" t="n"/>
      <c r="B276" s="28" t="n"/>
      <c r="C276" s="28" t="n"/>
      <c r="D276" s="28" t="n"/>
      <c r="E276" s="28" t="n"/>
      <c r="F276" s="28" t="n"/>
      <c r="G276" s="28" t="n"/>
      <c r="H276" s="28" t="n"/>
      <c r="I276" s="28" t="n"/>
      <c r="J276" s="28" t="n"/>
      <c r="K276" s="28" t="n"/>
    </row>
    <row r="277" ht="12.75" customHeight="1">
      <c r="A277" s="28" t="n"/>
      <c r="B277" s="28" t="n"/>
      <c r="C277" s="28" t="n"/>
      <c r="D277" s="28" t="n"/>
      <c r="E277" s="28" t="n"/>
      <c r="F277" s="28" t="n"/>
      <c r="G277" s="28" t="n"/>
      <c r="H277" s="28" t="n"/>
      <c r="I277" s="28" t="n"/>
      <c r="J277" s="28" t="n"/>
      <c r="K277" s="28" t="n"/>
    </row>
    <row r="278" ht="12.75" customHeight="1">
      <c r="A278" s="28" t="n"/>
      <c r="B278" s="28" t="n"/>
      <c r="C278" s="28" t="n"/>
      <c r="D278" s="28" t="n"/>
      <c r="E278" s="28" t="n"/>
      <c r="F278" s="28" t="n"/>
      <c r="G278" s="28" t="n"/>
      <c r="H278" s="28" t="n"/>
      <c r="I278" s="28" t="n"/>
      <c r="J278" s="28" t="n"/>
      <c r="K278" s="28" t="n"/>
    </row>
    <row r="279" ht="12.75" customHeight="1">
      <c r="A279" s="28" t="n"/>
      <c r="B279" s="28" t="n"/>
      <c r="C279" s="28" t="n"/>
      <c r="D279" s="28" t="n"/>
      <c r="E279" s="28" t="n"/>
      <c r="F279" s="28" t="n"/>
      <c r="G279" s="28" t="n"/>
      <c r="H279" s="28" t="n"/>
      <c r="I279" s="28" t="n"/>
      <c r="J279" s="28" t="n"/>
      <c r="K279" s="28" t="n"/>
    </row>
    <row r="280" ht="12.75" customHeight="1">
      <c r="A280" s="28" t="n"/>
      <c r="B280" s="28" t="n"/>
      <c r="C280" s="28" t="n"/>
      <c r="D280" s="28" t="n"/>
      <c r="E280" s="28" t="n"/>
      <c r="F280" s="28" t="n"/>
      <c r="G280" s="28" t="n"/>
      <c r="H280" s="28" t="n"/>
      <c r="I280" s="28" t="n"/>
      <c r="J280" s="28" t="n"/>
      <c r="K280" s="28" t="n"/>
    </row>
    <row r="281" ht="12.75" customHeight="1">
      <c r="A281" s="28" t="n"/>
      <c r="B281" s="28" t="n"/>
      <c r="C281" s="28" t="n"/>
      <c r="D281" s="28" t="n"/>
      <c r="E281" s="28" t="n"/>
      <c r="F281" s="28" t="n"/>
      <c r="G281" s="28" t="n"/>
      <c r="H281" s="28" t="n"/>
      <c r="I281" s="28" t="n"/>
      <c r="J281" s="28" t="n"/>
      <c r="K281" s="28" t="n"/>
    </row>
    <row r="282" ht="12.75" customHeight="1">
      <c r="A282" s="28" t="n"/>
      <c r="B282" s="28" t="n"/>
      <c r="C282" s="28" t="n"/>
      <c r="D282" s="28" t="n"/>
      <c r="E282" s="28" t="n"/>
      <c r="F282" s="28" t="n"/>
      <c r="G282" s="28" t="n"/>
      <c r="H282" s="28" t="n"/>
      <c r="I282" s="28" t="n"/>
      <c r="J282" s="28" t="n"/>
      <c r="K282" s="28" t="n"/>
    </row>
    <row r="283" ht="12.75" customHeight="1">
      <c r="A283" s="28" t="n"/>
      <c r="B283" s="28" t="n"/>
      <c r="C283" s="28" t="n"/>
      <c r="D283" s="28" t="n"/>
      <c r="E283" s="28" t="n"/>
      <c r="F283" s="28" t="n"/>
      <c r="G283" s="28" t="n"/>
      <c r="H283" s="28" t="n"/>
      <c r="I283" s="28" t="n"/>
      <c r="J283" s="28" t="n"/>
      <c r="K283" s="28" t="n"/>
    </row>
    <row r="284" ht="12.75" customHeight="1">
      <c r="A284" s="28" t="n"/>
      <c r="B284" s="28" t="n"/>
      <c r="C284" s="28" t="n"/>
      <c r="D284" s="28" t="n"/>
      <c r="E284" s="28" t="n"/>
      <c r="F284" s="28" t="n"/>
      <c r="G284" s="28" t="n"/>
      <c r="H284" s="28" t="n"/>
      <c r="I284" s="28" t="n"/>
      <c r="J284" s="28" t="n"/>
      <c r="K284" s="28" t="n"/>
    </row>
    <row r="285" ht="12.75" customHeight="1">
      <c r="A285" s="28" t="n"/>
      <c r="B285" s="28" t="n"/>
      <c r="C285" s="28" t="n"/>
      <c r="D285" s="28" t="n"/>
      <c r="E285" s="28" t="n"/>
      <c r="F285" s="28" t="n"/>
      <c r="G285" s="28" t="n"/>
      <c r="H285" s="28" t="n"/>
      <c r="I285" s="28" t="n"/>
      <c r="J285" s="28" t="n"/>
      <c r="K285" s="28" t="n"/>
    </row>
    <row r="286" ht="12.75" customHeight="1">
      <c r="A286" s="28" t="n"/>
      <c r="B286" s="28" t="n"/>
      <c r="C286" s="28" t="n"/>
      <c r="D286" s="28" t="n"/>
      <c r="E286" s="28" t="n"/>
      <c r="F286" s="28" t="n"/>
      <c r="G286" s="28" t="n"/>
      <c r="H286" s="28" t="n"/>
      <c r="I286" s="28" t="n"/>
      <c r="J286" s="28" t="n"/>
      <c r="K286" s="28" t="n"/>
    </row>
    <row r="287" ht="12.75" customHeight="1">
      <c r="A287" s="28" t="n"/>
      <c r="B287" s="28" t="n"/>
      <c r="C287" s="28" t="n"/>
      <c r="D287" s="28" t="n"/>
      <c r="E287" s="28" t="n"/>
      <c r="F287" s="28" t="n"/>
      <c r="G287" s="28" t="n"/>
      <c r="H287" s="28" t="n"/>
      <c r="I287" s="28" t="n"/>
      <c r="J287" s="28" t="n"/>
      <c r="K287" s="28" t="n"/>
    </row>
    <row r="288" ht="12.75" customHeight="1">
      <c r="A288" s="28" t="n"/>
      <c r="B288" s="28" t="n"/>
      <c r="C288" s="28" t="n"/>
      <c r="D288" s="28" t="n"/>
      <c r="E288" s="28" t="n"/>
      <c r="F288" s="28" t="n"/>
      <c r="G288" s="28" t="n"/>
      <c r="H288" s="28" t="n"/>
      <c r="I288" s="28" t="n"/>
      <c r="J288" s="28" t="n"/>
      <c r="K288" s="28" t="n"/>
    </row>
    <row r="289" ht="12.75" customHeight="1">
      <c r="A289" s="28" t="n"/>
      <c r="B289" s="28" t="n"/>
      <c r="C289" s="28" t="n"/>
      <c r="D289" s="28" t="n"/>
      <c r="E289" s="28" t="n"/>
      <c r="F289" s="28" t="n"/>
      <c r="G289" s="28" t="n"/>
      <c r="H289" s="28" t="n"/>
      <c r="I289" s="28" t="n"/>
      <c r="J289" s="28" t="n"/>
      <c r="K289" s="28" t="n"/>
    </row>
    <row r="290" ht="12.75" customHeight="1">
      <c r="A290" s="28" t="n"/>
      <c r="B290" s="28" t="n"/>
      <c r="C290" s="28" t="n"/>
      <c r="D290" s="28" t="n"/>
      <c r="E290" s="28" t="n"/>
      <c r="F290" s="28" t="n"/>
      <c r="G290" s="28" t="n"/>
      <c r="H290" s="28" t="n"/>
      <c r="I290" s="28" t="n"/>
      <c r="J290" s="28" t="n"/>
      <c r="K290" s="28" t="n"/>
    </row>
    <row r="291" ht="12.75" customHeight="1">
      <c r="A291" s="28" t="n"/>
      <c r="B291" s="28" t="n"/>
      <c r="C291" s="28" t="n"/>
      <c r="D291" s="28" t="n"/>
      <c r="E291" s="28" t="n"/>
      <c r="F291" s="28" t="n"/>
      <c r="G291" s="28" t="n"/>
      <c r="H291" s="28" t="n"/>
      <c r="I291" s="28" t="n"/>
      <c r="J291" s="28" t="n"/>
      <c r="K291" s="28" t="n"/>
    </row>
    <row r="292" ht="12.75" customHeight="1">
      <c r="A292" s="28" t="n"/>
      <c r="B292" s="28" t="n"/>
      <c r="C292" s="28" t="n"/>
      <c r="D292" s="28" t="n"/>
      <c r="E292" s="28" t="n"/>
      <c r="F292" s="28" t="n"/>
      <c r="G292" s="28" t="n"/>
      <c r="H292" s="28" t="n"/>
      <c r="I292" s="28" t="n"/>
      <c r="J292" s="28" t="n"/>
      <c r="K292" s="28" t="n"/>
    </row>
    <row r="293" ht="12.75" customHeight="1">
      <c r="A293" s="28" t="n"/>
      <c r="B293" s="28" t="n"/>
      <c r="C293" s="28" t="n"/>
      <c r="D293" s="28" t="n"/>
      <c r="E293" s="28" t="n"/>
      <c r="F293" s="28" t="n"/>
      <c r="G293" s="28" t="n"/>
      <c r="H293" s="28" t="n"/>
      <c r="I293" s="28" t="n"/>
      <c r="J293" s="28" t="n"/>
      <c r="K293" s="28" t="n"/>
    </row>
    <row r="294" ht="12.75" customHeight="1">
      <c r="A294" s="28" t="n"/>
      <c r="B294" s="28" t="n"/>
      <c r="C294" s="28" t="n"/>
      <c r="D294" s="28" t="n"/>
      <c r="E294" s="28" t="n"/>
      <c r="F294" s="28" t="n"/>
      <c r="G294" s="28" t="n"/>
      <c r="H294" s="28" t="n"/>
      <c r="I294" s="28" t="n"/>
      <c r="J294" s="28" t="n"/>
      <c r="K294" s="28" t="n"/>
    </row>
    <row r="295" ht="12.75" customHeight="1">
      <c r="A295" s="28" t="n"/>
      <c r="B295" s="28" t="n"/>
      <c r="C295" s="28" t="n"/>
      <c r="D295" s="28" t="n"/>
      <c r="E295" s="28" t="n"/>
      <c r="F295" s="28" t="n"/>
      <c r="G295" s="28" t="n"/>
      <c r="H295" s="28" t="n"/>
      <c r="I295" s="28" t="n"/>
      <c r="J295" s="28" t="n"/>
      <c r="K295" s="28" t="n"/>
    </row>
    <row r="296" ht="12.75" customHeight="1">
      <c r="A296" s="28" t="n"/>
      <c r="B296" s="28" t="n"/>
      <c r="C296" s="28" t="n"/>
      <c r="D296" s="28" t="n"/>
      <c r="E296" s="28" t="n"/>
      <c r="F296" s="28" t="n"/>
      <c r="G296" s="28" t="n"/>
      <c r="H296" s="28" t="n"/>
      <c r="I296" s="28" t="n"/>
      <c r="J296" s="28" t="n"/>
      <c r="K296" s="28" t="n"/>
    </row>
    <row r="297" ht="12.75" customHeight="1">
      <c r="A297" s="28" t="n"/>
      <c r="B297" s="28" t="n"/>
      <c r="C297" s="28" t="n"/>
      <c r="D297" s="28" t="n"/>
      <c r="E297" s="28" t="n"/>
      <c r="F297" s="28" t="n"/>
      <c r="G297" s="28" t="n"/>
      <c r="H297" s="28" t="n"/>
      <c r="I297" s="28" t="n"/>
      <c r="J297" s="28" t="n"/>
      <c r="K297" s="28" t="n"/>
    </row>
    <row r="298" ht="12.75" customHeight="1">
      <c r="A298" s="28" t="n"/>
      <c r="B298" s="28" t="n"/>
      <c r="C298" s="28" t="n"/>
      <c r="D298" s="28" t="n"/>
      <c r="E298" s="28" t="n"/>
      <c r="F298" s="28" t="n"/>
      <c r="G298" s="28" t="n"/>
      <c r="H298" s="28" t="n"/>
      <c r="I298" s="28" t="n"/>
      <c r="J298" s="28" t="n"/>
      <c r="K298" s="28" t="n"/>
    </row>
    <row r="299" ht="12.75" customHeight="1">
      <c r="A299" s="28" t="n"/>
      <c r="B299" s="28" t="n"/>
      <c r="C299" s="28" t="n"/>
      <c r="D299" s="28" t="n"/>
      <c r="E299" s="28" t="n"/>
      <c r="F299" s="28" t="n"/>
      <c r="G299" s="28" t="n"/>
      <c r="H299" s="28" t="n"/>
      <c r="I299" s="28" t="n"/>
      <c r="J299" s="28" t="n"/>
      <c r="K299" s="28" t="n"/>
    </row>
    <row r="300" ht="12.75" customHeight="1">
      <c r="A300" s="28" t="n"/>
      <c r="B300" s="28" t="n"/>
      <c r="C300" s="28" t="n"/>
      <c r="D300" s="28" t="n"/>
      <c r="E300" s="28" t="n"/>
      <c r="F300" s="28" t="n"/>
      <c r="G300" s="28" t="n"/>
      <c r="H300" s="28" t="n"/>
      <c r="I300" s="28" t="n"/>
      <c r="J300" s="28" t="n"/>
      <c r="K300" s="28" t="n"/>
    </row>
    <row r="301" ht="12.75" customHeight="1">
      <c r="A301" s="28" t="n"/>
      <c r="B301" s="28" t="n"/>
      <c r="C301" s="28" t="n"/>
      <c r="D301" s="28" t="n"/>
      <c r="E301" s="28" t="n"/>
      <c r="F301" s="28" t="n"/>
      <c r="G301" s="28" t="n"/>
      <c r="H301" s="28" t="n"/>
      <c r="I301" s="28" t="n"/>
      <c r="J301" s="28" t="n"/>
      <c r="K301" s="28" t="n"/>
    </row>
    <row r="302" ht="12.75" customHeight="1">
      <c r="A302" s="28" t="n"/>
      <c r="B302" s="28" t="n"/>
      <c r="C302" s="28" t="n"/>
      <c r="D302" s="28" t="n"/>
      <c r="E302" s="28" t="n"/>
      <c r="F302" s="28" t="n"/>
      <c r="G302" s="28" t="n"/>
      <c r="H302" s="28" t="n"/>
      <c r="I302" s="28" t="n"/>
      <c r="J302" s="28" t="n"/>
      <c r="K302" s="28" t="n"/>
    </row>
    <row r="303" ht="12.75" customHeight="1">
      <c r="A303" s="28" t="n"/>
      <c r="B303" s="28" t="n"/>
      <c r="C303" s="28" t="n"/>
      <c r="D303" s="28" t="n"/>
      <c r="E303" s="28" t="n"/>
      <c r="F303" s="28" t="n"/>
      <c r="G303" s="28" t="n"/>
      <c r="H303" s="28" t="n"/>
      <c r="I303" s="28" t="n"/>
      <c r="J303" s="28" t="n"/>
      <c r="K303" s="28" t="n"/>
    </row>
    <row r="304" ht="12.75" customHeight="1">
      <c r="A304" s="28" t="n"/>
      <c r="B304" s="28" t="n"/>
      <c r="C304" s="28" t="n"/>
      <c r="D304" s="28" t="n"/>
      <c r="E304" s="28" t="n"/>
      <c r="F304" s="28" t="n"/>
      <c r="G304" s="28" t="n"/>
      <c r="H304" s="28" t="n"/>
      <c r="I304" s="28" t="n"/>
      <c r="J304" s="28" t="n"/>
      <c r="K304" s="28" t="n"/>
    </row>
    <row r="305" ht="12.75" customHeight="1">
      <c r="A305" s="28" t="n"/>
      <c r="B305" s="28" t="n"/>
      <c r="C305" s="28" t="n"/>
      <c r="D305" s="28" t="n"/>
      <c r="E305" s="28" t="n"/>
      <c r="F305" s="28" t="n"/>
      <c r="G305" s="28" t="n"/>
      <c r="H305" s="28" t="n"/>
      <c r="I305" s="28" t="n"/>
      <c r="J305" s="28" t="n"/>
      <c r="K305" s="28" t="n"/>
    </row>
    <row r="306" ht="12.75" customHeight="1">
      <c r="A306" s="28" t="n"/>
      <c r="B306" s="28" t="n"/>
      <c r="C306" s="28" t="n"/>
      <c r="D306" s="28" t="n"/>
      <c r="E306" s="28" t="n"/>
      <c r="F306" s="28" t="n"/>
      <c r="G306" s="28" t="n"/>
      <c r="H306" s="28" t="n"/>
      <c r="I306" s="28" t="n"/>
      <c r="J306" s="28" t="n"/>
      <c r="K306" s="28" t="n"/>
    </row>
    <row r="307" ht="12.75" customHeight="1">
      <c r="A307" s="28" t="n"/>
      <c r="B307" s="28" t="n"/>
      <c r="C307" s="28" t="n"/>
      <c r="D307" s="28" t="n"/>
      <c r="E307" s="28" t="n"/>
      <c r="F307" s="28" t="n"/>
      <c r="G307" s="28" t="n"/>
      <c r="H307" s="28" t="n"/>
      <c r="I307" s="28" t="n"/>
      <c r="J307" s="28" t="n"/>
      <c r="K307" s="28" t="n"/>
    </row>
    <row r="308" ht="12.75" customHeight="1">
      <c r="A308" s="28" t="n"/>
      <c r="B308" s="28" t="n"/>
      <c r="C308" s="28" t="n"/>
      <c r="D308" s="28" t="n"/>
      <c r="E308" s="28" t="n"/>
      <c r="F308" s="28" t="n"/>
      <c r="G308" s="28" t="n"/>
      <c r="H308" s="28" t="n"/>
      <c r="I308" s="28" t="n"/>
      <c r="J308" s="28" t="n"/>
      <c r="K308" s="28" t="n"/>
    </row>
    <row r="309" ht="12.75" customHeight="1">
      <c r="A309" s="28" t="n"/>
      <c r="B309" s="28" t="n"/>
      <c r="C309" s="28" t="n"/>
      <c r="D309" s="28" t="n"/>
      <c r="E309" s="28" t="n"/>
      <c r="F309" s="28" t="n"/>
      <c r="G309" s="28" t="n"/>
      <c r="H309" s="28" t="n"/>
      <c r="I309" s="28" t="n"/>
      <c r="J309" s="28" t="n"/>
      <c r="K309" s="28" t="n"/>
    </row>
    <row r="310" ht="12.75" customHeight="1">
      <c r="A310" s="28" t="n"/>
      <c r="B310" s="28" t="n"/>
      <c r="C310" s="28" t="n"/>
      <c r="D310" s="28" t="n"/>
      <c r="E310" s="28" t="n"/>
      <c r="F310" s="28" t="n"/>
      <c r="G310" s="28" t="n"/>
      <c r="H310" s="28" t="n"/>
      <c r="I310" s="28" t="n"/>
      <c r="J310" s="28" t="n"/>
      <c r="K310" s="28" t="n"/>
    </row>
    <row r="311" ht="12.75" customHeight="1">
      <c r="A311" s="28" t="n"/>
      <c r="B311" s="28" t="n"/>
      <c r="C311" s="28" t="n"/>
      <c r="D311" s="28" t="n"/>
      <c r="E311" s="28" t="n"/>
      <c r="F311" s="28" t="n"/>
      <c r="G311" s="28" t="n"/>
      <c r="H311" s="28" t="n"/>
      <c r="I311" s="28" t="n"/>
      <c r="J311" s="28" t="n"/>
      <c r="K311" s="28" t="n"/>
    </row>
    <row r="312" ht="12.75" customHeight="1">
      <c r="A312" s="28" t="n"/>
      <c r="B312" s="28" t="n"/>
      <c r="C312" s="28" t="n"/>
      <c r="D312" s="28" t="n"/>
      <c r="E312" s="28" t="n"/>
      <c r="F312" s="28" t="n"/>
      <c r="G312" s="28" t="n"/>
      <c r="H312" s="28" t="n"/>
      <c r="I312" s="28" t="n"/>
      <c r="J312" s="28" t="n"/>
      <c r="K312" s="28" t="n"/>
    </row>
    <row r="313" ht="12.75" customHeight="1">
      <c r="A313" s="28" t="n"/>
      <c r="B313" s="28" t="n"/>
      <c r="C313" s="28" t="n"/>
      <c r="D313" s="28" t="n"/>
      <c r="E313" s="28" t="n"/>
      <c r="F313" s="28" t="n"/>
      <c r="G313" s="28" t="n"/>
      <c r="H313" s="28" t="n"/>
      <c r="I313" s="28" t="n"/>
      <c r="J313" s="28" t="n"/>
      <c r="K313" s="28" t="n"/>
    </row>
    <row r="314" ht="12.75" customHeight="1">
      <c r="A314" s="28" t="n"/>
      <c r="B314" s="28" t="n"/>
      <c r="C314" s="28" t="n"/>
      <c r="D314" s="28" t="n"/>
      <c r="E314" s="28" t="n"/>
      <c r="F314" s="28" t="n"/>
      <c r="G314" s="28" t="n"/>
      <c r="H314" s="28" t="n"/>
      <c r="I314" s="28" t="n"/>
      <c r="J314" s="28" t="n"/>
      <c r="K314" s="28" t="n"/>
    </row>
    <row r="315" ht="12.75" customHeight="1">
      <c r="A315" s="28" t="n"/>
      <c r="B315" s="28" t="n"/>
      <c r="C315" s="28" t="n"/>
      <c r="D315" s="28" t="n"/>
      <c r="E315" s="28" t="n"/>
      <c r="F315" s="28" t="n"/>
      <c r="G315" s="28" t="n"/>
      <c r="H315" s="28" t="n"/>
      <c r="I315" s="28" t="n"/>
      <c r="J315" s="28" t="n"/>
      <c r="K315" s="28" t="n"/>
    </row>
    <row r="316" ht="12.75" customHeight="1">
      <c r="A316" s="28" t="n"/>
      <c r="B316" s="28" t="n"/>
      <c r="C316" s="28" t="n"/>
      <c r="D316" s="28" t="n"/>
      <c r="E316" s="28" t="n"/>
      <c r="F316" s="28" t="n"/>
      <c r="G316" s="28" t="n"/>
      <c r="H316" s="28" t="n"/>
      <c r="I316" s="28" t="n"/>
      <c r="J316" s="28" t="n"/>
      <c r="K316" s="28" t="n"/>
    </row>
    <row r="317" ht="12.75" customHeight="1">
      <c r="A317" s="28" t="n"/>
      <c r="B317" s="28" t="n"/>
      <c r="C317" s="28" t="n"/>
      <c r="D317" s="28" t="n"/>
      <c r="E317" s="28" t="n"/>
      <c r="F317" s="28" t="n"/>
      <c r="G317" s="28" t="n"/>
      <c r="H317" s="28" t="n"/>
      <c r="I317" s="28" t="n"/>
      <c r="J317" s="28" t="n"/>
      <c r="K317" s="28" t="n"/>
    </row>
    <row r="318" ht="12.75" customHeight="1">
      <c r="A318" s="28" t="n"/>
      <c r="B318" s="28" t="n"/>
      <c r="C318" s="28" t="n"/>
      <c r="D318" s="28" t="n"/>
      <c r="E318" s="28" t="n"/>
      <c r="F318" s="28" t="n"/>
      <c r="G318" s="28" t="n"/>
      <c r="H318" s="28" t="n"/>
      <c r="I318" s="28" t="n"/>
      <c r="J318" s="28" t="n"/>
      <c r="K318" s="28" t="n"/>
    </row>
    <row r="319" ht="12.75" customHeight="1">
      <c r="A319" s="28" t="n"/>
      <c r="B319" s="28" t="n"/>
      <c r="C319" s="28" t="n"/>
      <c r="D319" s="28" t="n"/>
      <c r="E319" s="28" t="n"/>
      <c r="F319" s="28" t="n"/>
      <c r="G319" s="28" t="n"/>
      <c r="H319" s="28" t="n"/>
      <c r="I319" s="28" t="n"/>
      <c r="J319" s="28" t="n"/>
      <c r="K319" s="28" t="n"/>
    </row>
    <row r="320" ht="12.75" customHeight="1">
      <c r="A320" s="28" t="n"/>
      <c r="B320" s="28" t="n"/>
      <c r="C320" s="28" t="n"/>
      <c r="D320" s="28" t="n"/>
      <c r="E320" s="28" t="n"/>
      <c r="F320" s="28" t="n"/>
      <c r="G320" s="28" t="n"/>
      <c r="H320" s="28" t="n"/>
      <c r="I320" s="28" t="n"/>
      <c r="J320" s="28" t="n"/>
      <c r="K320" s="28" t="n"/>
    </row>
    <row r="321" ht="12.75" customHeight="1">
      <c r="A321" s="28" t="n"/>
      <c r="B321" s="28" t="n"/>
      <c r="C321" s="28" t="n"/>
      <c r="D321" s="28" t="n"/>
      <c r="E321" s="28" t="n"/>
      <c r="F321" s="28" t="n"/>
      <c r="G321" s="28" t="n"/>
      <c r="H321" s="28" t="n"/>
      <c r="I321" s="28" t="n"/>
      <c r="J321" s="28" t="n"/>
      <c r="K321" s="28" t="n"/>
    </row>
    <row r="322" ht="12.75" customHeight="1">
      <c r="A322" s="28" t="n"/>
      <c r="B322" s="28" t="n"/>
      <c r="C322" s="28" t="n"/>
      <c r="D322" s="28" t="n"/>
      <c r="E322" s="28" t="n"/>
      <c r="F322" s="28" t="n"/>
      <c r="G322" s="28" t="n"/>
      <c r="H322" s="28" t="n"/>
      <c r="I322" s="28" t="n"/>
      <c r="J322" s="28" t="n"/>
      <c r="K322" s="28" t="n"/>
    </row>
    <row r="323" ht="12.75" customHeight="1">
      <c r="A323" s="28" t="n"/>
      <c r="B323" s="28" t="n"/>
      <c r="C323" s="28" t="n"/>
      <c r="D323" s="28" t="n"/>
      <c r="E323" s="28" t="n"/>
      <c r="F323" s="28" t="n"/>
      <c r="G323" s="28" t="n"/>
      <c r="H323" s="28" t="n"/>
      <c r="I323" s="28" t="n"/>
      <c r="J323" s="28" t="n"/>
      <c r="K323" s="28" t="n"/>
    </row>
    <row r="324" ht="12.75" customHeight="1">
      <c r="A324" s="28" t="n"/>
      <c r="B324" s="28" t="n"/>
      <c r="C324" s="28" t="n"/>
      <c r="D324" s="28" t="n"/>
      <c r="E324" s="28" t="n"/>
      <c r="F324" s="28" t="n"/>
      <c r="G324" s="28" t="n"/>
      <c r="H324" s="28" t="n"/>
      <c r="I324" s="28" t="n"/>
      <c r="J324" s="28" t="n"/>
      <c r="K324" s="28" t="n"/>
    </row>
    <row r="325" ht="12.75" customHeight="1">
      <c r="A325" s="28" t="n"/>
      <c r="B325" s="28" t="n"/>
      <c r="C325" s="28" t="n"/>
      <c r="D325" s="28" t="n"/>
      <c r="E325" s="28" t="n"/>
      <c r="F325" s="28" t="n"/>
      <c r="G325" s="28" t="n"/>
      <c r="H325" s="28" t="n"/>
      <c r="I325" s="28" t="n"/>
      <c r="J325" s="28" t="n"/>
      <c r="K325" s="28" t="n"/>
    </row>
    <row r="326" ht="12.75" customHeight="1">
      <c r="A326" s="28" t="n"/>
      <c r="B326" s="28" t="n"/>
      <c r="C326" s="28" t="n"/>
      <c r="D326" s="28" t="n"/>
      <c r="E326" s="28" t="n"/>
      <c r="F326" s="28" t="n"/>
      <c r="G326" s="28" t="n"/>
      <c r="H326" s="28" t="n"/>
      <c r="I326" s="28" t="n"/>
      <c r="J326" s="28" t="n"/>
      <c r="K326" s="28" t="n"/>
    </row>
    <row r="327" ht="12.75" customHeight="1">
      <c r="A327" s="28" t="n"/>
      <c r="B327" s="28" t="n"/>
      <c r="C327" s="28" t="n"/>
      <c r="D327" s="28" t="n"/>
      <c r="E327" s="28" t="n"/>
      <c r="F327" s="28" t="n"/>
      <c r="G327" s="28" t="n"/>
      <c r="H327" s="28" t="n"/>
      <c r="I327" s="28" t="n"/>
      <c r="J327" s="28" t="n"/>
      <c r="K327" s="28" t="n"/>
    </row>
    <row r="328" ht="12.75" customHeight="1">
      <c r="A328" s="28" t="n"/>
      <c r="B328" s="28" t="n"/>
      <c r="C328" s="28" t="n"/>
      <c r="D328" s="28" t="n"/>
      <c r="E328" s="28" t="n"/>
      <c r="F328" s="28" t="n"/>
      <c r="G328" s="28" t="n"/>
      <c r="H328" s="28" t="n"/>
      <c r="I328" s="28" t="n"/>
      <c r="J328" s="28" t="n"/>
      <c r="K328" s="28" t="n"/>
    </row>
    <row r="329" ht="12.75" customHeight="1">
      <c r="A329" s="28" t="n"/>
      <c r="B329" s="28" t="n"/>
      <c r="C329" s="28" t="n"/>
      <c r="D329" s="28" t="n"/>
      <c r="E329" s="28" t="n"/>
      <c r="F329" s="28" t="n"/>
      <c r="G329" s="28" t="n"/>
      <c r="H329" s="28" t="n"/>
      <c r="I329" s="28" t="n"/>
      <c r="J329" s="28" t="n"/>
      <c r="K329" s="28" t="n"/>
    </row>
    <row r="330" ht="12.75" customHeight="1">
      <c r="A330" s="28" t="n"/>
      <c r="B330" s="28" t="n"/>
      <c r="C330" s="28" t="n"/>
      <c r="D330" s="28" t="n"/>
      <c r="E330" s="28" t="n"/>
      <c r="F330" s="28" t="n"/>
      <c r="G330" s="28" t="n"/>
      <c r="H330" s="28" t="n"/>
      <c r="I330" s="28" t="n"/>
      <c r="J330" s="28" t="n"/>
      <c r="K330" s="28" t="n"/>
    </row>
    <row r="331" ht="12.75" customHeight="1">
      <c r="A331" s="28" t="n"/>
      <c r="B331" s="28" t="n"/>
      <c r="C331" s="28" t="n"/>
      <c r="D331" s="28" t="n"/>
      <c r="E331" s="28" t="n"/>
      <c r="F331" s="28" t="n"/>
      <c r="G331" s="28" t="n"/>
      <c r="H331" s="28" t="n"/>
      <c r="I331" s="28" t="n"/>
      <c r="J331" s="28" t="n"/>
      <c r="K331" s="28" t="n"/>
    </row>
    <row r="332" ht="12.75" customHeight="1">
      <c r="A332" s="28" t="n"/>
      <c r="B332" s="28" t="n"/>
      <c r="C332" s="28" t="n"/>
      <c r="D332" s="28" t="n"/>
      <c r="E332" s="28" t="n"/>
      <c r="F332" s="28" t="n"/>
      <c r="G332" s="28" t="n"/>
      <c r="H332" s="28" t="n"/>
      <c r="I332" s="28" t="n"/>
      <c r="J332" s="28" t="n"/>
      <c r="K332" s="28" t="n"/>
    </row>
    <row r="333" ht="12.75" customHeight="1">
      <c r="A333" s="28" t="n"/>
      <c r="B333" s="28" t="n"/>
      <c r="C333" s="28" t="n"/>
      <c r="D333" s="28" t="n"/>
      <c r="E333" s="28" t="n"/>
      <c r="F333" s="28" t="n"/>
      <c r="G333" s="28" t="n"/>
      <c r="H333" s="28" t="n"/>
      <c r="I333" s="28" t="n"/>
      <c r="J333" s="28" t="n"/>
      <c r="K333" s="28" t="n"/>
    </row>
    <row r="334" ht="12.75" customHeight="1">
      <c r="A334" s="28" t="n"/>
      <c r="B334" s="28" t="n"/>
      <c r="C334" s="28" t="n"/>
      <c r="D334" s="28" t="n"/>
      <c r="E334" s="28" t="n"/>
      <c r="F334" s="28" t="n"/>
      <c r="G334" s="28" t="n"/>
      <c r="H334" s="28" t="n"/>
      <c r="I334" s="28" t="n"/>
      <c r="J334" s="28" t="n"/>
      <c r="K334" s="28" t="n"/>
    </row>
    <row r="335" ht="12.75" customHeight="1">
      <c r="A335" s="28" t="n"/>
      <c r="B335" s="28" t="n"/>
      <c r="C335" s="28" t="n"/>
      <c r="D335" s="28" t="n"/>
      <c r="E335" s="28" t="n"/>
      <c r="F335" s="28" t="n"/>
      <c r="G335" s="28" t="n"/>
      <c r="H335" s="28" t="n"/>
      <c r="I335" s="28" t="n"/>
      <c r="J335" s="28" t="n"/>
      <c r="K335" s="28" t="n"/>
    </row>
    <row r="336" ht="12.75" customHeight="1">
      <c r="A336" s="28" t="n"/>
      <c r="B336" s="28" t="n"/>
      <c r="C336" s="28" t="n"/>
      <c r="D336" s="28" t="n"/>
      <c r="E336" s="28" t="n"/>
      <c r="F336" s="28" t="n"/>
      <c r="G336" s="28" t="n"/>
      <c r="H336" s="28" t="n"/>
      <c r="I336" s="28" t="n"/>
      <c r="J336" s="28" t="n"/>
      <c r="K336" s="28" t="n"/>
    </row>
    <row r="337" ht="12.75" customHeight="1">
      <c r="A337" s="28" t="n"/>
      <c r="B337" s="28" t="n"/>
      <c r="C337" s="28" t="n"/>
      <c r="D337" s="28" t="n"/>
      <c r="E337" s="28" t="n"/>
      <c r="F337" s="28" t="n"/>
      <c r="G337" s="28" t="n"/>
      <c r="H337" s="28" t="n"/>
      <c r="I337" s="28" t="n"/>
      <c r="J337" s="28" t="n"/>
      <c r="K337" s="28" t="n"/>
    </row>
    <row r="338" ht="12.75" customHeight="1">
      <c r="A338" s="28" t="n"/>
      <c r="B338" s="28" t="n"/>
      <c r="C338" s="28" t="n"/>
      <c r="D338" s="28" t="n"/>
      <c r="E338" s="28" t="n"/>
      <c r="F338" s="28" t="n"/>
      <c r="G338" s="28" t="n"/>
      <c r="H338" s="28" t="n"/>
      <c r="I338" s="28" t="n"/>
      <c r="J338" s="28" t="n"/>
      <c r="K338" s="28" t="n"/>
    </row>
    <row r="339" ht="12.75" customHeight="1">
      <c r="A339" s="28" t="n"/>
      <c r="B339" s="28" t="n"/>
      <c r="C339" s="28" t="n"/>
      <c r="D339" s="28" t="n"/>
      <c r="E339" s="28" t="n"/>
      <c r="F339" s="28" t="n"/>
      <c r="G339" s="28" t="n"/>
      <c r="H339" s="28" t="n"/>
      <c r="I339" s="28" t="n"/>
      <c r="J339" s="28" t="n"/>
      <c r="K339" s="28" t="n"/>
    </row>
    <row r="340" ht="12.75" customHeight="1">
      <c r="A340" s="28" t="n"/>
      <c r="B340" s="28" t="n"/>
      <c r="C340" s="28" t="n"/>
      <c r="D340" s="28" t="n"/>
      <c r="E340" s="28" t="n"/>
      <c r="F340" s="28" t="n"/>
      <c r="G340" s="28" t="n"/>
      <c r="H340" s="28" t="n"/>
      <c r="I340" s="28" t="n"/>
      <c r="J340" s="28" t="n"/>
      <c r="K340" s="28" t="n"/>
    </row>
    <row r="341" ht="12.75" customHeight="1">
      <c r="A341" s="28" t="n"/>
      <c r="B341" s="28" t="n"/>
      <c r="C341" s="28" t="n"/>
      <c r="D341" s="28" t="n"/>
      <c r="E341" s="28" t="n"/>
      <c r="F341" s="28" t="n"/>
      <c r="G341" s="28" t="n"/>
      <c r="H341" s="28" t="n"/>
      <c r="I341" s="28" t="n"/>
      <c r="J341" s="28" t="n"/>
      <c r="K341" s="28" t="n"/>
    </row>
    <row r="342" ht="12.75" customHeight="1">
      <c r="A342" s="28" t="n"/>
      <c r="B342" s="28" t="n"/>
      <c r="C342" s="28" t="n"/>
      <c r="D342" s="28" t="n"/>
      <c r="E342" s="28" t="n"/>
      <c r="F342" s="28" t="n"/>
      <c r="G342" s="28" t="n"/>
      <c r="H342" s="28" t="n"/>
      <c r="I342" s="28" t="n"/>
      <c r="J342" s="28" t="n"/>
      <c r="K342" s="28" t="n"/>
    </row>
    <row r="343" ht="12.75" customHeight="1">
      <c r="A343" s="28" t="n"/>
      <c r="B343" s="28" t="n"/>
      <c r="C343" s="28" t="n"/>
      <c r="D343" s="28" t="n"/>
      <c r="E343" s="28" t="n"/>
      <c r="F343" s="28" t="n"/>
      <c r="G343" s="28" t="n"/>
      <c r="H343" s="28" t="n"/>
      <c r="I343" s="28" t="n"/>
      <c r="J343" s="28" t="n"/>
      <c r="K343" s="28" t="n"/>
    </row>
    <row r="344" ht="12.75" customHeight="1">
      <c r="A344" s="28" t="n"/>
      <c r="B344" s="28" t="n"/>
      <c r="C344" s="28" t="n"/>
      <c r="D344" s="28" t="n"/>
      <c r="E344" s="28" t="n"/>
      <c r="F344" s="28" t="n"/>
      <c r="G344" s="28" t="n"/>
      <c r="H344" s="28" t="n"/>
      <c r="I344" s="28" t="n"/>
      <c r="J344" s="28" t="n"/>
      <c r="K344" s="28" t="n"/>
    </row>
    <row r="345" ht="12.75" customHeight="1">
      <c r="A345" s="28" t="n"/>
      <c r="B345" s="28" t="n"/>
      <c r="C345" s="28" t="n"/>
      <c r="D345" s="28" t="n"/>
      <c r="E345" s="28" t="n"/>
      <c r="F345" s="28" t="n"/>
      <c r="G345" s="28" t="n"/>
      <c r="H345" s="28" t="n"/>
      <c r="I345" s="28" t="n"/>
      <c r="J345" s="28" t="n"/>
      <c r="K345" s="28" t="n"/>
    </row>
    <row r="346" ht="12.75" customHeight="1">
      <c r="A346" s="28" t="n"/>
      <c r="B346" s="28" t="n"/>
      <c r="C346" s="28" t="n"/>
      <c r="D346" s="28" t="n"/>
      <c r="E346" s="28" t="n"/>
      <c r="F346" s="28" t="n"/>
      <c r="G346" s="28" t="n"/>
      <c r="H346" s="28" t="n"/>
      <c r="I346" s="28" t="n"/>
      <c r="J346" s="28" t="n"/>
      <c r="K346" s="28" t="n"/>
    </row>
    <row r="347" ht="12.75" customHeight="1">
      <c r="A347" s="28" t="n"/>
      <c r="B347" s="28" t="n"/>
      <c r="C347" s="28" t="n"/>
      <c r="D347" s="28" t="n"/>
      <c r="E347" s="28" t="n"/>
      <c r="F347" s="28" t="n"/>
      <c r="G347" s="28" t="n"/>
      <c r="H347" s="28" t="n"/>
      <c r="I347" s="28" t="n"/>
      <c r="J347" s="28" t="n"/>
      <c r="K347" s="28" t="n"/>
    </row>
    <row r="348" ht="12.75" customHeight="1">
      <c r="A348" s="28" t="n"/>
      <c r="B348" s="28" t="n"/>
      <c r="C348" s="28" t="n"/>
      <c r="D348" s="28" t="n"/>
      <c r="E348" s="28" t="n"/>
      <c r="F348" s="28" t="n"/>
      <c r="G348" s="28" t="n"/>
      <c r="H348" s="28" t="n"/>
      <c r="I348" s="28" t="n"/>
      <c r="J348" s="28" t="n"/>
      <c r="K348" s="28" t="n"/>
    </row>
    <row r="349" ht="12.75" customHeight="1">
      <c r="A349" s="28" t="n"/>
      <c r="B349" s="28" t="n"/>
      <c r="C349" s="28" t="n"/>
      <c r="D349" s="28" t="n"/>
      <c r="E349" s="28" t="n"/>
      <c r="F349" s="28" t="n"/>
      <c r="G349" s="28" t="n"/>
      <c r="H349" s="28" t="n"/>
      <c r="I349" s="28" t="n"/>
      <c r="J349" s="28" t="n"/>
      <c r="K349" s="28" t="n"/>
    </row>
    <row r="350" ht="12.75" customHeight="1">
      <c r="A350" s="28" t="n"/>
      <c r="B350" s="28" t="n"/>
      <c r="C350" s="28" t="n"/>
      <c r="D350" s="28" t="n"/>
      <c r="E350" s="28" t="n"/>
      <c r="F350" s="28" t="n"/>
      <c r="G350" s="28" t="n"/>
      <c r="H350" s="28" t="n"/>
      <c r="I350" s="28" t="n"/>
      <c r="J350" s="28" t="n"/>
      <c r="K350" s="28" t="n"/>
    </row>
    <row r="351" ht="12.75" customHeight="1">
      <c r="A351" s="28" t="n"/>
      <c r="B351" s="28" t="n"/>
      <c r="C351" s="28" t="n"/>
      <c r="D351" s="28" t="n"/>
      <c r="E351" s="28" t="n"/>
      <c r="F351" s="28" t="n"/>
      <c r="G351" s="28" t="n"/>
      <c r="H351" s="28" t="n"/>
      <c r="I351" s="28" t="n"/>
      <c r="J351" s="28" t="n"/>
      <c r="K351" s="28" t="n"/>
    </row>
    <row r="352" ht="12.75" customHeight="1">
      <c r="A352" s="28" t="n"/>
      <c r="B352" s="28" t="n"/>
      <c r="C352" s="28" t="n"/>
      <c r="D352" s="28" t="n"/>
      <c r="E352" s="28" t="n"/>
      <c r="F352" s="28" t="n"/>
      <c r="G352" s="28" t="n"/>
      <c r="H352" s="28" t="n"/>
      <c r="I352" s="28" t="n"/>
      <c r="J352" s="28" t="n"/>
      <c r="K352" s="28" t="n"/>
    </row>
    <row r="353" ht="12.75" customHeight="1">
      <c r="A353" s="28" t="n"/>
      <c r="B353" s="28" t="n"/>
      <c r="C353" s="28" t="n"/>
      <c r="D353" s="28" t="n"/>
      <c r="E353" s="28" t="n"/>
      <c r="F353" s="28" t="n"/>
      <c r="G353" s="28" t="n"/>
      <c r="H353" s="28" t="n"/>
      <c r="I353" s="28" t="n"/>
      <c r="J353" s="28" t="n"/>
      <c r="K353" s="28" t="n"/>
    </row>
    <row r="354" ht="12.75" customHeight="1">
      <c r="A354" s="28" t="n"/>
      <c r="B354" s="28" t="n"/>
      <c r="C354" s="28" t="n"/>
      <c r="D354" s="28" t="n"/>
      <c r="E354" s="28" t="n"/>
      <c r="F354" s="28" t="n"/>
      <c r="G354" s="28" t="n"/>
      <c r="H354" s="28" t="n"/>
      <c r="I354" s="28" t="n"/>
      <c r="J354" s="28" t="n"/>
      <c r="K354" s="28" t="n"/>
    </row>
    <row r="355" ht="12.75" customHeight="1">
      <c r="A355" s="28" t="n"/>
      <c r="B355" s="28" t="n"/>
      <c r="C355" s="28" t="n"/>
      <c r="D355" s="28" t="n"/>
      <c r="E355" s="28" t="n"/>
      <c r="F355" s="28" t="n"/>
      <c r="G355" s="28" t="n"/>
      <c r="H355" s="28" t="n"/>
      <c r="I355" s="28" t="n"/>
      <c r="J355" s="28" t="n"/>
      <c r="K355" s="28" t="n"/>
    </row>
    <row r="356" ht="12.75" customHeight="1">
      <c r="A356" s="28" t="n"/>
      <c r="B356" s="28" t="n"/>
      <c r="C356" s="28" t="n"/>
      <c r="D356" s="28" t="n"/>
      <c r="E356" s="28" t="n"/>
      <c r="F356" s="28" t="n"/>
      <c r="G356" s="28" t="n"/>
      <c r="H356" s="28" t="n"/>
      <c r="I356" s="28" t="n"/>
      <c r="J356" s="28" t="n"/>
      <c r="K356" s="28" t="n"/>
    </row>
    <row r="357" ht="12.75" customHeight="1">
      <c r="A357" s="28" t="n"/>
      <c r="B357" s="28" t="n"/>
      <c r="C357" s="28" t="n"/>
      <c r="D357" s="28" t="n"/>
      <c r="E357" s="28" t="n"/>
      <c r="F357" s="28" t="n"/>
      <c r="G357" s="28" t="n"/>
      <c r="H357" s="28" t="n"/>
      <c r="I357" s="28" t="n"/>
      <c r="J357" s="28" t="n"/>
      <c r="K357" s="28" t="n"/>
    </row>
    <row r="358" ht="12.75" customHeight="1">
      <c r="A358" s="28" t="n"/>
      <c r="B358" s="28" t="n"/>
      <c r="C358" s="28" t="n"/>
      <c r="D358" s="28" t="n"/>
      <c r="E358" s="28" t="n"/>
      <c r="F358" s="28" t="n"/>
      <c r="G358" s="28" t="n"/>
      <c r="H358" s="28" t="n"/>
      <c r="I358" s="28" t="n"/>
      <c r="J358" s="28" t="n"/>
      <c r="K358" s="28" t="n"/>
    </row>
    <row r="359" ht="12.75" customHeight="1">
      <c r="A359" s="28" t="n"/>
      <c r="B359" s="28" t="n"/>
      <c r="C359" s="28" t="n"/>
      <c r="D359" s="28" t="n"/>
      <c r="E359" s="28" t="n"/>
      <c r="F359" s="28" t="n"/>
      <c r="G359" s="28" t="n"/>
      <c r="H359" s="28" t="n"/>
      <c r="I359" s="28" t="n"/>
      <c r="J359" s="28" t="n"/>
      <c r="K359" s="28" t="n"/>
    </row>
    <row r="360" ht="12.75" customHeight="1">
      <c r="A360" s="28" t="n"/>
      <c r="B360" s="28" t="n"/>
      <c r="C360" s="28" t="n"/>
      <c r="D360" s="28" t="n"/>
      <c r="E360" s="28" t="n"/>
      <c r="F360" s="28" t="n"/>
      <c r="G360" s="28" t="n"/>
      <c r="H360" s="28" t="n"/>
      <c r="I360" s="28" t="n"/>
      <c r="J360" s="28" t="n"/>
      <c r="K360" s="28" t="n"/>
    </row>
    <row r="361" ht="12.75" customHeight="1">
      <c r="A361" s="28" t="n"/>
      <c r="B361" s="28" t="n"/>
      <c r="C361" s="28" t="n"/>
      <c r="D361" s="28" t="n"/>
      <c r="E361" s="28" t="n"/>
      <c r="F361" s="28" t="n"/>
      <c r="G361" s="28" t="n"/>
      <c r="H361" s="28" t="n"/>
      <c r="I361" s="28" t="n"/>
      <c r="J361" s="28" t="n"/>
      <c r="K361" s="28" t="n"/>
    </row>
    <row r="362" ht="12.75" customHeight="1">
      <c r="A362" s="28" t="n"/>
      <c r="B362" s="28" t="n"/>
      <c r="C362" s="28" t="n"/>
      <c r="D362" s="28" t="n"/>
      <c r="E362" s="28" t="n"/>
      <c r="F362" s="28" t="n"/>
      <c r="G362" s="28" t="n"/>
      <c r="H362" s="28" t="n"/>
      <c r="I362" s="28" t="n"/>
      <c r="J362" s="28" t="n"/>
      <c r="K362" s="28" t="n"/>
    </row>
    <row r="363" ht="12.75" customHeight="1">
      <c r="A363" s="28" t="n"/>
      <c r="B363" s="28" t="n"/>
      <c r="C363" s="28" t="n"/>
      <c r="D363" s="28" t="n"/>
      <c r="E363" s="28" t="n"/>
      <c r="F363" s="28" t="n"/>
      <c r="G363" s="28" t="n"/>
      <c r="H363" s="28" t="n"/>
      <c r="I363" s="28" t="n"/>
      <c r="J363" s="28" t="n"/>
      <c r="K363" s="28" t="n"/>
    </row>
    <row r="364" ht="12.75" customHeight="1">
      <c r="A364" s="28" t="n"/>
      <c r="B364" s="28" t="n"/>
      <c r="C364" s="28" t="n"/>
      <c r="D364" s="28" t="n"/>
      <c r="E364" s="28" t="n"/>
      <c r="F364" s="28" t="n"/>
      <c r="G364" s="28" t="n"/>
      <c r="H364" s="28" t="n"/>
      <c r="I364" s="28" t="n"/>
      <c r="J364" s="28" t="n"/>
      <c r="K364" s="28" t="n"/>
    </row>
    <row r="365" ht="12.75" customHeight="1">
      <c r="A365" s="28" t="n"/>
      <c r="B365" s="28" t="n"/>
      <c r="C365" s="28" t="n"/>
      <c r="D365" s="28" t="n"/>
      <c r="E365" s="28" t="n"/>
      <c r="F365" s="28" t="n"/>
      <c r="G365" s="28" t="n"/>
      <c r="H365" s="28" t="n"/>
      <c r="I365" s="28" t="n"/>
      <c r="J365" s="28" t="n"/>
      <c r="K365" s="28" t="n"/>
    </row>
    <row r="366" ht="12.75" customHeight="1">
      <c r="A366" s="28" t="n"/>
      <c r="B366" s="28" t="n"/>
      <c r="C366" s="28" t="n"/>
      <c r="D366" s="28" t="n"/>
      <c r="E366" s="28" t="n"/>
      <c r="F366" s="28" t="n"/>
      <c r="G366" s="28" t="n"/>
      <c r="H366" s="28" t="n"/>
      <c r="I366" s="28" t="n"/>
      <c r="J366" s="28" t="n"/>
      <c r="K366" s="28" t="n"/>
    </row>
    <row r="367" ht="12.75" customHeight="1">
      <c r="A367" s="28" t="n"/>
      <c r="B367" s="28" t="n"/>
      <c r="C367" s="28" t="n"/>
      <c r="D367" s="28" t="n"/>
      <c r="E367" s="28" t="n"/>
      <c r="F367" s="28" t="n"/>
      <c r="G367" s="28" t="n"/>
      <c r="H367" s="28" t="n"/>
      <c r="I367" s="28" t="n"/>
      <c r="J367" s="28" t="n"/>
      <c r="K367" s="28" t="n"/>
    </row>
    <row r="368" ht="12.75" customHeight="1">
      <c r="A368" s="28" t="n"/>
      <c r="B368" s="28" t="n"/>
      <c r="C368" s="28" t="n"/>
      <c r="D368" s="28" t="n"/>
      <c r="E368" s="28" t="n"/>
      <c r="F368" s="28" t="n"/>
      <c r="G368" s="28" t="n"/>
      <c r="H368" s="28" t="n"/>
      <c r="I368" s="28" t="n"/>
      <c r="J368" s="28" t="n"/>
      <c r="K368" s="28" t="n"/>
    </row>
    <row r="369" ht="12.75" customHeight="1">
      <c r="A369" s="28" t="n"/>
      <c r="B369" s="28" t="n"/>
      <c r="C369" s="28" t="n"/>
      <c r="D369" s="28" t="n"/>
      <c r="E369" s="28" t="n"/>
      <c r="F369" s="28" t="n"/>
      <c r="G369" s="28" t="n"/>
      <c r="H369" s="28" t="n"/>
      <c r="I369" s="28" t="n"/>
      <c r="J369" s="28" t="n"/>
      <c r="K369" s="28" t="n"/>
    </row>
    <row r="370" ht="12.75" customHeight="1">
      <c r="A370" s="28" t="n"/>
      <c r="B370" s="28" t="n"/>
      <c r="C370" s="28" t="n"/>
      <c r="D370" s="28" t="n"/>
      <c r="E370" s="28" t="n"/>
      <c r="F370" s="28" t="n"/>
      <c r="G370" s="28" t="n"/>
      <c r="H370" s="28" t="n"/>
      <c r="I370" s="28" t="n"/>
      <c r="J370" s="28" t="n"/>
      <c r="K370" s="28" t="n"/>
    </row>
    <row r="371" ht="12.75" customHeight="1">
      <c r="A371" s="28" t="n"/>
      <c r="B371" s="28" t="n"/>
      <c r="C371" s="28" t="n"/>
      <c r="D371" s="28" t="n"/>
      <c r="E371" s="28" t="n"/>
      <c r="F371" s="28" t="n"/>
      <c r="G371" s="28" t="n"/>
      <c r="H371" s="28" t="n"/>
      <c r="I371" s="28" t="n"/>
      <c r="J371" s="28" t="n"/>
      <c r="K371" s="28" t="n"/>
    </row>
    <row r="372" ht="12.75" customHeight="1">
      <c r="A372" s="28" t="n"/>
      <c r="B372" s="28" t="n"/>
      <c r="C372" s="28" t="n"/>
      <c r="D372" s="28" t="n"/>
      <c r="E372" s="28" t="n"/>
      <c r="F372" s="28" t="n"/>
      <c r="G372" s="28" t="n"/>
      <c r="H372" s="28" t="n"/>
      <c r="I372" s="28" t="n"/>
      <c r="J372" s="28" t="n"/>
      <c r="K372" s="28" t="n"/>
    </row>
    <row r="373" ht="12.75" customHeight="1">
      <c r="A373" s="28" t="n"/>
      <c r="B373" s="28" t="n"/>
      <c r="C373" s="28" t="n"/>
      <c r="D373" s="28" t="n"/>
      <c r="E373" s="28" t="n"/>
      <c r="F373" s="28" t="n"/>
      <c r="G373" s="28" t="n"/>
      <c r="H373" s="28" t="n"/>
      <c r="I373" s="28" t="n"/>
      <c r="J373" s="28" t="n"/>
      <c r="K373" s="28" t="n"/>
    </row>
    <row r="374" ht="12.75" customHeight="1">
      <c r="A374" s="28" t="n"/>
      <c r="B374" s="28" t="n"/>
      <c r="C374" s="28" t="n"/>
      <c r="D374" s="28" t="n"/>
      <c r="E374" s="28" t="n"/>
      <c r="F374" s="28" t="n"/>
      <c r="G374" s="28" t="n"/>
      <c r="H374" s="28" t="n"/>
      <c r="I374" s="28" t="n"/>
      <c r="J374" s="28" t="n"/>
      <c r="K374" s="28" t="n"/>
    </row>
    <row r="375" ht="12.75" customHeight="1">
      <c r="A375" s="28" t="n"/>
      <c r="B375" s="28" t="n"/>
      <c r="C375" s="28" t="n"/>
      <c r="D375" s="28" t="n"/>
      <c r="E375" s="28" t="n"/>
      <c r="F375" s="28" t="n"/>
      <c r="G375" s="28" t="n"/>
      <c r="H375" s="28" t="n"/>
      <c r="I375" s="28" t="n"/>
      <c r="J375" s="28" t="n"/>
      <c r="K375" s="28" t="n"/>
    </row>
    <row r="376" ht="12.75" customHeight="1">
      <c r="A376" s="28" t="n"/>
      <c r="B376" s="28" t="n"/>
      <c r="C376" s="28" t="n"/>
      <c r="D376" s="28" t="n"/>
      <c r="E376" s="28" t="n"/>
      <c r="F376" s="28" t="n"/>
      <c r="G376" s="28" t="n"/>
      <c r="H376" s="28" t="n"/>
      <c r="I376" s="28" t="n"/>
      <c r="J376" s="28" t="n"/>
      <c r="K376" s="28" t="n"/>
    </row>
    <row r="377" ht="12.75" customHeight="1">
      <c r="A377" s="28" t="n"/>
      <c r="B377" s="28" t="n"/>
      <c r="C377" s="28" t="n"/>
      <c r="D377" s="28" t="n"/>
      <c r="E377" s="28" t="n"/>
      <c r="F377" s="28" t="n"/>
      <c r="G377" s="28" t="n"/>
      <c r="H377" s="28" t="n"/>
      <c r="I377" s="28" t="n"/>
      <c r="J377" s="28" t="n"/>
      <c r="K377" s="28" t="n"/>
    </row>
    <row r="378" ht="12.75" customHeight="1">
      <c r="A378" s="28" t="n"/>
      <c r="B378" s="28" t="n"/>
      <c r="C378" s="28" t="n"/>
      <c r="D378" s="28" t="n"/>
      <c r="E378" s="28" t="n"/>
      <c r="F378" s="28" t="n"/>
      <c r="G378" s="28" t="n"/>
      <c r="H378" s="28" t="n"/>
      <c r="I378" s="28" t="n"/>
      <c r="J378" s="28" t="n"/>
      <c r="K378" s="28" t="n"/>
    </row>
    <row r="379" ht="12.75" customHeight="1">
      <c r="A379" s="28" t="n"/>
      <c r="B379" s="28" t="n"/>
      <c r="C379" s="28" t="n"/>
      <c r="D379" s="28" t="n"/>
      <c r="E379" s="28" t="n"/>
      <c r="F379" s="28" t="n"/>
      <c r="G379" s="28" t="n"/>
      <c r="H379" s="28" t="n"/>
      <c r="I379" s="28" t="n"/>
      <c r="J379" s="28" t="n"/>
      <c r="K379" s="28" t="n"/>
    </row>
    <row r="380" ht="12.75" customHeight="1">
      <c r="A380" s="28" t="n"/>
      <c r="B380" s="28" t="n"/>
      <c r="C380" s="28" t="n"/>
      <c r="D380" s="28" t="n"/>
      <c r="E380" s="28" t="n"/>
      <c r="F380" s="28" t="n"/>
      <c r="G380" s="28" t="n"/>
      <c r="H380" s="28" t="n"/>
      <c r="I380" s="28" t="n"/>
      <c r="J380" s="28" t="n"/>
      <c r="K380" s="28" t="n"/>
    </row>
    <row r="381" ht="12.75" customHeight="1">
      <c r="A381" s="28" t="n"/>
      <c r="B381" s="28" t="n"/>
      <c r="C381" s="28" t="n"/>
      <c r="D381" s="28" t="n"/>
      <c r="E381" s="28" t="n"/>
      <c r="F381" s="28" t="n"/>
      <c r="G381" s="28" t="n"/>
      <c r="H381" s="28" t="n"/>
      <c r="I381" s="28" t="n"/>
      <c r="J381" s="28" t="n"/>
      <c r="K381" s="28" t="n"/>
    </row>
    <row r="382" ht="12.75" customHeight="1">
      <c r="A382" s="28" t="n"/>
      <c r="B382" s="28" t="n"/>
      <c r="C382" s="28" t="n"/>
      <c r="D382" s="28" t="n"/>
      <c r="E382" s="28" t="n"/>
      <c r="F382" s="28" t="n"/>
      <c r="G382" s="28" t="n"/>
      <c r="H382" s="28" t="n"/>
      <c r="I382" s="28" t="n"/>
      <c r="J382" s="28" t="n"/>
      <c r="K382" s="28" t="n"/>
    </row>
    <row r="383" ht="12.75" customHeight="1">
      <c r="A383" s="28" t="n"/>
      <c r="B383" s="28" t="n"/>
      <c r="C383" s="28" t="n"/>
      <c r="D383" s="28" t="n"/>
      <c r="E383" s="28" t="n"/>
      <c r="F383" s="28" t="n"/>
      <c r="G383" s="28" t="n"/>
      <c r="H383" s="28" t="n"/>
      <c r="I383" s="28" t="n"/>
      <c r="J383" s="28" t="n"/>
      <c r="K383" s="28" t="n"/>
    </row>
    <row r="384" ht="12.75" customHeight="1">
      <c r="A384" s="28" t="n"/>
      <c r="B384" s="28" t="n"/>
      <c r="C384" s="28" t="n"/>
      <c r="D384" s="28" t="n"/>
      <c r="E384" s="28" t="n"/>
      <c r="F384" s="28" t="n"/>
      <c r="G384" s="28" t="n"/>
      <c r="H384" s="28" t="n"/>
      <c r="I384" s="28" t="n"/>
      <c r="J384" s="28" t="n"/>
      <c r="K384" s="28" t="n"/>
    </row>
    <row r="385" ht="12.75" customHeight="1">
      <c r="A385" s="28" t="n"/>
      <c r="B385" s="28" t="n"/>
      <c r="C385" s="28" t="n"/>
      <c r="D385" s="28" t="n"/>
      <c r="E385" s="28" t="n"/>
      <c r="F385" s="28" t="n"/>
      <c r="G385" s="28" t="n"/>
      <c r="H385" s="28" t="n"/>
      <c r="I385" s="28" t="n"/>
      <c r="J385" s="28" t="n"/>
      <c r="K385" s="28" t="n"/>
    </row>
    <row r="386" ht="12.75" customHeight="1">
      <c r="A386" s="28" t="n"/>
      <c r="B386" s="28" t="n"/>
      <c r="C386" s="28" t="n"/>
      <c r="D386" s="28" t="n"/>
      <c r="E386" s="28" t="n"/>
      <c r="F386" s="28" t="n"/>
      <c r="G386" s="28" t="n"/>
      <c r="H386" s="28" t="n"/>
      <c r="I386" s="28" t="n"/>
      <c r="J386" s="28" t="n"/>
      <c r="K386" s="28" t="n"/>
    </row>
    <row r="387" ht="12.75" customHeight="1">
      <c r="A387" s="28" t="n"/>
      <c r="B387" s="28" t="n"/>
      <c r="C387" s="28" t="n"/>
      <c r="D387" s="28" t="n"/>
      <c r="E387" s="28" t="n"/>
      <c r="F387" s="28" t="n"/>
      <c r="G387" s="28" t="n"/>
      <c r="H387" s="28" t="n"/>
      <c r="I387" s="28" t="n"/>
      <c r="J387" s="28" t="n"/>
      <c r="K387" s="28" t="n"/>
    </row>
    <row r="388" ht="12.75" customHeight="1">
      <c r="A388" s="28" t="n"/>
      <c r="B388" s="28" t="n"/>
      <c r="C388" s="28" t="n"/>
      <c r="D388" s="28" t="n"/>
      <c r="E388" s="28" t="n"/>
      <c r="F388" s="28" t="n"/>
      <c r="G388" s="28" t="n"/>
      <c r="H388" s="28" t="n"/>
      <c r="I388" s="28" t="n"/>
      <c r="J388" s="28" t="n"/>
      <c r="K388" s="28" t="n"/>
    </row>
    <row r="389" ht="12.75" customHeight="1">
      <c r="A389" s="28" t="n"/>
      <c r="B389" s="28" t="n"/>
      <c r="C389" s="28" t="n"/>
      <c r="D389" s="28" t="n"/>
      <c r="E389" s="28" t="n"/>
      <c r="F389" s="28" t="n"/>
      <c r="G389" s="28" t="n"/>
      <c r="H389" s="28" t="n"/>
      <c r="I389" s="28" t="n"/>
      <c r="J389" s="28" t="n"/>
      <c r="K389" s="28" t="n"/>
    </row>
    <row r="390" ht="12.75" customHeight="1">
      <c r="A390" s="28" t="n"/>
      <c r="B390" s="28" t="n"/>
      <c r="C390" s="28" t="n"/>
      <c r="D390" s="28" t="n"/>
      <c r="E390" s="28" t="n"/>
      <c r="F390" s="28" t="n"/>
      <c r="G390" s="28" t="n"/>
      <c r="H390" s="28" t="n"/>
      <c r="I390" s="28" t="n"/>
      <c r="J390" s="28" t="n"/>
      <c r="K390" s="28" t="n"/>
    </row>
    <row r="391" ht="12.75" customHeight="1">
      <c r="A391" s="28" t="n"/>
      <c r="B391" s="28" t="n"/>
      <c r="C391" s="28" t="n"/>
      <c r="D391" s="28" t="n"/>
      <c r="E391" s="28" t="n"/>
      <c r="F391" s="28" t="n"/>
      <c r="G391" s="28" t="n"/>
      <c r="H391" s="28" t="n"/>
      <c r="I391" s="28" t="n"/>
      <c r="J391" s="28" t="n"/>
      <c r="K391" s="28" t="n"/>
    </row>
    <row r="392" ht="12.75" customHeight="1">
      <c r="A392" s="28" t="n"/>
      <c r="B392" s="28" t="n"/>
      <c r="C392" s="28" t="n"/>
      <c r="D392" s="28" t="n"/>
      <c r="E392" s="28" t="n"/>
      <c r="F392" s="28" t="n"/>
      <c r="G392" s="28" t="n"/>
      <c r="H392" s="28" t="n"/>
      <c r="I392" s="28" t="n"/>
      <c r="J392" s="28" t="n"/>
      <c r="K392" s="28" t="n"/>
    </row>
    <row r="393" ht="12.75" customHeight="1">
      <c r="A393" s="28" t="n"/>
      <c r="B393" s="28" t="n"/>
      <c r="C393" s="28" t="n"/>
      <c r="D393" s="28" t="n"/>
      <c r="E393" s="28" t="n"/>
      <c r="F393" s="28" t="n"/>
      <c r="G393" s="28" t="n"/>
      <c r="H393" s="28" t="n"/>
      <c r="I393" s="28" t="n"/>
      <c r="J393" s="28" t="n"/>
      <c r="K393" s="28" t="n"/>
    </row>
    <row r="394" ht="12.75" customHeight="1">
      <c r="A394" s="28" t="n"/>
      <c r="B394" s="28" t="n"/>
      <c r="C394" s="28" t="n"/>
      <c r="D394" s="28" t="n"/>
      <c r="E394" s="28" t="n"/>
      <c r="F394" s="28" t="n"/>
      <c r="G394" s="28" t="n"/>
      <c r="H394" s="28" t="n"/>
      <c r="I394" s="28" t="n"/>
      <c r="J394" s="28" t="n"/>
      <c r="K394" s="28" t="n"/>
    </row>
    <row r="395" ht="12.75" customHeight="1">
      <c r="A395" s="28" t="n"/>
      <c r="B395" s="28" t="n"/>
      <c r="C395" s="28" t="n"/>
      <c r="D395" s="28" t="n"/>
      <c r="E395" s="28" t="n"/>
      <c r="F395" s="28" t="n"/>
      <c r="G395" s="28" t="n"/>
      <c r="H395" s="28" t="n"/>
      <c r="I395" s="28" t="n"/>
      <c r="J395" s="28" t="n"/>
      <c r="K395" s="28" t="n"/>
    </row>
    <row r="396" ht="12.75" customHeight="1">
      <c r="A396" s="28" t="n"/>
      <c r="B396" s="28" t="n"/>
      <c r="C396" s="28" t="n"/>
      <c r="D396" s="28" t="n"/>
      <c r="E396" s="28" t="n"/>
      <c r="F396" s="28" t="n"/>
      <c r="G396" s="28" t="n"/>
      <c r="H396" s="28" t="n"/>
      <c r="I396" s="28" t="n"/>
      <c r="J396" s="28" t="n"/>
      <c r="K396" s="28" t="n"/>
    </row>
    <row r="397" ht="12.75" customHeight="1">
      <c r="A397" s="28" t="n"/>
      <c r="B397" s="28" t="n"/>
      <c r="C397" s="28" t="n"/>
      <c r="D397" s="28" t="n"/>
      <c r="E397" s="28" t="n"/>
      <c r="F397" s="28" t="n"/>
      <c r="G397" s="28" t="n"/>
      <c r="H397" s="28" t="n"/>
      <c r="I397" s="28" t="n"/>
      <c r="J397" s="28" t="n"/>
      <c r="K397" s="28" t="n"/>
    </row>
    <row r="398" ht="12.75" customHeight="1">
      <c r="A398" s="28" t="n"/>
      <c r="B398" s="28" t="n"/>
      <c r="C398" s="28" t="n"/>
      <c r="D398" s="28" t="n"/>
      <c r="E398" s="28" t="n"/>
      <c r="F398" s="28" t="n"/>
      <c r="G398" s="28" t="n"/>
      <c r="H398" s="28" t="n"/>
      <c r="I398" s="28" t="n"/>
      <c r="J398" s="28" t="n"/>
      <c r="K398" s="28" t="n"/>
    </row>
    <row r="399" ht="12.75" customHeight="1">
      <c r="A399" s="28" t="n"/>
      <c r="B399" s="28" t="n"/>
      <c r="C399" s="28" t="n"/>
      <c r="D399" s="28" t="n"/>
      <c r="E399" s="28" t="n"/>
      <c r="F399" s="28" t="n"/>
      <c r="G399" s="28" t="n"/>
      <c r="H399" s="28" t="n"/>
      <c r="I399" s="28" t="n"/>
      <c r="J399" s="28" t="n"/>
      <c r="K399" s="28" t="n"/>
    </row>
    <row r="400" ht="12.75" customHeight="1">
      <c r="A400" s="28" t="n"/>
      <c r="B400" s="28" t="n"/>
      <c r="C400" s="28" t="n"/>
      <c r="D400" s="28" t="n"/>
      <c r="E400" s="28" t="n"/>
      <c r="F400" s="28" t="n"/>
      <c r="G400" s="28" t="n"/>
      <c r="H400" s="28" t="n"/>
      <c r="I400" s="28" t="n"/>
      <c r="J400" s="28" t="n"/>
      <c r="K400" s="28" t="n"/>
    </row>
    <row r="401" ht="12.75" customHeight="1">
      <c r="A401" s="28" t="n"/>
      <c r="B401" s="28" t="n"/>
      <c r="C401" s="28" t="n"/>
      <c r="D401" s="28" t="n"/>
      <c r="E401" s="28" t="n"/>
      <c r="F401" s="28" t="n"/>
      <c r="G401" s="28" t="n"/>
      <c r="H401" s="28" t="n"/>
      <c r="I401" s="28" t="n"/>
      <c r="J401" s="28" t="n"/>
      <c r="K401" s="28" t="n"/>
    </row>
    <row r="402" ht="12.75" customHeight="1">
      <c r="A402" s="28" t="n"/>
      <c r="B402" s="28" t="n"/>
      <c r="C402" s="28" t="n"/>
      <c r="D402" s="28" t="n"/>
      <c r="E402" s="28" t="n"/>
      <c r="F402" s="28" t="n"/>
      <c r="G402" s="28" t="n"/>
      <c r="H402" s="28" t="n"/>
      <c r="I402" s="28" t="n"/>
      <c r="J402" s="28" t="n"/>
      <c r="K402" s="28" t="n"/>
    </row>
    <row r="403" ht="12.75" customHeight="1">
      <c r="A403" s="28" t="n"/>
      <c r="B403" s="28" t="n"/>
      <c r="C403" s="28" t="n"/>
      <c r="D403" s="28" t="n"/>
      <c r="E403" s="28" t="n"/>
      <c r="F403" s="28" t="n"/>
      <c r="G403" s="28" t="n"/>
      <c r="H403" s="28" t="n"/>
      <c r="I403" s="28" t="n"/>
      <c r="J403" s="28" t="n"/>
      <c r="K403" s="28" t="n"/>
    </row>
    <row r="404" ht="12.75" customHeight="1">
      <c r="A404" s="28" t="n"/>
      <c r="B404" s="28" t="n"/>
      <c r="C404" s="28" t="n"/>
      <c r="D404" s="28" t="n"/>
      <c r="E404" s="28" t="n"/>
      <c r="F404" s="28" t="n"/>
      <c r="G404" s="28" t="n"/>
      <c r="H404" s="28" t="n"/>
      <c r="I404" s="28" t="n"/>
      <c r="J404" s="28" t="n"/>
      <c r="K404" s="28" t="n"/>
    </row>
    <row r="405" ht="12.75" customHeight="1">
      <c r="A405" s="28" t="n"/>
      <c r="B405" s="28" t="n"/>
      <c r="C405" s="28" t="n"/>
      <c r="D405" s="28" t="n"/>
      <c r="E405" s="28" t="n"/>
      <c r="F405" s="28" t="n"/>
      <c r="G405" s="28" t="n"/>
      <c r="H405" s="28" t="n"/>
      <c r="I405" s="28" t="n"/>
      <c r="J405" s="28" t="n"/>
      <c r="K405" s="28" t="n"/>
    </row>
    <row r="406" ht="12.75" customHeight="1">
      <c r="A406" s="28" t="n"/>
      <c r="B406" s="28" t="n"/>
      <c r="C406" s="28" t="n"/>
      <c r="D406" s="28" t="n"/>
      <c r="E406" s="28" t="n"/>
      <c r="F406" s="28" t="n"/>
      <c r="G406" s="28" t="n"/>
      <c r="H406" s="28" t="n"/>
      <c r="I406" s="28" t="n"/>
      <c r="J406" s="28" t="n"/>
      <c r="K406" s="28" t="n"/>
    </row>
    <row r="407" ht="12.75" customHeight="1">
      <c r="A407" s="28" t="n"/>
      <c r="B407" s="28" t="n"/>
      <c r="C407" s="28" t="n"/>
      <c r="D407" s="28" t="n"/>
      <c r="E407" s="28" t="n"/>
      <c r="F407" s="28" t="n"/>
      <c r="G407" s="28" t="n"/>
      <c r="H407" s="28" t="n"/>
      <c r="I407" s="28" t="n"/>
      <c r="J407" s="28" t="n"/>
      <c r="K407" s="28" t="n"/>
    </row>
    <row r="408" ht="12.75" customHeight="1">
      <c r="A408" s="28" t="n"/>
      <c r="B408" s="28" t="n"/>
      <c r="C408" s="28" t="n"/>
      <c r="D408" s="28" t="n"/>
      <c r="E408" s="28" t="n"/>
      <c r="F408" s="28" t="n"/>
      <c r="G408" s="28" t="n"/>
      <c r="H408" s="28" t="n"/>
      <c r="I408" s="28" t="n"/>
      <c r="J408" s="28" t="n"/>
      <c r="K408" s="28" t="n"/>
    </row>
    <row r="409" ht="12.75" customHeight="1">
      <c r="A409" s="28" t="n"/>
      <c r="B409" s="28" t="n"/>
      <c r="C409" s="28" t="n"/>
      <c r="D409" s="28" t="n"/>
      <c r="E409" s="28" t="n"/>
      <c r="F409" s="28" t="n"/>
      <c r="G409" s="28" t="n"/>
      <c r="H409" s="28" t="n"/>
      <c r="I409" s="28" t="n"/>
      <c r="J409" s="28" t="n"/>
      <c r="K409" s="28" t="n"/>
    </row>
    <row r="410" ht="12.75" customHeight="1">
      <c r="A410" s="28" t="n"/>
      <c r="B410" s="28" t="n"/>
      <c r="C410" s="28" t="n"/>
      <c r="D410" s="28" t="n"/>
      <c r="E410" s="28" t="n"/>
      <c r="F410" s="28" t="n"/>
      <c r="G410" s="28" t="n"/>
      <c r="H410" s="28" t="n"/>
      <c r="I410" s="28" t="n"/>
      <c r="J410" s="28" t="n"/>
      <c r="K410" s="28" t="n"/>
    </row>
    <row r="411" ht="12.75" customHeight="1">
      <c r="A411" s="28" t="n"/>
      <c r="B411" s="28" t="n"/>
      <c r="C411" s="28" t="n"/>
      <c r="D411" s="28" t="n"/>
      <c r="E411" s="28" t="n"/>
      <c r="F411" s="28" t="n"/>
      <c r="G411" s="28" t="n"/>
      <c r="H411" s="28" t="n"/>
      <c r="I411" s="28" t="n"/>
      <c r="J411" s="28" t="n"/>
      <c r="K411" s="28" t="n"/>
    </row>
    <row r="412" ht="12.75" customHeight="1">
      <c r="A412" s="28" t="n"/>
      <c r="B412" s="28" t="n"/>
      <c r="C412" s="28" t="n"/>
      <c r="D412" s="28" t="n"/>
      <c r="E412" s="28" t="n"/>
      <c r="F412" s="28" t="n"/>
      <c r="G412" s="28" t="n"/>
      <c r="H412" s="28" t="n"/>
      <c r="I412" s="28" t="n"/>
      <c r="J412" s="28" t="n"/>
      <c r="K412" s="28" t="n"/>
    </row>
    <row r="413" ht="12.75" customHeight="1">
      <c r="A413" s="28" t="n"/>
      <c r="B413" s="28" t="n"/>
      <c r="C413" s="28" t="n"/>
      <c r="D413" s="28" t="n"/>
      <c r="E413" s="28" t="n"/>
      <c r="F413" s="28" t="n"/>
      <c r="G413" s="28" t="n"/>
      <c r="H413" s="28" t="n"/>
      <c r="I413" s="28" t="n"/>
      <c r="J413" s="28" t="n"/>
      <c r="K413" s="28" t="n"/>
    </row>
    <row r="414" ht="12.75" customHeight="1">
      <c r="A414" s="28" t="n"/>
      <c r="B414" s="28" t="n"/>
      <c r="C414" s="28" t="n"/>
      <c r="D414" s="28" t="n"/>
      <c r="E414" s="28" t="n"/>
      <c r="F414" s="28" t="n"/>
      <c r="G414" s="28" t="n"/>
      <c r="H414" s="28" t="n"/>
      <c r="I414" s="28" t="n"/>
      <c r="J414" s="28" t="n"/>
      <c r="K414" s="28" t="n"/>
    </row>
    <row r="415" ht="12.75" customHeight="1">
      <c r="A415" s="28" t="n"/>
      <c r="B415" s="28" t="n"/>
      <c r="C415" s="28" t="n"/>
      <c r="D415" s="28" t="n"/>
      <c r="E415" s="28" t="n"/>
      <c r="F415" s="28" t="n"/>
      <c r="G415" s="28" t="n"/>
      <c r="H415" s="28" t="n"/>
      <c r="I415" s="28" t="n"/>
      <c r="J415" s="28" t="n"/>
      <c r="K415" s="28" t="n"/>
    </row>
    <row r="416" ht="12.75" customHeight="1">
      <c r="A416" s="28" t="n"/>
      <c r="B416" s="28" t="n"/>
      <c r="C416" s="28" t="n"/>
      <c r="D416" s="28" t="n"/>
      <c r="E416" s="28" t="n"/>
      <c r="F416" s="28" t="n"/>
      <c r="G416" s="28" t="n"/>
      <c r="H416" s="28" t="n"/>
      <c r="I416" s="28" t="n"/>
      <c r="J416" s="28" t="n"/>
      <c r="K416" s="28" t="n"/>
    </row>
    <row r="417" ht="12.75" customHeight="1">
      <c r="A417" s="28" t="n"/>
      <c r="B417" s="28" t="n"/>
      <c r="C417" s="28" t="n"/>
      <c r="D417" s="28" t="n"/>
      <c r="E417" s="28" t="n"/>
      <c r="F417" s="28" t="n"/>
      <c r="G417" s="28" t="n"/>
      <c r="H417" s="28" t="n"/>
      <c r="I417" s="28" t="n"/>
      <c r="J417" s="28" t="n"/>
      <c r="K417" s="28" t="n"/>
    </row>
    <row r="418" ht="12.75" customHeight="1">
      <c r="A418" s="28" t="n"/>
      <c r="B418" s="28" t="n"/>
      <c r="C418" s="28" t="n"/>
      <c r="D418" s="28" t="n"/>
      <c r="E418" s="28" t="n"/>
      <c r="F418" s="28" t="n"/>
      <c r="G418" s="28" t="n"/>
      <c r="H418" s="28" t="n"/>
      <c r="I418" s="28" t="n"/>
      <c r="J418" s="28" t="n"/>
      <c r="K418" s="28" t="n"/>
    </row>
    <row r="419" ht="12.75" customHeight="1">
      <c r="A419" s="28" t="n"/>
      <c r="B419" s="28" t="n"/>
      <c r="C419" s="28" t="n"/>
      <c r="D419" s="28" t="n"/>
      <c r="E419" s="28" t="n"/>
      <c r="F419" s="28" t="n"/>
      <c r="G419" s="28" t="n"/>
      <c r="H419" s="28" t="n"/>
      <c r="I419" s="28" t="n"/>
      <c r="J419" s="28" t="n"/>
      <c r="K419" s="28" t="n"/>
    </row>
    <row r="420" ht="12.75" customHeight="1">
      <c r="A420" s="28" t="n"/>
      <c r="B420" s="28" t="n"/>
      <c r="C420" s="28" t="n"/>
      <c r="D420" s="28" t="n"/>
      <c r="E420" s="28" t="n"/>
      <c r="F420" s="28" t="n"/>
      <c r="G420" s="28" t="n"/>
      <c r="H420" s="28" t="n"/>
      <c r="I420" s="28" t="n"/>
      <c r="J420" s="28" t="n"/>
      <c r="K420" s="28" t="n"/>
    </row>
    <row r="421" ht="12.75" customHeight="1">
      <c r="A421" s="28" t="n"/>
      <c r="B421" s="28" t="n"/>
      <c r="C421" s="28" t="n"/>
      <c r="D421" s="28" t="n"/>
      <c r="E421" s="28" t="n"/>
      <c r="F421" s="28" t="n"/>
      <c r="G421" s="28" t="n"/>
      <c r="H421" s="28" t="n"/>
      <c r="I421" s="28" t="n"/>
      <c r="J421" s="28" t="n"/>
      <c r="K421" s="28" t="n"/>
    </row>
    <row r="422" ht="12.75" customHeight="1">
      <c r="A422" s="28" t="n"/>
      <c r="B422" s="28" t="n"/>
      <c r="C422" s="28" t="n"/>
      <c r="D422" s="28" t="n"/>
      <c r="E422" s="28" t="n"/>
      <c r="F422" s="28" t="n"/>
      <c r="G422" s="28" t="n"/>
      <c r="H422" s="28" t="n"/>
      <c r="I422" s="28" t="n"/>
      <c r="J422" s="28" t="n"/>
      <c r="K422" s="28" t="n"/>
    </row>
    <row r="423" ht="12.75" customHeight="1">
      <c r="A423" s="28" t="n"/>
      <c r="B423" s="28" t="n"/>
      <c r="C423" s="28" t="n"/>
      <c r="D423" s="28" t="n"/>
      <c r="E423" s="28" t="n"/>
      <c r="F423" s="28" t="n"/>
      <c r="G423" s="28" t="n"/>
      <c r="H423" s="28" t="n"/>
      <c r="I423" s="28" t="n"/>
      <c r="J423" s="28" t="n"/>
      <c r="K423" s="28" t="n"/>
    </row>
    <row r="424" ht="12.75" customHeight="1">
      <c r="A424" s="28" t="n"/>
      <c r="B424" s="28" t="n"/>
      <c r="C424" s="28" t="n"/>
      <c r="D424" s="28" t="n"/>
      <c r="E424" s="28" t="n"/>
      <c r="F424" s="28" t="n"/>
      <c r="G424" s="28" t="n"/>
      <c r="H424" s="28" t="n"/>
      <c r="I424" s="28" t="n"/>
      <c r="J424" s="28" t="n"/>
      <c r="K424" s="28" t="n"/>
    </row>
    <row r="425" ht="12.75" customHeight="1">
      <c r="A425" s="28" t="n"/>
      <c r="B425" s="28" t="n"/>
      <c r="C425" s="28" t="n"/>
      <c r="D425" s="28" t="n"/>
      <c r="E425" s="28" t="n"/>
      <c r="F425" s="28" t="n"/>
      <c r="G425" s="28" t="n"/>
      <c r="H425" s="28" t="n"/>
      <c r="I425" s="28" t="n"/>
      <c r="J425" s="28" t="n"/>
      <c r="K425" s="28" t="n"/>
    </row>
    <row r="426" ht="12.75" customHeight="1">
      <c r="A426" s="28" t="n"/>
      <c r="B426" s="28" t="n"/>
      <c r="C426" s="28" t="n"/>
      <c r="D426" s="28" t="n"/>
      <c r="E426" s="28" t="n"/>
      <c r="F426" s="28" t="n"/>
      <c r="G426" s="28" t="n"/>
      <c r="H426" s="28" t="n"/>
      <c r="I426" s="28" t="n"/>
      <c r="J426" s="28" t="n"/>
      <c r="K426" s="28" t="n"/>
    </row>
    <row r="427" ht="12.75" customHeight="1">
      <c r="A427" s="28" t="n"/>
      <c r="B427" s="28" t="n"/>
      <c r="C427" s="28" t="n"/>
      <c r="D427" s="28" t="n"/>
      <c r="E427" s="28" t="n"/>
      <c r="F427" s="28" t="n"/>
      <c r="G427" s="28" t="n"/>
      <c r="H427" s="28" t="n"/>
      <c r="I427" s="28" t="n"/>
      <c r="J427" s="28" t="n"/>
      <c r="K427" s="28" t="n"/>
    </row>
    <row r="428" ht="12.75" customHeight="1">
      <c r="A428" s="28" t="n"/>
      <c r="B428" s="28" t="n"/>
      <c r="C428" s="28" t="n"/>
      <c r="D428" s="28" t="n"/>
      <c r="E428" s="28" t="n"/>
      <c r="F428" s="28" t="n"/>
      <c r="G428" s="28" t="n"/>
      <c r="H428" s="28" t="n"/>
      <c r="I428" s="28" t="n"/>
      <c r="J428" s="28" t="n"/>
      <c r="K428" s="28" t="n"/>
    </row>
    <row r="429" ht="12.75" customHeight="1">
      <c r="A429" s="28" t="n"/>
      <c r="B429" s="28" t="n"/>
      <c r="C429" s="28" t="n"/>
      <c r="D429" s="28" t="n"/>
      <c r="E429" s="28" t="n"/>
      <c r="F429" s="28" t="n"/>
      <c r="G429" s="28" t="n"/>
      <c r="H429" s="28" t="n"/>
      <c r="I429" s="28" t="n"/>
      <c r="J429" s="28" t="n"/>
      <c r="K429" s="28" t="n"/>
    </row>
    <row r="430" ht="12.75" customHeight="1">
      <c r="A430" s="28" t="n"/>
      <c r="B430" s="28" t="n"/>
      <c r="C430" s="28" t="n"/>
      <c r="D430" s="28" t="n"/>
      <c r="E430" s="28" t="n"/>
      <c r="F430" s="28" t="n"/>
      <c r="G430" s="28" t="n"/>
      <c r="H430" s="28" t="n"/>
      <c r="I430" s="28" t="n"/>
      <c r="J430" s="28" t="n"/>
      <c r="K430" s="28" t="n"/>
    </row>
    <row r="431" ht="12.75" customHeight="1">
      <c r="A431" s="28" t="n"/>
      <c r="B431" s="28" t="n"/>
      <c r="C431" s="28" t="n"/>
      <c r="D431" s="28" t="n"/>
      <c r="E431" s="28" t="n"/>
      <c r="F431" s="28" t="n"/>
      <c r="G431" s="28" t="n"/>
      <c r="H431" s="28" t="n"/>
      <c r="I431" s="28" t="n"/>
      <c r="J431" s="28" t="n"/>
      <c r="K431" s="28" t="n"/>
    </row>
    <row r="432" ht="12.75" customHeight="1">
      <c r="A432" s="28" t="n"/>
      <c r="B432" s="28" t="n"/>
      <c r="C432" s="28" t="n"/>
      <c r="D432" s="28" t="n"/>
      <c r="E432" s="28" t="n"/>
      <c r="F432" s="28" t="n"/>
      <c r="G432" s="28" t="n"/>
      <c r="H432" s="28" t="n"/>
      <c r="I432" s="28" t="n"/>
      <c r="J432" s="28" t="n"/>
      <c r="K432" s="28" t="n"/>
    </row>
    <row r="433" ht="12.75" customHeight="1">
      <c r="A433" s="28" t="n"/>
      <c r="B433" s="28" t="n"/>
      <c r="C433" s="28" t="n"/>
      <c r="D433" s="28" t="n"/>
      <c r="E433" s="28" t="n"/>
      <c r="F433" s="28" t="n"/>
      <c r="G433" s="28" t="n"/>
      <c r="H433" s="28" t="n"/>
      <c r="I433" s="28" t="n"/>
      <c r="J433" s="28" t="n"/>
      <c r="K433" s="28" t="n"/>
    </row>
    <row r="434" ht="12.75" customHeight="1">
      <c r="A434" s="28" t="n"/>
      <c r="B434" s="28" t="n"/>
      <c r="C434" s="28" t="n"/>
      <c r="D434" s="28" t="n"/>
      <c r="E434" s="28" t="n"/>
      <c r="F434" s="28" t="n"/>
      <c r="G434" s="28" t="n"/>
      <c r="H434" s="28" t="n"/>
      <c r="I434" s="28" t="n"/>
      <c r="J434" s="28" t="n"/>
      <c r="K434" s="28" t="n"/>
    </row>
    <row r="435" ht="12.75" customHeight="1">
      <c r="A435" s="28" t="n"/>
      <c r="B435" s="28" t="n"/>
      <c r="C435" s="28" t="n"/>
      <c r="D435" s="28" t="n"/>
      <c r="E435" s="28" t="n"/>
      <c r="F435" s="28" t="n"/>
      <c r="G435" s="28" t="n"/>
      <c r="H435" s="28" t="n"/>
      <c r="I435" s="28" t="n"/>
      <c r="J435" s="28" t="n"/>
      <c r="K435" s="28" t="n"/>
    </row>
    <row r="436" ht="12.75" customHeight="1">
      <c r="A436" s="28" t="n"/>
      <c r="B436" s="28" t="n"/>
      <c r="C436" s="28" t="n"/>
      <c r="D436" s="28" t="n"/>
      <c r="E436" s="28" t="n"/>
      <c r="F436" s="28" t="n"/>
      <c r="G436" s="28" t="n"/>
      <c r="H436" s="28" t="n"/>
      <c r="I436" s="28" t="n"/>
      <c r="J436" s="28" t="n"/>
      <c r="K436" s="28" t="n"/>
    </row>
    <row r="437" ht="12.75" customHeight="1">
      <c r="A437" s="28" t="n"/>
      <c r="B437" s="28" t="n"/>
      <c r="C437" s="28" t="n"/>
      <c r="D437" s="28" t="n"/>
      <c r="E437" s="28" t="n"/>
      <c r="F437" s="28" t="n"/>
      <c r="G437" s="28" t="n"/>
      <c r="H437" s="28" t="n"/>
      <c r="I437" s="28" t="n"/>
      <c r="J437" s="28" t="n"/>
      <c r="K437" s="28" t="n"/>
    </row>
    <row r="438" ht="12.75" customHeight="1">
      <c r="A438" s="28" t="n"/>
      <c r="B438" s="28" t="n"/>
      <c r="C438" s="28" t="n"/>
      <c r="D438" s="28" t="n"/>
      <c r="E438" s="28" t="n"/>
      <c r="F438" s="28" t="n"/>
      <c r="G438" s="28" t="n"/>
      <c r="H438" s="28" t="n"/>
      <c r="I438" s="28" t="n"/>
      <c r="J438" s="28" t="n"/>
      <c r="K438" s="28" t="n"/>
    </row>
    <row r="439" ht="12.75" customHeight="1">
      <c r="A439" s="28" t="n"/>
      <c r="B439" s="28" t="n"/>
      <c r="C439" s="28" t="n"/>
      <c r="D439" s="28" t="n"/>
      <c r="E439" s="28" t="n"/>
      <c r="F439" s="28" t="n"/>
      <c r="G439" s="28" t="n"/>
      <c r="H439" s="28" t="n"/>
      <c r="I439" s="28" t="n"/>
      <c r="J439" s="28" t="n"/>
      <c r="K439" s="28" t="n"/>
    </row>
    <row r="440" ht="12.75" customHeight="1">
      <c r="A440" s="28" t="n"/>
      <c r="B440" s="28" t="n"/>
      <c r="C440" s="28" t="n"/>
      <c r="D440" s="28" t="n"/>
      <c r="E440" s="28" t="n"/>
      <c r="F440" s="28" t="n"/>
      <c r="G440" s="28" t="n"/>
      <c r="H440" s="28" t="n"/>
      <c r="I440" s="28" t="n"/>
      <c r="J440" s="28" t="n"/>
      <c r="K440" s="28" t="n"/>
    </row>
    <row r="441" ht="12.75" customHeight="1">
      <c r="A441" s="28" t="n"/>
      <c r="B441" s="28" t="n"/>
      <c r="C441" s="28" t="n"/>
      <c r="D441" s="28" t="n"/>
      <c r="E441" s="28" t="n"/>
      <c r="F441" s="28" t="n"/>
      <c r="G441" s="28" t="n"/>
      <c r="H441" s="28" t="n"/>
      <c r="I441" s="28" t="n"/>
      <c r="J441" s="28" t="n"/>
      <c r="K441" s="28" t="n"/>
    </row>
    <row r="442" ht="12.75" customHeight="1">
      <c r="A442" s="28" t="n"/>
      <c r="B442" s="28" t="n"/>
      <c r="C442" s="28" t="n"/>
      <c r="D442" s="28" t="n"/>
      <c r="E442" s="28" t="n"/>
      <c r="F442" s="28" t="n"/>
      <c r="G442" s="28" t="n"/>
      <c r="H442" s="28" t="n"/>
      <c r="I442" s="28" t="n"/>
      <c r="J442" s="28" t="n"/>
      <c r="K442" s="28" t="n"/>
    </row>
    <row r="443" ht="12.75" customHeight="1">
      <c r="A443" s="28" t="n"/>
      <c r="B443" s="28" t="n"/>
      <c r="C443" s="28" t="n"/>
      <c r="D443" s="28" t="n"/>
      <c r="E443" s="28" t="n"/>
      <c r="F443" s="28" t="n"/>
      <c r="G443" s="28" t="n"/>
      <c r="H443" s="28" t="n"/>
      <c r="I443" s="28" t="n"/>
      <c r="J443" s="28" t="n"/>
      <c r="K443" s="28" t="n"/>
    </row>
    <row r="444" ht="12.75" customHeight="1">
      <c r="A444" s="28" t="n"/>
      <c r="B444" s="28" t="n"/>
      <c r="C444" s="28" t="n"/>
      <c r="D444" s="28" t="n"/>
      <c r="E444" s="28" t="n"/>
      <c r="F444" s="28" t="n"/>
      <c r="G444" s="28" t="n"/>
      <c r="H444" s="28" t="n"/>
      <c r="I444" s="28" t="n"/>
      <c r="J444" s="28" t="n"/>
      <c r="K444" s="28" t="n"/>
    </row>
    <row r="445" ht="12.75" customHeight="1">
      <c r="A445" s="28" t="n"/>
      <c r="B445" s="28" t="n"/>
      <c r="C445" s="28" t="n"/>
      <c r="D445" s="28" t="n"/>
      <c r="E445" s="28" t="n"/>
      <c r="F445" s="28" t="n"/>
      <c r="G445" s="28" t="n"/>
      <c r="H445" s="28" t="n"/>
      <c r="I445" s="28" t="n"/>
      <c r="J445" s="28" t="n"/>
      <c r="K445" s="28" t="n"/>
    </row>
    <row r="446" ht="12.75" customHeight="1">
      <c r="A446" s="28" t="n"/>
      <c r="B446" s="28" t="n"/>
      <c r="C446" s="28" t="n"/>
      <c r="D446" s="28" t="n"/>
      <c r="E446" s="28" t="n"/>
      <c r="F446" s="28" t="n"/>
      <c r="G446" s="28" t="n"/>
      <c r="H446" s="28" t="n"/>
      <c r="I446" s="28" t="n"/>
      <c r="J446" s="28" t="n"/>
      <c r="K446" s="28" t="n"/>
    </row>
    <row r="447" ht="12.75" customHeight="1">
      <c r="A447" s="28" t="n"/>
      <c r="B447" s="28" t="n"/>
      <c r="C447" s="28" t="n"/>
      <c r="D447" s="28" t="n"/>
      <c r="E447" s="28" t="n"/>
      <c r="F447" s="28" t="n"/>
      <c r="G447" s="28" t="n"/>
      <c r="H447" s="28" t="n"/>
      <c r="I447" s="28" t="n"/>
      <c r="J447" s="28" t="n"/>
      <c r="K447" s="28" t="n"/>
    </row>
    <row r="448" ht="12.75" customHeight="1">
      <c r="A448" s="28" t="n"/>
      <c r="B448" s="28" t="n"/>
      <c r="C448" s="28" t="n"/>
      <c r="D448" s="28" t="n"/>
      <c r="E448" s="28" t="n"/>
      <c r="F448" s="28" t="n"/>
      <c r="G448" s="28" t="n"/>
      <c r="H448" s="28" t="n"/>
      <c r="I448" s="28" t="n"/>
      <c r="J448" s="28" t="n"/>
      <c r="K448" s="28" t="n"/>
    </row>
    <row r="449" ht="12.75" customHeight="1">
      <c r="A449" s="28" t="n"/>
      <c r="B449" s="28" t="n"/>
      <c r="C449" s="28" t="n"/>
      <c r="D449" s="28" t="n"/>
      <c r="E449" s="28" t="n"/>
      <c r="F449" s="28" t="n"/>
      <c r="G449" s="28" t="n"/>
      <c r="H449" s="28" t="n"/>
      <c r="I449" s="28" t="n"/>
      <c r="J449" s="28" t="n"/>
      <c r="K449" s="28" t="n"/>
    </row>
    <row r="450" ht="12.75" customHeight="1">
      <c r="A450" s="28" t="n"/>
      <c r="B450" s="28" t="n"/>
      <c r="C450" s="28" t="n"/>
      <c r="D450" s="28" t="n"/>
      <c r="E450" s="28" t="n"/>
      <c r="F450" s="28" t="n"/>
      <c r="G450" s="28" t="n"/>
      <c r="H450" s="28" t="n"/>
      <c r="I450" s="28" t="n"/>
      <c r="J450" s="28" t="n"/>
      <c r="K450" s="28" t="n"/>
    </row>
    <row r="451" ht="12.75" customHeight="1">
      <c r="A451" s="28" t="n"/>
      <c r="B451" s="28" t="n"/>
      <c r="C451" s="28" t="n"/>
      <c r="D451" s="28" t="n"/>
      <c r="E451" s="28" t="n"/>
      <c r="F451" s="28" t="n"/>
      <c r="G451" s="28" t="n"/>
      <c r="H451" s="28" t="n"/>
      <c r="I451" s="28" t="n"/>
      <c r="J451" s="28" t="n"/>
      <c r="K451" s="28" t="n"/>
    </row>
    <row r="452" ht="12.75" customHeight="1">
      <c r="A452" s="28" t="n"/>
      <c r="B452" s="28" t="n"/>
      <c r="C452" s="28" t="n"/>
      <c r="D452" s="28" t="n"/>
      <c r="E452" s="28" t="n"/>
      <c r="F452" s="28" t="n"/>
      <c r="G452" s="28" t="n"/>
      <c r="H452" s="28" t="n"/>
      <c r="I452" s="28" t="n"/>
      <c r="J452" s="28" t="n"/>
      <c r="K452" s="28" t="n"/>
    </row>
    <row r="453" ht="12.75" customHeight="1">
      <c r="A453" s="28" t="n"/>
      <c r="B453" s="28" t="n"/>
      <c r="C453" s="28" t="n"/>
      <c r="D453" s="28" t="n"/>
      <c r="E453" s="28" t="n"/>
      <c r="F453" s="28" t="n"/>
      <c r="G453" s="28" t="n"/>
      <c r="H453" s="28" t="n"/>
      <c r="I453" s="28" t="n"/>
      <c r="J453" s="28" t="n"/>
      <c r="K453" s="28" t="n"/>
    </row>
    <row r="454" ht="12.75" customHeight="1">
      <c r="A454" s="28" t="n"/>
      <c r="B454" s="28" t="n"/>
      <c r="C454" s="28" t="n"/>
      <c r="D454" s="28" t="n"/>
      <c r="E454" s="28" t="n"/>
      <c r="F454" s="28" t="n"/>
      <c r="G454" s="28" t="n"/>
      <c r="H454" s="28" t="n"/>
      <c r="I454" s="28" t="n"/>
      <c r="J454" s="28" t="n"/>
      <c r="K454" s="28" t="n"/>
    </row>
    <row r="455" ht="12.75" customHeight="1">
      <c r="A455" s="28" t="n"/>
      <c r="B455" s="28" t="n"/>
      <c r="C455" s="28" t="n"/>
      <c r="D455" s="28" t="n"/>
      <c r="E455" s="28" t="n"/>
      <c r="F455" s="28" t="n"/>
      <c r="G455" s="28" t="n"/>
      <c r="H455" s="28" t="n"/>
      <c r="I455" s="28" t="n"/>
      <c r="J455" s="28" t="n"/>
      <c r="K455" s="28" t="n"/>
    </row>
    <row r="456" ht="12.75" customHeight="1">
      <c r="A456" s="28" t="n"/>
      <c r="B456" s="28" t="n"/>
      <c r="C456" s="28" t="n"/>
      <c r="D456" s="28" t="n"/>
      <c r="E456" s="28" t="n"/>
      <c r="F456" s="28" t="n"/>
      <c r="G456" s="28" t="n"/>
      <c r="H456" s="28" t="n"/>
      <c r="I456" s="28" t="n"/>
      <c r="J456" s="28" t="n"/>
      <c r="K456" s="28" t="n"/>
    </row>
    <row r="457" ht="12.75" customHeight="1">
      <c r="A457" s="28" t="n"/>
      <c r="B457" s="28" t="n"/>
      <c r="C457" s="28" t="n"/>
      <c r="D457" s="28" t="n"/>
      <c r="E457" s="28" t="n"/>
      <c r="F457" s="28" t="n"/>
      <c r="G457" s="28" t="n"/>
      <c r="H457" s="28" t="n"/>
      <c r="I457" s="28" t="n"/>
      <c r="J457" s="28" t="n"/>
      <c r="K457" s="28" t="n"/>
    </row>
    <row r="458" ht="12.75" customHeight="1">
      <c r="A458" s="28" t="n"/>
      <c r="B458" s="28" t="n"/>
      <c r="C458" s="28" t="n"/>
      <c r="D458" s="28" t="n"/>
      <c r="E458" s="28" t="n"/>
      <c r="F458" s="28" t="n"/>
      <c r="G458" s="28" t="n"/>
      <c r="H458" s="28" t="n"/>
      <c r="I458" s="28" t="n"/>
      <c r="J458" s="28" t="n"/>
      <c r="K458" s="28" t="n"/>
    </row>
    <row r="459" ht="12.75" customHeight="1">
      <c r="A459" s="28" t="n"/>
      <c r="B459" s="28" t="n"/>
      <c r="C459" s="28" t="n"/>
      <c r="D459" s="28" t="n"/>
      <c r="E459" s="28" t="n"/>
      <c r="F459" s="28" t="n"/>
      <c r="G459" s="28" t="n"/>
      <c r="H459" s="28" t="n"/>
      <c r="I459" s="28" t="n"/>
      <c r="J459" s="28" t="n"/>
      <c r="K459" s="28" t="n"/>
    </row>
    <row r="460" ht="12.75" customHeight="1">
      <c r="A460" s="28" t="n"/>
      <c r="B460" s="28" t="n"/>
      <c r="C460" s="28" t="n"/>
      <c r="D460" s="28" t="n"/>
      <c r="E460" s="28" t="n"/>
      <c r="F460" s="28" t="n"/>
      <c r="G460" s="28" t="n"/>
      <c r="H460" s="28" t="n"/>
      <c r="I460" s="28" t="n"/>
      <c r="J460" s="28" t="n"/>
      <c r="K460" s="28" t="n"/>
    </row>
    <row r="461" ht="12.75" customHeight="1">
      <c r="A461" s="28" t="n"/>
      <c r="B461" s="28" t="n"/>
      <c r="C461" s="28" t="n"/>
      <c r="D461" s="28" t="n"/>
      <c r="E461" s="28" t="n"/>
      <c r="F461" s="28" t="n"/>
      <c r="G461" s="28" t="n"/>
      <c r="H461" s="28" t="n"/>
      <c r="I461" s="28" t="n"/>
      <c r="J461" s="28" t="n"/>
      <c r="K461" s="28" t="n"/>
    </row>
    <row r="462" ht="12.75" customHeight="1">
      <c r="A462" s="28" t="n"/>
      <c r="B462" s="28" t="n"/>
      <c r="C462" s="28" t="n"/>
      <c r="D462" s="28" t="n"/>
      <c r="E462" s="28" t="n"/>
      <c r="F462" s="28" t="n"/>
      <c r="G462" s="28" t="n"/>
      <c r="H462" s="28" t="n"/>
      <c r="I462" s="28" t="n"/>
      <c r="J462" s="28" t="n"/>
      <c r="K462" s="28" t="n"/>
    </row>
    <row r="463" ht="12.75" customHeight="1">
      <c r="A463" s="28" t="n"/>
      <c r="B463" s="28" t="n"/>
      <c r="C463" s="28" t="n"/>
      <c r="D463" s="28" t="n"/>
      <c r="E463" s="28" t="n"/>
      <c r="F463" s="28" t="n"/>
      <c r="G463" s="28" t="n"/>
      <c r="H463" s="28" t="n"/>
      <c r="I463" s="28" t="n"/>
      <c r="J463" s="28" t="n"/>
      <c r="K463" s="28" t="n"/>
    </row>
    <row r="464" ht="12.75" customHeight="1">
      <c r="A464" s="28" t="n"/>
      <c r="B464" s="28" t="n"/>
      <c r="C464" s="28" t="n"/>
      <c r="D464" s="28" t="n"/>
      <c r="E464" s="28" t="n"/>
      <c r="F464" s="28" t="n"/>
      <c r="G464" s="28" t="n"/>
      <c r="H464" s="28" t="n"/>
      <c r="I464" s="28" t="n"/>
      <c r="J464" s="28" t="n"/>
      <c r="K464" s="28" t="n"/>
    </row>
    <row r="465" ht="12.75" customHeight="1">
      <c r="A465" s="28" t="n"/>
      <c r="B465" s="28" t="n"/>
      <c r="C465" s="28" t="n"/>
      <c r="D465" s="28" t="n"/>
      <c r="E465" s="28" t="n"/>
      <c r="F465" s="28" t="n"/>
      <c r="G465" s="28" t="n"/>
      <c r="H465" s="28" t="n"/>
      <c r="I465" s="28" t="n"/>
      <c r="J465" s="28" t="n"/>
      <c r="K465" s="28" t="n"/>
    </row>
    <row r="466" ht="12.75" customHeight="1">
      <c r="A466" s="28" t="n"/>
      <c r="B466" s="28" t="n"/>
      <c r="C466" s="28" t="n"/>
      <c r="D466" s="28" t="n"/>
      <c r="E466" s="28" t="n"/>
      <c r="F466" s="28" t="n"/>
      <c r="G466" s="28" t="n"/>
      <c r="H466" s="28" t="n"/>
      <c r="I466" s="28" t="n"/>
      <c r="J466" s="28" t="n"/>
      <c r="K466" s="28" t="n"/>
    </row>
    <row r="467" ht="12.75" customHeight="1">
      <c r="A467" s="28" t="n"/>
      <c r="B467" s="28" t="n"/>
      <c r="C467" s="28" t="n"/>
      <c r="D467" s="28" t="n"/>
      <c r="E467" s="28" t="n"/>
      <c r="F467" s="28" t="n"/>
      <c r="G467" s="28" t="n"/>
      <c r="H467" s="28" t="n"/>
      <c r="I467" s="28" t="n"/>
      <c r="J467" s="28" t="n"/>
      <c r="K467" s="28" t="n"/>
    </row>
    <row r="468" ht="12.75" customHeight="1">
      <c r="A468" s="28" t="n"/>
      <c r="B468" s="28" t="n"/>
      <c r="C468" s="28" t="n"/>
      <c r="D468" s="28" t="n"/>
      <c r="E468" s="28" t="n"/>
      <c r="F468" s="28" t="n"/>
      <c r="G468" s="28" t="n"/>
      <c r="H468" s="28" t="n"/>
      <c r="I468" s="28" t="n"/>
      <c r="J468" s="28" t="n"/>
      <c r="K468" s="28" t="n"/>
    </row>
    <row r="469" ht="12.75" customHeight="1">
      <c r="A469" s="28" t="n"/>
      <c r="B469" s="28" t="n"/>
      <c r="C469" s="28" t="n"/>
      <c r="D469" s="28" t="n"/>
      <c r="E469" s="28" t="n"/>
      <c r="F469" s="28" t="n"/>
      <c r="G469" s="28" t="n"/>
      <c r="H469" s="28" t="n"/>
      <c r="I469" s="28" t="n"/>
      <c r="J469" s="28" t="n"/>
      <c r="K469" s="28" t="n"/>
    </row>
    <row r="470" ht="12.75" customHeight="1">
      <c r="A470" s="28" t="n"/>
      <c r="B470" s="28" t="n"/>
      <c r="C470" s="28" t="n"/>
      <c r="D470" s="28" t="n"/>
      <c r="E470" s="28" t="n"/>
      <c r="F470" s="28" t="n"/>
      <c r="G470" s="28" t="n"/>
      <c r="H470" s="28" t="n"/>
      <c r="I470" s="28" t="n"/>
      <c r="J470" s="28" t="n"/>
      <c r="K470" s="28" t="n"/>
    </row>
    <row r="471" ht="12.75" customHeight="1">
      <c r="A471" s="28" t="n"/>
      <c r="B471" s="28" t="n"/>
      <c r="C471" s="28" t="n"/>
      <c r="D471" s="28" t="n"/>
      <c r="E471" s="28" t="n"/>
      <c r="F471" s="28" t="n"/>
      <c r="G471" s="28" t="n"/>
      <c r="H471" s="28" t="n"/>
      <c r="I471" s="28" t="n"/>
      <c r="J471" s="28" t="n"/>
      <c r="K471" s="28" t="n"/>
    </row>
    <row r="472" ht="12.75" customHeight="1">
      <c r="A472" s="28" t="n"/>
      <c r="B472" s="28" t="n"/>
      <c r="C472" s="28" t="n"/>
      <c r="D472" s="28" t="n"/>
      <c r="E472" s="28" t="n"/>
      <c r="F472" s="28" t="n"/>
      <c r="G472" s="28" t="n"/>
      <c r="H472" s="28" t="n"/>
      <c r="I472" s="28" t="n"/>
      <c r="J472" s="28" t="n"/>
      <c r="K472" s="28" t="n"/>
    </row>
    <row r="473" ht="12.75" customHeight="1">
      <c r="A473" s="28" t="n"/>
      <c r="B473" s="28" t="n"/>
      <c r="C473" s="28" t="n"/>
      <c r="D473" s="28" t="n"/>
      <c r="E473" s="28" t="n"/>
      <c r="F473" s="28" t="n"/>
      <c r="G473" s="28" t="n"/>
      <c r="H473" s="28" t="n"/>
      <c r="I473" s="28" t="n"/>
      <c r="J473" s="28" t="n"/>
      <c r="K473" s="28" t="n"/>
    </row>
    <row r="474" ht="12.75" customHeight="1">
      <c r="A474" s="28" t="n"/>
      <c r="B474" s="28" t="n"/>
      <c r="C474" s="28" t="n"/>
      <c r="D474" s="28" t="n"/>
      <c r="E474" s="28" t="n"/>
      <c r="F474" s="28" t="n"/>
      <c r="G474" s="28" t="n"/>
      <c r="H474" s="28" t="n"/>
      <c r="I474" s="28" t="n"/>
      <c r="J474" s="28" t="n"/>
      <c r="K474" s="28" t="n"/>
    </row>
    <row r="475" ht="12.75" customHeight="1">
      <c r="A475" s="28" t="n"/>
      <c r="B475" s="28" t="n"/>
      <c r="C475" s="28" t="n"/>
      <c r="D475" s="28" t="n"/>
      <c r="E475" s="28" t="n"/>
      <c r="F475" s="28" t="n"/>
      <c r="G475" s="28" t="n"/>
      <c r="H475" s="28" t="n"/>
      <c r="I475" s="28" t="n"/>
      <c r="J475" s="28" t="n"/>
      <c r="K475" s="28" t="n"/>
    </row>
    <row r="476" ht="12.75" customHeight="1">
      <c r="A476" s="28" t="n"/>
      <c r="B476" s="28" t="n"/>
      <c r="C476" s="28" t="n"/>
      <c r="D476" s="28" t="n"/>
      <c r="E476" s="28" t="n"/>
      <c r="F476" s="28" t="n"/>
      <c r="G476" s="28" t="n"/>
      <c r="H476" s="28" t="n"/>
      <c r="I476" s="28" t="n"/>
      <c r="J476" s="28" t="n"/>
      <c r="K476" s="28" t="n"/>
    </row>
    <row r="477" ht="12.75" customHeight="1">
      <c r="A477" s="28" t="n"/>
      <c r="B477" s="28" t="n"/>
      <c r="C477" s="28" t="n"/>
      <c r="D477" s="28" t="n"/>
      <c r="E477" s="28" t="n"/>
      <c r="F477" s="28" t="n"/>
      <c r="G477" s="28" t="n"/>
      <c r="H477" s="28" t="n"/>
      <c r="I477" s="28" t="n"/>
      <c r="J477" s="28" t="n"/>
      <c r="K477" s="28" t="n"/>
    </row>
    <row r="478" ht="12.75" customHeight="1">
      <c r="A478" s="28" t="n"/>
      <c r="B478" s="28" t="n"/>
      <c r="C478" s="28" t="n"/>
      <c r="D478" s="28" t="n"/>
      <c r="E478" s="28" t="n"/>
      <c r="F478" s="28" t="n"/>
      <c r="G478" s="28" t="n"/>
      <c r="H478" s="28" t="n"/>
      <c r="I478" s="28" t="n"/>
      <c r="J478" s="28" t="n"/>
      <c r="K478" s="28" t="n"/>
    </row>
    <row r="479" ht="12.75" customHeight="1">
      <c r="A479" s="28" t="n"/>
      <c r="B479" s="28" t="n"/>
      <c r="C479" s="28" t="n"/>
      <c r="D479" s="28" t="n"/>
      <c r="E479" s="28" t="n"/>
      <c r="F479" s="28" t="n"/>
      <c r="G479" s="28" t="n"/>
      <c r="H479" s="28" t="n"/>
      <c r="I479" s="28" t="n"/>
      <c r="J479" s="28" t="n"/>
      <c r="K479" s="28" t="n"/>
    </row>
    <row r="480" ht="12.75" customHeight="1">
      <c r="A480" s="28" t="n"/>
      <c r="B480" s="28" t="n"/>
      <c r="C480" s="28" t="n"/>
      <c r="D480" s="28" t="n"/>
      <c r="E480" s="28" t="n"/>
      <c r="F480" s="28" t="n"/>
      <c r="G480" s="28" t="n"/>
      <c r="H480" s="28" t="n"/>
      <c r="I480" s="28" t="n"/>
      <c r="J480" s="28" t="n"/>
      <c r="K480" s="28" t="n"/>
    </row>
    <row r="481" ht="12.75" customHeight="1">
      <c r="A481" s="28" t="n"/>
      <c r="B481" s="28" t="n"/>
      <c r="C481" s="28" t="n"/>
      <c r="D481" s="28" t="n"/>
      <c r="E481" s="28" t="n"/>
      <c r="F481" s="28" t="n"/>
      <c r="G481" s="28" t="n"/>
      <c r="H481" s="28" t="n"/>
      <c r="I481" s="28" t="n"/>
      <c r="J481" s="28" t="n"/>
      <c r="K481" s="28" t="n"/>
    </row>
    <row r="482" ht="12.75" customHeight="1">
      <c r="A482" s="28" t="n"/>
      <c r="B482" s="28" t="n"/>
      <c r="C482" s="28" t="n"/>
      <c r="D482" s="28" t="n"/>
      <c r="E482" s="28" t="n"/>
      <c r="F482" s="28" t="n"/>
      <c r="G482" s="28" t="n"/>
      <c r="H482" s="28" t="n"/>
      <c r="I482" s="28" t="n"/>
      <c r="J482" s="28" t="n"/>
      <c r="K482" s="28" t="n"/>
    </row>
    <row r="483" ht="12.75" customHeight="1">
      <c r="A483" s="28" t="n"/>
      <c r="B483" s="28" t="n"/>
      <c r="C483" s="28" t="n"/>
      <c r="D483" s="28" t="n"/>
      <c r="E483" s="28" t="n"/>
      <c r="F483" s="28" t="n"/>
      <c r="G483" s="28" t="n"/>
      <c r="H483" s="28" t="n"/>
      <c r="I483" s="28" t="n"/>
      <c r="J483" s="28" t="n"/>
      <c r="K483" s="28" t="n"/>
    </row>
    <row r="484" ht="12.75" customHeight="1">
      <c r="A484" s="28" t="n"/>
      <c r="B484" s="28" t="n"/>
      <c r="C484" s="28" t="n"/>
      <c r="D484" s="28" t="n"/>
      <c r="E484" s="28" t="n"/>
      <c r="F484" s="28" t="n"/>
      <c r="G484" s="28" t="n"/>
      <c r="H484" s="28" t="n"/>
      <c r="I484" s="28" t="n"/>
      <c r="J484" s="28" t="n"/>
      <c r="K484" s="28" t="n"/>
    </row>
    <row r="485" ht="12.75" customHeight="1">
      <c r="A485" s="28" t="n"/>
      <c r="B485" s="28" t="n"/>
      <c r="C485" s="28" t="n"/>
      <c r="D485" s="28" t="n"/>
      <c r="E485" s="28" t="n"/>
      <c r="F485" s="28" t="n"/>
      <c r="G485" s="28" t="n"/>
      <c r="H485" s="28" t="n"/>
      <c r="I485" s="28" t="n"/>
      <c r="J485" s="28" t="n"/>
      <c r="K485" s="28" t="n"/>
    </row>
    <row r="486" ht="12.75" customHeight="1">
      <c r="A486" s="28" t="n"/>
      <c r="B486" s="28" t="n"/>
      <c r="C486" s="28" t="n"/>
      <c r="D486" s="28" t="n"/>
      <c r="E486" s="28" t="n"/>
      <c r="F486" s="28" t="n"/>
      <c r="G486" s="28" t="n"/>
      <c r="H486" s="28" t="n"/>
      <c r="I486" s="28" t="n"/>
      <c r="J486" s="28" t="n"/>
      <c r="K486" s="28" t="n"/>
    </row>
    <row r="487" ht="12.75" customHeight="1">
      <c r="A487" s="28" t="n"/>
      <c r="B487" s="28" t="n"/>
      <c r="C487" s="28" t="n"/>
      <c r="D487" s="28" t="n"/>
      <c r="E487" s="28" t="n"/>
      <c r="F487" s="28" t="n"/>
      <c r="G487" s="28" t="n"/>
      <c r="H487" s="28" t="n"/>
      <c r="I487" s="28" t="n"/>
      <c r="J487" s="28" t="n"/>
      <c r="K487" s="28" t="n"/>
    </row>
    <row r="488" ht="12.75" customHeight="1">
      <c r="A488" s="28" t="n"/>
      <c r="B488" s="28" t="n"/>
      <c r="C488" s="28" t="n"/>
      <c r="D488" s="28" t="n"/>
      <c r="E488" s="28" t="n"/>
      <c r="F488" s="28" t="n"/>
      <c r="G488" s="28" t="n"/>
      <c r="H488" s="28" t="n"/>
      <c r="I488" s="28" t="n"/>
      <c r="J488" s="28" t="n"/>
      <c r="K488" s="28" t="n"/>
    </row>
    <row r="489" ht="12.75" customHeight="1">
      <c r="A489" s="28" t="n"/>
      <c r="B489" s="28" t="n"/>
      <c r="C489" s="28" t="n"/>
      <c r="D489" s="28" t="n"/>
      <c r="E489" s="28" t="n"/>
      <c r="F489" s="28" t="n"/>
      <c r="G489" s="28" t="n"/>
      <c r="H489" s="28" t="n"/>
      <c r="I489" s="28" t="n"/>
      <c r="J489" s="28" t="n"/>
      <c r="K489" s="28" t="n"/>
    </row>
    <row r="490" ht="12.75" customHeight="1">
      <c r="A490" s="28" t="n"/>
      <c r="B490" s="28" t="n"/>
      <c r="C490" s="28" t="n"/>
      <c r="D490" s="28" t="n"/>
      <c r="E490" s="28" t="n"/>
      <c r="F490" s="28" t="n"/>
      <c r="G490" s="28" t="n"/>
      <c r="H490" s="28" t="n"/>
      <c r="I490" s="28" t="n"/>
      <c r="J490" s="28" t="n"/>
      <c r="K490" s="28" t="n"/>
    </row>
    <row r="491" ht="12.75" customHeight="1">
      <c r="A491" s="28" t="n"/>
      <c r="B491" s="28" t="n"/>
      <c r="C491" s="28" t="n"/>
      <c r="D491" s="28" t="n"/>
      <c r="E491" s="28" t="n"/>
      <c r="F491" s="28" t="n"/>
      <c r="G491" s="28" t="n"/>
      <c r="H491" s="28" t="n"/>
      <c r="I491" s="28" t="n"/>
      <c r="J491" s="28" t="n"/>
      <c r="K491" s="28" t="n"/>
    </row>
    <row r="492" ht="12.75" customHeight="1">
      <c r="A492" s="28" t="n"/>
      <c r="B492" s="28" t="n"/>
      <c r="C492" s="28" t="n"/>
      <c r="D492" s="28" t="n"/>
      <c r="E492" s="28" t="n"/>
      <c r="F492" s="28" t="n"/>
      <c r="G492" s="28" t="n"/>
      <c r="H492" s="28" t="n"/>
      <c r="I492" s="28" t="n"/>
      <c r="J492" s="28" t="n"/>
      <c r="K492" s="28" t="n"/>
    </row>
    <row r="493" ht="12.75" customHeight="1">
      <c r="A493" s="28" t="n"/>
      <c r="B493" s="28" t="n"/>
      <c r="C493" s="28" t="n"/>
      <c r="D493" s="28" t="n"/>
      <c r="E493" s="28" t="n"/>
      <c r="F493" s="28" t="n"/>
      <c r="G493" s="28" t="n"/>
      <c r="H493" s="28" t="n"/>
      <c r="I493" s="28" t="n"/>
      <c r="J493" s="28" t="n"/>
      <c r="K493" s="28" t="n"/>
    </row>
    <row r="494" ht="12.75" customHeight="1">
      <c r="A494" s="28" t="n"/>
      <c r="B494" s="28" t="n"/>
      <c r="C494" s="28" t="n"/>
      <c r="D494" s="28" t="n"/>
      <c r="E494" s="28" t="n"/>
      <c r="F494" s="28" t="n"/>
      <c r="G494" s="28" t="n"/>
      <c r="H494" s="28" t="n"/>
      <c r="I494" s="28" t="n"/>
      <c r="J494" s="28" t="n"/>
      <c r="K494" s="28" t="n"/>
    </row>
    <row r="495" ht="12.75" customHeight="1">
      <c r="A495" s="28" t="n"/>
      <c r="B495" s="28" t="n"/>
      <c r="C495" s="28" t="n"/>
      <c r="D495" s="28" t="n"/>
      <c r="E495" s="28" t="n"/>
      <c r="F495" s="28" t="n"/>
      <c r="G495" s="28" t="n"/>
      <c r="H495" s="28" t="n"/>
      <c r="I495" s="28" t="n"/>
      <c r="J495" s="28" t="n"/>
      <c r="K495" s="28" t="n"/>
    </row>
    <row r="496" ht="12.75" customHeight="1">
      <c r="A496" s="28" t="n"/>
      <c r="B496" s="28" t="n"/>
      <c r="C496" s="28" t="n"/>
      <c r="D496" s="28" t="n"/>
      <c r="E496" s="28" t="n"/>
      <c r="F496" s="28" t="n"/>
      <c r="G496" s="28" t="n"/>
      <c r="H496" s="28" t="n"/>
      <c r="I496" s="28" t="n"/>
      <c r="J496" s="28" t="n"/>
      <c r="K496" s="28" t="n"/>
    </row>
    <row r="497" ht="12.75" customHeight="1">
      <c r="A497" s="28" t="n"/>
      <c r="B497" s="28" t="n"/>
      <c r="C497" s="28" t="n"/>
      <c r="D497" s="28" t="n"/>
      <c r="E497" s="28" t="n"/>
      <c r="F497" s="28" t="n"/>
      <c r="G497" s="28" t="n"/>
      <c r="H497" s="28" t="n"/>
      <c r="I497" s="28" t="n"/>
      <c r="J497" s="28" t="n"/>
      <c r="K497" s="28" t="n"/>
    </row>
    <row r="498" ht="12.75" customHeight="1">
      <c r="A498" s="28" t="n"/>
      <c r="B498" s="28" t="n"/>
      <c r="C498" s="28" t="n"/>
      <c r="D498" s="28" t="n"/>
      <c r="E498" s="28" t="n"/>
      <c r="F498" s="28" t="n"/>
      <c r="G498" s="28" t="n"/>
      <c r="H498" s="28" t="n"/>
      <c r="I498" s="28" t="n"/>
      <c r="J498" s="28" t="n"/>
      <c r="K498" s="28" t="n"/>
    </row>
    <row r="499" ht="12.75" customHeight="1">
      <c r="A499" s="28" t="n"/>
      <c r="B499" s="28" t="n"/>
      <c r="C499" s="28" t="n"/>
      <c r="D499" s="28" t="n"/>
      <c r="E499" s="28" t="n"/>
      <c r="F499" s="28" t="n"/>
      <c r="G499" s="28" t="n"/>
      <c r="H499" s="28" t="n"/>
      <c r="I499" s="28" t="n"/>
      <c r="J499" s="28" t="n"/>
      <c r="K499" s="28" t="n"/>
    </row>
    <row r="500" ht="12.75" customHeight="1">
      <c r="A500" s="28" t="n"/>
      <c r="B500" s="28" t="n"/>
      <c r="C500" s="28" t="n"/>
      <c r="D500" s="28" t="n"/>
      <c r="E500" s="28" t="n"/>
      <c r="F500" s="28" t="n"/>
      <c r="G500" s="28" t="n"/>
      <c r="H500" s="28" t="n"/>
      <c r="I500" s="28" t="n"/>
      <c r="J500" s="28" t="n"/>
      <c r="K500" s="28" t="n"/>
    </row>
    <row r="501" ht="12.75" customHeight="1">
      <c r="A501" s="28" t="n"/>
      <c r="B501" s="28" t="n"/>
      <c r="C501" s="28" t="n"/>
      <c r="D501" s="28" t="n"/>
      <c r="E501" s="28" t="n"/>
      <c r="F501" s="28" t="n"/>
      <c r="G501" s="28" t="n"/>
      <c r="H501" s="28" t="n"/>
      <c r="I501" s="28" t="n"/>
      <c r="J501" s="28" t="n"/>
      <c r="K501" s="28" t="n"/>
    </row>
    <row r="502" ht="12.75" customHeight="1">
      <c r="A502" s="28" t="n"/>
      <c r="B502" s="28" t="n"/>
      <c r="C502" s="28" t="n"/>
      <c r="D502" s="28" t="n"/>
      <c r="E502" s="28" t="n"/>
      <c r="F502" s="28" t="n"/>
      <c r="G502" s="28" t="n"/>
      <c r="H502" s="28" t="n"/>
      <c r="I502" s="28" t="n"/>
      <c r="J502" s="28" t="n"/>
      <c r="K502" s="28" t="n"/>
    </row>
    <row r="503" ht="12.75" customHeight="1">
      <c r="A503" s="28" t="n"/>
      <c r="B503" s="28" t="n"/>
      <c r="C503" s="28" t="n"/>
      <c r="D503" s="28" t="n"/>
      <c r="E503" s="28" t="n"/>
      <c r="F503" s="28" t="n"/>
      <c r="G503" s="28" t="n"/>
      <c r="H503" s="28" t="n"/>
      <c r="I503" s="28" t="n"/>
      <c r="J503" s="28" t="n"/>
      <c r="K503" s="28" t="n"/>
    </row>
    <row r="504" ht="12.75" customHeight="1">
      <c r="A504" s="28" t="n"/>
      <c r="B504" s="28" t="n"/>
      <c r="C504" s="28" t="n"/>
      <c r="D504" s="28" t="n"/>
      <c r="E504" s="28" t="n"/>
      <c r="F504" s="28" t="n"/>
      <c r="G504" s="28" t="n"/>
      <c r="H504" s="28" t="n"/>
      <c r="I504" s="28" t="n"/>
      <c r="J504" s="28" t="n"/>
      <c r="K504" s="28" t="n"/>
    </row>
    <row r="505" ht="12.75" customHeight="1">
      <c r="A505" s="28" t="n"/>
      <c r="B505" s="28" t="n"/>
      <c r="C505" s="28" t="n"/>
      <c r="D505" s="28" t="n"/>
      <c r="E505" s="28" t="n"/>
      <c r="F505" s="28" t="n"/>
      <c r="G505" s="28" t="n"/>
      <c r="H505" s="28" t="n"/>
      <c r="I505" s="28" t="n"/>
      <c r="J505" s="28" t="n"/>
      <c r="K505" s="28" t="n"/>
    </row>
    <row r="506" ht="12.75" customHeight="1">
      <c r="A506" s="28" t="n"/>
      <c r="B506" s="28" t="n"/>
      <c r="C506" s="28" t="n"/>
      <c r="D506" s="28" t="n"/>
      <c r="E506" s="28" t="n"/>
      <c r="F506" s="28" t="n"/>
      <c r="G506" s="28" t="n"/>
      <c r="H506" s="28" t="n"/>
      <c r="I506" s="28" t="n"/>
      <c r="J506" s="28" t="n"/>
      <c r="K506" s="28" t="n"/>
    </row>
    <row r="507" ht="12.75" customHeight="1">
      <c r="A507" s="28" t="n"/>
      <c r="B507" s="28" t="n"/>
      <c r="C507" s="28" t="n"/>
      <c r="D507" s="28" t="n"/>
      <c r="E507" s="28" t="n"/>
      <c r="F507" s="28" t="n"/>
      <c r="G507" s="28" t="n"/>
      <c r="H507" s="28" t="n"/>
      <c r="I507" s="28" t="n"/>
      <c r="J507" s="28" t="n"/>
      <c r="K507" s="28" t="n"/>
    </row>
    <row r="508" ht="12.75" customHeight="1">
      <c r="A508" s="28" t="n"/>
      <c r="B508" s="28" t="n"/>
      <c r="C508" s="28" t="n"/>
      <c r="D508" s="28" t="n"/>
      <c r="E508" s="28" t="n"/>
      <c r="F508" s="28" t="n"/>
      <c r="G508" s="28" t="n"/>
      <c r="H508" s="28" t="n"/>
      <c r="I508" s="28" t="n"/>
      <c r="J508" s="28" t="n"/>
      <c r="K508" s="28" t="n"/>
    </row>
    <row r="509" ht="12.75" customHeight="1">
      <c r="A509" s="28" t="n"/>
      <c r="B509" s="28" t="n"/>
      <c r="C509" s="28" t="n"/>
      <c r="D509" s="28" t="n"/>
      <c r="E509" s="28" t="n"/>
      <c r="F509" s="28" t="n"/>
      <c r="G509" s="28" t="n"/>
      <c r="H509" s="28" t="n"/>
      <c r="I509" s="28" t="n"/>
      <c r="J509" s="28" t="n"/>
      <c r="K509" s="28" t="n"/>
    </row>
    <row r="510" ht="12.75" customHeight="1">
      <c r="A510" s="28" t="n"/>
      <c r="B510" s="28" t="n"/>
      <c r="C510" s="28" t="n"/>
      <c r="D510" s="28" t="n"/>
      <c r="E510" s="28" t="n"/>
      <c r="F510" s="28" t="n"/>
      <c r="G510" s="28" t="n"/>
      <c r="H510" s="28" t="n"/>
      <c r="I510" s="28" t="n"/>
      <c r="J510" s="28" t="n"/>
      <c r="K510" s="28" t="n"/>
    </row>
    <row r="511" ht="12.75" customHeight="1">
      <c r="A511" s="28" t="n"/>
      <c r="B511" s="28" t="n"/>
      <c r="C511" s="28" t="n"/>
      <c r="D511" s="28" t="n"/>
      <c r="E511" s="28" t="n"/>
      <c r="F511" s="28" t="n"/>
      <c r="G511" s="28" t="n"/>
      <c r="H511" s="28" t="n"/>
      <c r="I511" s="28" t="n"/>
      <c r="J511" s="28" t="n"/>
      <c r="K511" s="28" t="n"/>
    </row>
    <row r="512" ht="12.75" customHeight="1">
      <c r="A512" s="28" t="n"/>
      <c r="B512" s="28" t="n"/>
      <c r="C512" s="28" t="n"/>
      <c r="D512" s="28" t="n"/>
      <c r="E512" s="28" t="n"/>
      <c r="F512" s="28" t="n"/>
      <c r="G512" s="28" t="n"/>
      <c r="H512" s="28" t="n"/>
      <c r="I512" s="28" t="n"/>
      <c r="J512" s="28" t="n"/>
      <c r="K512" s="28" t="n"/>
    </row>
    <row r="513" ht="12.75" customHeight="1">
      <c r="A513" s="28" t="n"/>
      <c r="B513" s="28" t="n"/>
      <c r="C513" s="28" t="n"/>
      <c r="D513" s="28" t="n"/>
      <c r="E513" s="28" t="n"/>
      <c r="F513" s="28" t="n"/>
      <c r="G513" s="28" t="n"/>
      <c r="H513" s="28" t="n"/>
      <c r="I513" s="28" t="n"/>
      <c r="J513" s="28" t="n"/>
      <c r="K513" s="28" t="n"/>
    </row>
    <row r="514" ht="12.75" customHeight="1">
      <c r="A514" s="28" t="n"/>
      <c r="B514" s="28" t="n"/>
      <c r="C514" s="28" t="n"/>
      <c r="D514" s="28" t="n"/>
      <c r="E514" s="28" t="n"/>
      <c r="F514" s="28" t="n"/>
      <c r="G514" s="28" t="n"/>
      <c r="H514" s="28" t="n"/>
      <c r="I514" s="28" t="n"/>
      <c r="J514" s="28" t="n"/>
      <c r="K514" s="28" t="n"/>
    </row>
    <row r="515" ht="12.75" customHeight="1">
      <c r="A515" s="28" t="n"/>
      <c r="B515" s="28" t="n"/>
      <c r="C515" s="28" t="n"/>
      <c r="D515" s="28" t="n"/>
      <c r="E515" s="28" t="n"/>
      <c r="F515" s="28" t="n"/>
      <c r="G515" s="28" t="n"/>
      <c r="H515" s="28" t="n"/>
      <c r="I515" s="28" t="n"/>
      <c r="J515" s="28" t="n"/>
      <c r="K515" s="28" t="n"/>
    </row>
    <row r="516" ht="12.75" customHeight="1">
      <c r="A516" s="28" t="n"/>
      <c r="B516" s="28" t="n"/>
      <c r="C516" s="28" t="n"/>
      <c r="D516" s="28" t="n"/>
      <c r="E516" s="28" t="n"/>
      <c r="F516" s="28" t="n"/>
      <c r="G516" s="28" t="n"/>
      <c r="H516" s="28" t="n"/>
      <c r="I516" s="28" t="n"/>
      <c r="J516" s="28" t="n"/>
      <c r="K516" s="28" t="n"/>
    </row>
    <row r="517" ht="12.75" customHeight="1">
      <c r="A517" s="28" t="n"/>
      <c r="B517" s="28" t="n"/>
      <c r="C517" s="28" t="n"/>
      <c r="D517" s="28" t="n"/>
      <c r="E517" s="28" t="n"/>
      <c r="F517" s="28" t="n"/>
      <c r="G517" s="28" t="n"/>
      <c r="H517" s="28" t="n"/>
      <c r="I517" s="28" t="n"/>
      <c r="J517" s="28" t="n"/>
      <c r="K517" s="28" t="n"/>
    </row>
    <row r="518" ht="12.75" customHeight="1">
      <c r="A518" s="28" t="n"/>
      <c r="B518" s="28" t="n"/>
      <c r="C518" s="28" t="n"/>
      <c r="D518" s="28" t="n"/>
      <c r="E518" s="28" t="n"/>
      <c r="F518" s="28" t="n"/>
      <c r="G518" s="28" t="n"/>
      <c r="H518" s="28" t="n"/>
      <c r="I518" s="28" t="n"/>
      <c r="J518" s="28" t="n"/>
      <c r="K518" s="28" t="n"/>
    </row>
    <row r="519" ht="12.75" customHeight="1">
      <c r="A519" s="28" t="n"/>
      <c r="B519" s="28" t="n"/>
      <c r="C519" s="28" t="n"/>
      <c r="D519" s="28" t="n"/>
      <c r="E519" s="28" t="n"/>
      <c r="F519" s="28" t="n"/>
      <c r="G519" s="28" t="n"/>
      <c r="H519" s="28" t="n"/>
      <c r="I519" s="28" t="n"/>
      <c r="J519" s="28" t="n"/>
      <c r="K519" s="28" t="n"/>
    </row>
    <row r="520" ht="12.75" customHeight="1">
      <c r="A520" s="28" t="n"/>
      <c r="B520" s="28" t="n"/>
      <c r="C520" s="28" t="n"/>
      <c r="D520" s="28" t="n"/>
      <c r="E520" s="28" t="n"/>
      <c r="F520" s="28" t="n"/>
      <c r="G520" s="28" t="n"/>
      <c r="H520" s="28" t="n"/>
      <c r="I520" s="28" t="n"/>
      <c r="J520" s="28" t="n"/>
      <c r="K520" s="28" t="n"/>
    </row>
    <row r="521" ht="12.75" customHeight="1">
      <c r="A521" s="28" t="n"/>
      <c r="B521" s="28" t="n"/>
      <c r="C521" s="28" t="n"/>
      <c r="D521" s="28" t="n"/>
      <c r="E521" s="28" t="n"/>
      <c r="F521" s="28" t="n"/>
      <c r="G521" s="28" t="n"/>
      <c r="H521" s="28" t="n"/>
      <c r="I521" s="28" t="n"/>
      <c r="J521" s="28" t="n"/>
      <c r="K521" s="28" t="n"/>
    </row>
    <row r="522" ht="12.75" customHeight="1">
      <c r="A522" s="28" t="n"/>
      <c r="B522" s="28" t="n"/>
      <c r="C522" s="28" t="n"/>
      <c r="D522" s="28" t="n"/>
      <c r="E522" s="28" t="n"/>
      <c r="F522" s="28" t="n"/>
      <c r="G522" s="28" t="n"/>
      <c r="H522" s="28" t="n"/>
      <c r="I522" s="28" t="n"/>
      <c r="J522" s="28" t="n"/>
      <c r="K522" s="28" t="n"/>
    </row>
    <row r="523" ht="12.75" customHeight="1">
      <c r="A523" s="28" t="n"/>
      <c r="B523" s="28" t="n"/>
      <c r="C523" s="28" t="n"/>
      <c r="D523" s="28" t="n"/>
      <c r="E523" s="28" t="n"/>
      <c r="F523" s="28" t="n"/>
      <c r="G523" s="28" t="n"/>
      <c r="H523" s="28" t="n"/>
      <c r="I523" s="28" t="n"/>
      <c r="J523" s="28" t="n"/>
      <c r="K523" s="28" t="n"/>
    </row>
    <row r="524" ht="12.75" customHeight="1">
      <c r="A524" s="28" t="n"/>
      <c r="B524" s="28" t="n"/>
      <c r="C524" s="28" t="n"/>
      <c r="D524" s="28" t="n"/>
      <c r="E524" s="28" t="n"/>
      <c r="F524" s="28" t="n"/>
      <c r="G524" s="28" t="n"/>
      <c r="H524" s="28" t="n"/>
      <c r="I524" s="28" t="n"/>
      <c r="J524" s="28" t="n"/>
      <c r="K524" s="28" t="n"/>
    </row>
    <row r="525" ht="12.75" customHeight="1">
      <c r="A525" s="28" t="n"/>
      <c r="B525" s="28" t="n"/>
      <c r="C525" s="28" t="n"/>
      <c r="D525" s="28" t="n"/>
      <c r="E525" s="28" t="n"/>
      <c r="F525" s="28" t="n"/>
      <c r="G525" s="28" t="n"/>
      <c r="H525" s="28" t="n"/>
      <c r="I525" s="28" t="n"/>
      <c r="J525" s="28" t="n"/>
      <c r="K525" s="28" t="n"/>
    </row>
    <row r="526" ht="12.75" customHeight="1">
      <c r="A526" s="28" t="n"/>
      <c r="B526" s="28" t="n"/>
      <c r="C526" s="28" t="n"/>
      <c r="D526" s="28" t="n"/>
      <c r="E526" s="28" t="n"/>
      <c r="F526" s="28" t="n"/>
      <c r="G526" s="28" t="n"/>
      <c r="H526" s="28" t="n"/>
      <c r="I526" s="28" t="n"/>
      <c r="J526" s="28" t="n"/>
      <c r="K526" s="28" t="n"/>
    </row>
    <row r="527" ht="12.75" customHeight="1">
      <c r="A527" s="28" t="n"/>
      <c r="B527" s="28" t="n"/>
      <c r="C527" s="28" t="n"/>
      <c r="D527" s="28" t="n"/>
      <c r="E527" s="28" t="n"/>
      <c r="F527" s="28" t="n"/>
      <c r="G527" s="28" t="n"/>
      <c r="H527" s="28" t="n"/>
      <c r="I527" s="28" t="n"/>
      <c r="J527" s="28" t="n"/>
      <c r="K527" s="28" t="n"/>
    </row>
    <row r="528" ht="12.75" customHeight="1">
      <c r="A528" s="28" t="n"/>
      <c r="B528" s="28" t="n"/>
      <c r="C528" s="28" t="n"/>
      <c r="D528" s="28" t="n"/>
      <c r="E528" s="28" t="n"/>
      <c r="F528" s="28" t="n"/>
      <c r="G528" s="28" t="n"/>
      <c r="H528" s="28" t="n"/>
      <c r="I528" s="28" t="n"/>
      <c r="J528" s="28" t="n"/>
      <c r="K528" s="28" t="n"/>
    </row>
    <row r="529" ht="12.75" customHeight="1">
      <c r="A529" s="28" t="n"/>
      <c r="B529" s="28" t="n"/>
      <c r="C529" s="28" t="n"/>
      <c r="D529" s="28" t="n"/>
      <c r="E529" s="28" t="n"/>
      <c r="F529" s="28" t="n"/>
      <c r="G529" s="28" t="n"/>
      <c r="H529" s="28" t="n"/>
      <c r="I529" s="28" t="n"/>
      <c r="J529" s="28" t="n"/>
      <c r="K529" s="28" t="n"/>
    </row>
    <row r="530" ht="12.75" customHeight="1">
      <c r="A530" s="28" t="n"/>
      <c r="B530" s="28" t="n"/>
      <c r="C530" s="28" t="n"/>
      <c r="D530" s="28" t="n"/>
      <c r="E530" s="28" t="n"/>
      <c r="F530" s="28" t="n"/>
      <c r="G530" s="28" t="n"/>
      <c r="H530" s="28" t="n"/>
      <c r="I530" s="28" t="n"/>
      <c r="J530" s="28" t="n"/>
      <c r="K530" s="28" t="n"/>
    </row>
    <row r="531" ht="12.75" customHeight="1">
      <c r="A531" s="28" t="n"/>
      <c r="B531" s="28" t="n"/>
      <c r="C531" s="28" t="n"/>
      <c r="D531" s="28" t="n"/>
      <c r="E531" s="28" t="n"/>
      <c r="F531" s="28" t="n"/>
      <c r="G531" s="28" t="n"/>
      <c r="H531" s="28" t="n"/>
      <c r="I531" s="28" t="n"/>
      <c r="J531" s="28" t="n"/>
      <c r="K531" s="28" t="n"/>
    </row>
    <row r="532" ht="12.75" customHeight="1">
      <c r="A532" s="28" t="n"/>
      <c r="B532" s="28" t="n"/>
      <c r="C532" s="28" t="n"/>
      <c r="D532" s="28" t="n"/>
      <c r="E532" s="28" t="n"/>
      <c r="F532" s="28" t="n"/>
      <c r="G532" s="28" t="n"/>
      <c r="H532" s="28" t="n"/>
      <c r="I532" s="28" t="n"/>
      <c r="J532" s="28" t="n"/>
      <c r="K532" s="28" t="n"/>
    </row>
    <row r="533" ht="12.75" customHeight="1">
      <c r="A533" s="28" t="n"/>
      <c r="B533" s="28" t="n"/>
      <c r="C533" s="28" t="n"/>
      <c r="D533" s="28" t="n"/>
      <c r="E533" s="28" t="n"/>
      <c r="F533" s="28" t="n"/>
      <c r="G533" s="28" t="n"/>
      <c r="H533" s="28" t="n"/>
      <c r="I533" s="28" t="n"/>
      <c r="J533" s="28" t="n"/>
      <c r="K533" s="28" t="n"/>
    </row>
    <row r="534" ht="12.75" customHeight="1">
      <c r="A534" s="28" t="n"/>
      <c r="B534" s="28" t="n"/>
      <c r="C534" s="28" t="n"/>
      <c r="D534" s="28" t="n"/>
      <c r="E534" s="28" t="n"/>
      <c r="F534" s="28" t="n"/>
      <c r="G534" s="28" t="n"/>
      <c r="H534" s="28" t="n"/>
      <c r="I534" s="28" t="n"/>
      <c r="J534" s="28" t="n"/>
      <c r="K534" s="28" t="n"/>
    </row>
    <row r="535" ht="12.75" customHeight="1">
      <c r="A535" s="28" t="n"/>
      <c r="B535" s="28" t="n"/>
      <c r="C535" s="28" t="n"/>
      <c r="D535" s="28" t="n"/>
      <c r="E535" s="28" t="n"/>
      <c r="F535" s="28" t="n"/>
      <c r="G535" s="28" t="n"/>
      <c r="H535" s="28" t="n"/>
      <c r="I535" s="28" t="n"/>
      <c r="J535" s="28" t="n"/>
      <c r="K535" s="28" t="n"/>
    </row>
    <row r="536" ht="12.75" customHeight="1">
      <c r="A536" s="28" t="n"/>
      <c r="B536" s="28" t="n"/>
      <c r="C536" s="28" t="n"/>
      <c r="D536" s="28" t="n"/>
      <c r="E536" s="28" t="n"/>
      <c r="F536" s="28" t="n"/>
      <c r="G536" s="28" t="n"/>
      <c r="H536" s="28" t="n"/>
      <c r="I536" s="28" t="n"/>
      <c r="J536" s="28" t="n"/>
      <c r="K536" s="28" t="n"/>
    </row>
    <row r="537" ht="12.75" customHeight="1">
      <c r="A537" s="28" t="n"/>
      <c r="B537" s="28" t="n"/>
      <c r="C537" s="28" t="n"/>
      <c r="D537" s="28" t="n"/>
      <c r="E537" s="28" t="n"/>
      <c r="F537" s="28" t="n"/>
      <c r="G537" s="28" t="n"/>
      <c r="H537" s="28" t="n"/>
      <c r="I537" s="28" t="n"/>
      <c r="J537" s="28" t="n"/>
      <c r="K537" s="28" t="n"/>
    </row>
    <row r="538" ht="12.75" customHeight="1">
      <c r="A538" s="28" t="n"/>
      <c r="B538" s="28" t="n"/>
      <c r="C538" s="28" t="n"/>
      <c r="D538" s="28" t="n"/>
      <c r="E538" s="28" t="n"/>
      <c r="F538" s="28" t="n"/>
      <c r="G538" s="28" t="n"/>
      <c r="H538" s="28" t="n"/>
      <c r="I538" s="28" t="n"/>
      <c r="J538" s="28" t="n"/>
      <c r="K538" s="28" t="n"/>
    </row>
    <row r="539" ht="12.75" customHeight="1">
      <c r="A539" s="28" t="n"/>
      <c r="B539" s="28" t="n"/>
      <c r="C539" s="28" t="n"/>
      <c r="D539" s="28" t="n"/>
      <c r="E539" s="28" t="n"/>
      <c r="F539" s="28" t="n"/>
      <c r="G539" s="28" t="n"/>
      <c r="H539" s="28" t="n"/>
      <c r="I539" s="28" t="n"/>
      <c r="J539" s="28" t="n"/>
      <c r="K539" s="28" t="n"/>
    </row>
    <row r="540" ht="12.75" customHeight="1">
      <c r="A540" s="28" t="n"/>
      <c r="B540" s="28" t="n"/>
      <c r="C540" s="28" t="n"/>
      <c r="D540" s="28" t="n"/>
      <c r="E540" s="28" t="n"/>
      <c r="F540" s="28" t="n"/>
      <c r="G540" s="28" t="n"/>
      <c r="H540" s="28" t="n"/>
      <c r="I540" s="28" t="n"/>
      <c r="J540" s="28" t="n"/>
      <c r="K540" s="28" t="n"/>
    </row>
    <row r="541" ht="12.75" customHeight="1">
      <c r="A541" s="28" t="n"/>
      <c r="B541" s="28" t="n"/>
      <c r="C541" s="28" t="n"/>
      <c r="D541" s="28" t="n"/>
      <c r="E541" s="28" t="n"/>
      <c r="F541" s="28" t="n"/>
      <c r="G541" s="28" t="n"/>
      <c r="H541" s="28" t="n"/>
      <c r="I541" s="28" t="n"/>
      <c r="J541" s="28" t="n"/>
      <c r="K541" s="28" t="n"/>
    </row>
    <row r="542" ht="12.75" customHeight="1">
      <c r="A542" s="28" t="n"/>
      <c r="B542" s="28" t="n"/>
      <c r="C542" s="28" t="n"/>
      <c r="D542" s="28" t="n"/>
      <c r="E542" s="28" t="n"/>
      <c r="F542" s="28" t="n"/>
      <c r="G542" s="28" t="n"/>
      <c r="H542" s="28" t="n"/>
      <c r="I542" s="28" t="n"/>
      <c r="J542" s="28" t="n"/>
      <c r="K542" s="28" t="n"/>
    </row>
    <row r="543" ht="12.75" customHeight="1">
      <c r="A543" s="28" t="n"/>
      <c r="B543" s="28" t="n"/>
      <c r="C543" s="28" t="n"/>
      <c r="D543" s="28" t="n"/>
      <c r="E543" s="28" t="n"/>
      <c r="F543" s="28" t="n"/>
      <c r="G543" s="28" t="n"/>
      <c r="H543" s="28" t="n"/>
      <c r="I543" s="28" t="n"/>
      <c r="J543" s="28" t="n"/>
      <c r="K543" s="28" t="n"/>
    </row>
    <row r="544" ht="12.75" customHeight="1">
      <c r="A544" s="28" t="n"/>
      <c r="B544" s="28" t="n"/>
      <c r="C544" s="28" t="n"/>
      <c r="D544" s="28" t="n"/>
      <c r="E544" s="28" t="n"/>
      <c r="F544" s="28" t="n"/>
      <c r="G544" s="28" t="n"/>
      <c r="H544" s="28" t="n"/>
      <c r="I544" s="28" t="n"/>
      <c r="J544" s="28" t="n"/>
      <c r="K544" s="28" t="n"/>
    </row>
    <row r="545" ht="12.75" customHeight="1">
      <c r="A545" s="28" t="n"/>
      <c r="B545" s="28" t="n"/>
      <c r="C545" s="28" t="n"/>
      <c r="D545" s="28" t="n"/>
      <c r="E545" s="28" t="n"/>
      <c r="F545" s="28" t="n"/>
      <c r="G545" s="28" t="n"/>
      <c r="H545" s="28" t="n"/>
      <c r="I545" s="28" t="n"/>
      <c r="J545" s="28" t="n"/>
      <c r="K545" s="28" t="n"/>
    </row>
    <row r="546" ht="12.75" customHeight="1">
      <c r="A546" s="28" t="n"/>
      <c r="B546" s="28" t="n"/>
      <c r="C546" s="28" t="n"/>
      <c r="D546" s="28" t="n"/>
      <c r="E546" s="28" t="n"/>
      <c r="F546" s="28" t="n"/>
      <c r="G546" s="28" t="n"/>
      <c r="H546" s="28" t="n"/>
      <c r="I546" s="28" t="n"/>
      <c r="J546" s="28" t="n"/>
      <c r="K546" s="28" t="n"/>
    </row>
    <row r="547" ht="12.75" customHeight="1">
      <c r="A547" s="28" t="n"/>
      <c r="B547" s="28" t="n"/>
      <c r="C547" s="28" t="n"/>
      <c r="D547" s="28" t="n"/>
      <c r="E547" s="28" t="n"/>
      <c r="F547" s="28" t="n"/>
      <c r="G547" s="28" t="n"/>
      <c r="H547" s="28" t="n"/>
      <c r="I547" s="28" t="n"/>
      <c r="J547" s="28" t="n"/>
      <c r="K547" s="28" t="n"/>
    </row>
    <row r="548" ht="12.75" customHeight="1">
      <c r="A548" s="28" t="n"/>
      <c r="B548" s="28" t="n"/>
      <c r="C548" s="28" t="n"/>
      <c r="D548" s="28" t="n"/>
      <c r="E548" s="28" t="n"/>
      <c r="F548" s="28" t="n"/>
      <c r="G548" s="28" t="n"/>
      <c r="H548" s="28" t="n"/>
      <c r="I548" s="28" t="n"/>
      <c r="J548" s="28" t="n"/>
      <c r="K548" s="28" t="n"/>
    </row>
    <row r="549" ht="12.75" customHeight="1">
      <c r="A549" s="28" t="n"/>
      <c r="B549" s="28" t="n"/>
      <c r="C549" s="28" t="n"/>
      <c r="D549" s="28" t="n"/>
      <c r="E549" s="28" t="n"/>
      <c r="F549" s="28" t="n"/>
      <c r="G549" s="28" t="n"/>
      <c r="H549" s="28" t="n"/>
      <c r="I549" s="28" t="n"/>
      <c r="J549" s="28" t="n"/>
      <c r="K549" s="28" t="n"/>
    </row>
    <row r="550" ht="12.75" customHeight="1">
      <c r="A550" s="28" t="n"/>
      <c r="B550" s="28" t="n"/>
      <c r="C550" s="28" t="n"/>
      <c r="D550" s="28" t="n"/>
      <c r="E550" s="28" t="n"/>
      <c r="F550" s="28" t="n"/>
      <c r="G550" s="28" t="n"/>
      <c r="H550" s="28" t="n"/>
      <c r="I550" s="28" t="n"/>
      <c r="J550" s="28" t="n"/>
      <c r="K550" s="28" t="n"/>
    </row>
    <row r="551" ht="12.75" customHeight="1">
      <c r="A551" s="28" t="n"/>
      <c r="B551" s="28" t="n"/>
      <c r="C551" s="28" t="n"/>
      <c r="D551" s="28" t="n"/>
      <c r="E551" s="28" t="n"/>
      <c r="F551" s="28" t="n"/>
      <c r="G551" s="28" t="n"/>
      <c r="H551" s="28" t="n"/>
      <c r="I551" s="28" t="n"/>
      <c r="J551" s="28" t="n"/>
      <c r="K551" s="28" t="n"/>
    </row>
    <row r="552" ht="12.75" customHeight="1">
      <c r="A552" s="28" t="n"/>
      <c r="B552" s="28" t="n"/>
      <c r="C552" s="28" t="n"/>
      <c r="D552" s="28" t="n"/>
      <c r="E552" s="28" t="n"/>
      <c r="F552" s="28" t="n"/>
      <c r="G552" s="28" t="n"/>
      <c r="H552" s="28" t="n"/>
      <c r="I552" s="28" t="n"/>
      <c r="J552" s="28" t="n"/>
      <c r="K552" s="28" t="n"/>
    </row>
    <row r="553" ht="12.75" customHeight="1">
      <c r="A553" s="28" t="n"/>
      <c r="B553" s="28" t="n"/>
      <c r="C553" s="28" t="n"/>
      <c r="D553" s="28" t="n"/>
      <c r="E553" s="28" t="n"/>
      <c r="F553" s="28" t="n"/>
      <c r="G553" s="28" t="n"/>
      <c r="H553" s="28" t="n"/>
      <c r="I553" s="28" t="n"/>
      <c r="J553" s="28" t="n"/>
      <c r="K553" s="28" t="n"/>
    </row>
    <row r="554" ht="12.75" customHeight="1">
      <c r="A554" s="28" t="n"/>
      <c r="B554" s="28" t="n"/>
      <c r="C554" s="28" t="n"/>
      <c r="D554" s="28" t="n"/>
      <c r="E554" s="28" t="n"/>
      <c r="F554" s="28" t="n"/>
      <c r="G554" s="28" t="n"/>
      <c r="H554" s="28" t="n"/>
      <c r="I554" s="28" t="n"/>
      <c r="J554" s="28" t="n"/>
      <c r="K554" s="28" t="n"/>
    </row>
    <row r="555" ht="12.75" customHeight="1">
      <c r="A555" s="28" t="n"/>
      <c r="B555" s="28" t="n"/>
      <c r="C555" s="28" t="n"/>
      <c r="D555" s="28" t="n"/>
      <c r="E555" s="28" t="n"/>
      <c r="F555" s="28" t="n"/>
      <c r="G555" s="28" t="n"/>
      <c r="H555" s="28" t="n"/>
      <c r="I555" s="28" t="n"/>
      <c r="J555" s="28" t="n"/>
      <c r="K555" s="28" t="n"/>
    </row>
    <row r="556" ht="12.75" customHeight="1">
      <c r="A556" s="28" t="n"/>
      <c r="B556" s="28" t="n"/>
      <c r="C556" s="28" t="n"/>
      <c r="D556" s="28" t="n"/>
      <c r="E556" s="28" t="n"/>
      <c r="F556" s="28" t="n"/>
      <c r="G556" s="28" t="n"/>
      <c r="H556" s="28" t="n"/>
      <c r="I556" s="28" t="n"/>
      <c r="J556" s="28" t="n"/>
      <c r="K556" s="28" t="n"/>
    </row>
    <row r="557" ht="12.75" customHeight="1">
      <c r="A557" s="28" t="n"/>
      <c r="B557" s="28" t="n"/>
      <c r="C557" s="28" t="n"/>
      <c r="D557" s="28" t="n"/>
      <c r="E557" s="28" t="n"/>
      <c r="F557" s="28" t="n"/>
      <c r="G557" s="28" t="n"/>
      <c r="H557" s="28" t="n"/>
      <c r="I557" s="28" t="n"/>
      <c r="J557" s="28" t="n"/>
      <c r="K557" s="28" t="n"/>
    </row>
    <row r="558" ht="12.75" customHeight="1">
      <c r="A558" s="28" t="n"/>
      <c r="B558" s="28" t="n"/>
      <c r="C558" s="28" t="n"/>
      <c r="D558" s="28" t="n"/>
      <c r="E558" s="28" t="n"/>
      <c r="F558" s="28" t="n"/>
      <c r="G558" s="28" t="n"/>
      <c r="H558" s="28" t="n"/>
      <c r="I558" s="28" t="n"/>
      <c r="J558" s="28" t="n"/>
      <c r="K558" s="28" t="n"/>
    </row>
    <row r="559" ht="12.75" customHeight="1">
      <c r="A559" s="28" t="n"/>
      <c r="B559" s="28" t="n"/>
      <c r="C559" s="28" t="n"/>
      <c r="D559" s="28" t="n"/>
      <c r="E559" s="28" t="n"/>
      <c r="F559" s="28" t="n"/>
      <c r="G559" s="28" t="n"/>
      <c r="H559" s="28" t="n"/>
      <c r="I559" s="28" t="n"/>
      <c r="J559" s="28" t="n"/>
      <c r="K559" s="28" t="n"/>
    </row>
    <row r="560" ht="12.75" customHeight="1">
      <c r="A560" s="28" t="n"/>
      <c r="B560" s="28" t="n"/>
      <c r="C560" s="28" t="n"/>
      <c r="D560" s="28" t="n"/>
      <c r="E560" s="28" t="n"/>
      <c r="F560" s="28" t="n"/>
      <c r="G560" s="28" t="n"/>
      <c r="H560" s="28" t="n"/>
      <c r="I560" s="28" t="n"/>
      <c r="J560" s="28" t="n"/>
      <c r="K560" s="28" t="n"/>
    </row>
    <row r="561" ht="12.75" customHeight="1">
      <c r="A561" s="28" t="n"/>
      <c r="B561" s="28" t="n"/>
      <c r="C561" s="28" t="n"/>
      <c r="D561" s="28" t="n"/>
      <c r="E561" s="28" t="n"/>
      <c r="F561" s="28" t="n"/>
      <c r="G561" s="28" t="n"/>
      <c r="H561" s="28" t="n"/>
      <c r="I561" s="28" t="n"/>
      <c r="J561" s="28" t="n"/>
      <c r="K561" s="28" t="n"/>
    </row>
    <row r="562" ht="12.75" customHeight="1">
      <c r="A562" s="28" t="n"/>
      <c r="B562" s="28" t="n"/>
      <c r="C562" s="28" t="n"/>
      <c r="D562" s="28" t="n"/>
      <c r="E562" s="28" t="n"/>
      <c r="F562" s="28" t="n"/>
      <c r="G562" s="28" t="n"/>
      <c r="H562" s="28" t="n"/>
      <c r="I562" s="28" t="n"/>
      <c r="J562" s="28" t="n"/>
      <c r="K562" s="28" t="n"/>
    </row>
    <row r="563" ht="12.75" customHeight="1">
      <c r="A563" s="28" t="n"/>
      <c r="B563" s="28" t="n"/>
      <c r="C563" s="28" t="n"/>
      <c r="D563" s="28" t="n"/>
      <c r="E563" s="28" t="n"/>
      <c r="F563" s="28" t="n"/>
      <c r="G563" s="28" t="n"/>
      <c r="H563" s="28" t="n"/>
      <c r="I563" s="28" t="n"/>
      <c r="J563" s="28" t="n"/>
      <c r="K563" s="28" t="n"/>
    </row>
    <row r="564" ht="12.75" customHeight="1">
      <c r="A564" s="28" t="n"/>
      <c r="B564" s="28" t="n"/>
      <c r="C564" s="28" t="n"/>
      <c r="D564" s="28" t="n"/>
      <c r="E564" s="28" t="n"/>
      <c r="F564" s="28" t="n"/>
      <c r="G564" s="28" t="n"/>
      <c r="H564" s="28" t="n"/>
      <c r="I564" s="28" t="n"/>
      <c r="J564" s="28" t="n"/>
      <c r="K564" s="28" t="n"/>
    </row>
    <row r="565" ht="12.75" customHeight="1">
      <c r="A565" s="28" t="n"/>
      <c r="B565" s="28" t="n"/>
      <c r="C565" s="28" t="n"/>
      <c r="D565" s="28" t="n"/>
      <c r="E565" s="28" t="n"/>
      <c r="F565" s="28" t="n"/>
      <c r="G565" s="28" t="n"/>
      <c r="H565" s="28" t="n"/>
      <c r="I565" s="28" t="n"/>
      <c r="J565" s="28" t="n"/>
      <c r="K565" s="28" t="n"/>
    </row>
    <row r="566" ht="12.75" customHeight="1">
      <c r="A566" s="28" t="n"/>
      <c r="B566" s="28" t="n"/>
      <c r="C566" s="28" t="n"/>
      <c r="D566" s="28" t="n"/>
      <c r="E566" s="28" t="n"/>
      <c r="F566" s="28" t="n"/>
      <c r="G566" s="28" t="n"/>
      <c r="H566" s="28" t="n"/>
      <c r="I566" s="28" t="n"/>
      <c r="J566" s="28" t="n"/>
      <c r="K566" s="28" t="n"/>
    </row>
    <row r="567" ht="12.75" customHeight="1">
      <c r="A567" s="28" t="n"/>
      <c r="B567" s="28" t="n"/>
      <c r="C567" s="28" t="n"/>
      <c r="D567" s="28" t="n"/>
      <c r="E567" s="28" t="n"/>
      <c r="F567" s="28" t="n"/>
      <c r="G567" s="28" t="n"/>
      <c r="H567" s="28" t="n"/>
      <c r="I567" s="28" t="n"/>
      <c r="J567" s="28" t="n"/>
      <c r="K567" s="28" t="n"/>
    </row>
    <row r="568" ht="12.75" customHeight="1">
      <c r="A568" s="28" t="n"/>
      <c r="B568" s="28" t="n"/>
      <c r="C568" s="28" t="n"/>
      <c r="D568" s="28" t="n"/>
      <c r="E568" s="28" t="n"/>
      <c r="F568" s="28" t="n"/>
      <c r="G568" s="28" t="n"/>
      <c r="H568" s="28" t="n"/>
      <c r="I568" s="28" t="n"/>
      <c r="J568" s="28" t="n"/>
      <c r="K568" s="28" t="n"/>
    </row>
    <row r="569" ht="12.75" customHeight="1">
      <c r="A569" s="28" t="n"/>
      <c r="B569" s="28" t="n"/>
      <c r="C569" s="28" t="n"/>
      <c r="D569" s="28" t="n"/>
      <c r="E569" s="28" t="n"/>
      <c r="F569" s="28" t="n"/>
      <c r="G569" s="28" t="n"/>
      <c r="H569" s="28" t="n"/>
      <c r="I569" s="28" t="n"/>
      <c r="J569" s="28" t="n"/>
      <c r="K569" s="28" t="n"/>
    </row>
    <row r="570" ht="12.75" customHeight="1">
      <c r="A570" s="28" t="n"/>
      <c r="B570" s="28" t="n"/>
      <c r="C570" s="28" t="n"/>
      <c r="D570" s="28" t="n"/>
      <c r="E570" s="28" t="n"/>
      <c r="F570" s="28" t="n"/>
      <c r="G570" s="28" t="n"/>
      <c r="H570" s="28" t="n"/>
      <c r="I570" s="28" t="n"/>
      <c r="J570" s="28" t="n"/>
      <c r="K570" s="28" t="n"/>
    </row>
    <row r="571" ht="12.75" customHeight="1">
      <c r="A571" s="28" t="n"/>
      <c r="B571" s="28" t="n"/>
      <c r="C571" s="28" t="n"/>
      <c r="D571" s="28" t="n"/>
      <c r="E571" s="28" t="n"/>
      <c r="F571" s="28" t="n"/>
      <c r="G571" s="28" t="n"/>
      <c r="H571" s="28" t="n"/>
      <c r="I571" s="28" t="n"/>
      <c r="J571" s="28" t="n"/>
      <c r="K571" s="28" t="n"/>
    </row>
    <row r="572" ht="12.75" customHeight="1">
      <c r="A572" s="28" t="n"/>
      <c r="B572" s="28" t="n"/>
      <c r="C572" s="28" t="n"/>
      <c r="D572" s="28" t="n"/>
      <c r="E572" s="28" t="n"/>
      <c r="F572" s="28" t="n"/>
      <c r="G572" s="28" t="n"/>
      <c r="H572" s="28" t="n"/>
      <c r="I572" s="28" t="n"/>
      <c r="J572" s="28" t="n"/>
      <c r="K572" s="28" t="n"/>
    </row>
    <row r="573" ht="12.75" customHeight="1">
      <c r="A573" s="28" t="n"/>
      <c r="B573" s="28" t="n"/>
      <c r="C573" s="28" t="n"/>
      <c r="D573" s="28" t="n"/>
      <c r="E573" s="28" t="n"/>
      <c r="F573" s="28" t="n"/>
      <c r="G573" s="28" t="n"/>
      <c r="H573" s="28" t="n"/>
      <c r="I573" s="28" t="n"/>
      <c r="J573" s="28" t="n"/>
      <c r="K573" s="28" t="n"/>
    </row>
    <row r="574" ht="12.75" customHeight="1">
      <c r="A574" s="28" t="n"/>
      <c r="B574" s="28" t="n"/>
      <c r="C574" s="28" t="n"/>
      <c r="D574" s="28" t="n"/>
      <c r="E574" s="28" t="n"/>
      <c r="F574" s="28" t="n"/>
      <c r="G574" s="28" t="n"/>
      <c r="H574" s="28" t="n"/>
      <c r="I574" s="28" t="n"/>
      <c r="J574" s="28" t="n"/>
      <c r="K574" s="28" t="n"/>
    </row>
    <row r="575" ht="12.75" customHeight="1">
      <c r="A575" s="28" t="n"/>
      <c r="B575" s="28" t="n"/>
      <c r="C575" s="28" t="n"/>
      <c r="D575" s="28" t="n"/>
      <c r="E575" s="28" t="n"/>
      <c r="F575" s="28" t="n"/>
      <c r="G575" s="28" t="n"/>
      <c r="H575" s="28" t="n"/>
      <c r="I575" s="28" t="n"/>
      <c r="J575" s="28" t="n"/>
      <c r="K575" s="28" t="n"/>
    </row>
    <row r="576" ht="12.75" customHeight="1">
      <c r="A576" s="28" t="n"/>
      <c r="B576" s="28" t="n"/>
      <c r="C576" s="28" t="n"/>
      <c r="D576" s="28" t="n"/>
      <c r="E576" s="28" t="n"/>
      <c r="F576" s="28" t="n"/>
      <c r="G576" s="28" t="n"/>
      <c r="H576" s="28" t="n"/>
      <c r="I576" s="28" t="n"/>
      <c r="J576" s="28" t="n"/>
      <c r="K576" s="28" t="n"/>
    </row>
    <row r="577" ht="12.75" customHeight="1">
      <c r="A577" s="28" t="n"/>
      <c r="B577" s="28" t="n"/>
      <c r="C577" s="28" t="n"/>
      <c r="D577" s="28" t="n"/>
      <c r="E577" s="28" t="n"/>
      <c r="F577" s="28" t="n"/>
      <c r="G577" s="28" t="n"/>
      <c r="H577" s="28" t="n"/>
      <c r="I577" s="28" t="n"/>
      <c r="J577" s="28" t="n"/>
      <c r="K577" s="28" t="n"/>
    </row>
    <row r="578" ht="12.75" customHeight="1">
      <c r="A578" s="28" t="n"/>
      <c r="B578" s="28" t="n"/>
      <c r="C578" s="28" t="n"/>
      <c r="D578" s="28" t="n"/>
      <c r="E578" s="28" t="n"/>
      <c r="F578" s="28" t="n"/>
      <c r="G578" s="28" t="n"/>
      <c r="H578" s="28" t="n"/>
      <c r="I578" s="28" t="n"/>
      <c r="J578" s="28" t="n"/>
      <c r="K578" s="28" t="n"/>
    </row>
    <row r="579" ht="12.75" customHeight="1">
      <c r="A579" s="28" t="n"/>
      <c r="B579" s="28" t="n"/>
      <c r="C579" s="28" t="n"/>
      <c r="D579" s="28" t="n"/>
      <c r="E579" s="28" t="n"/>
      <c r="F579" s="28" t="n"/>
      <c r="G579" s="28" t="n"/>
      <c r="H579" s="28" t="n"/>
      <c r="I579" s="28" t="n"/>
      <c r="J579" s="28" t="n"/>
      <c r="K579" s="28" t="n"/>
    </row>
    <row r="580" ht="12.75" customHeight="1">
      <c r="A580" s="28" t="n"/>
      <c r="B580" s="28" t="n"/>
      <c r="C580" s="28" t="n"/>
      <c r="D580" s="28" t="n"/>
      <c r="E580" s="28" t="n"/>
      <c r="F580" s="28" t="n"/>
      <c r="G580" s="28" t="n"/>
      <c r="H580" s="28" t="n"/>
      <c r="I580" s="28" t="n"/>
      <c r="J580" s="28" t="n"/>
      <c r="K580" s="28" t="n"/>
    </row>
    <row r="581" ht="12.75" customHeight="1">
      <c r="A581" s="28" t="n"/>
      <c r="B581" s="28" t="n"/>
      <c r="C581" s="28" t="n"/>
      <c r="D581" s="28" t="n"/>
      <c r="E581" s="28" t="n"/>
      <c r="F581" s="28" t="n"/>
      <c r="G581" s="28" t="n"/>
      <c r="H581" s="28" t="n"/>
      <c r="I581" s="28" t="n"/>
      <c r="J581" s="28" t="n"/>
      <c r="K581" s="28" t="n"/>
    </row>
    <row r="582" ht="12.75" customHeight="1">
      <c r="A582" s="28" t="n"/>
      <c r="B582" s="28" t="n"/>
      <c r="C582" s="28" t="n"/>
      <c r="D582" s="28" t="n"/>
      <c r="E582" s="28" t="n"/>
      <c r="F582" s="28" t="n"/>
      <c r="G582" s="28" t="n"/>
      <c r="H582" s="28" t="n"/>
      <c r="I582" s="28" t="n"/>
      <c r="J582" s="28" t="n"/>
      <c r="K582" s="28" t="n"/>
    </row>
    <row r="583" ht="12.75" customHeight="1">
      <c r="A583" s="28" t="n"/>
      <c r="B583" s="28" t="n"/>
      <c r="C583" s="28" t="n"/>
      <c r="D583" s="28" t="n"/>
      <c r="E583" s="28" t="n"/>
      <c r="F583" s="28" t="n"/>
      <c r="G583" s="28" t="n"/>
      <c r="H583" s="28" t="n"/>
      <c r="I583" s="28" t="n"/>
      <c r="J583" s="28" t="n"/>
      <c r="K583" s="28" t="n"/>
    </row>
    <row r="584" ht="12.75" customHeight="1">
      <c r="A584" s="28" t="n"/>
      <c r="B584" s="28" t="n"/>
      <c r="C584" s="28" t="n"/>
      <c r="D584" s="28" t="n"/>
      <c r="E584" s="28" t="n"/>
      <c r="F584" s="28" t="n"/>
      <c r="G584" s="28" t="n"/>
      <c r="H584" s="28" t="n"/>
      <c r="I584" s="28" t="n"/>
      <c r="J584" s="28" t="n"/>
      <c r="K584" s="28" t="n"/>
    </row>
    <row r="585" ht="12.75" customHeight="1">
      <c r="A585" s="28" t="n"/>
      <c r="B585" s="28" t="n"/>
      <c r="C585" s="28" t="n"/>
      <c r="D585" s="28" t="n"/>
      <c r="E585" s="28" t="n"/>
      <c r="F585" s="28" t="n"/>
      <c r="G585" s="28" t="n"/>
      <c r="H585" s="28" t="n"/>
      <c r="I585" s="28" t="n"/>
      <c r="J585" s="28" t="n"/>
      <c r="K585" s="28" t="n"/>
    </row>
    <row r="586" ht="12.75" customHeight="1">
      <c r="A586" s="28" t="n"/>
      <c r="B586" s="28" t="n"/>
      <c r="C586" s="28" t="n"/>
      <c r="D586" s="28" t="n"/>
      <c r="E586" s="28" t="n"/>
      <c r="F586" s="28" t="n"/>
      <c r="G586" s="28" t="n"/>
      <c r="H586" s="28" t="n"/>
      <c r="I586" s="28" t="n"/>
      <c r="J586" s="28" t="n"/>
      <c r="K586" s="28" t="n"/>
    </row>
    <row r="587" ht="12.75" customHeight="1">
      <c r="A587" s="28" t="n"/>
      <c r="B587" s="28" t="n"/>
      <c r="C587" s="28" t="n"/>
      <c r="D587" s="28" t="n"/>
      <c r="E587" s="28" t="n"/>
      <c r="F587" s="28" t="n"/>
      <c r="G587" s="28" t="n"/>
      <c r="H587" s="28" t="n"/>
      <c r="I587" s="28" t="n"/>
      <c r="J587" s="28" t="n"/>
      <c r="K587" s="28" t="n"/>
    </row>
    <row r="588" ht="12.75" customHeight="1">
      <c r="A588" s="28" t="n"/>
      <c r="B588" s="28" t="n"/>
      <c r="C588" s="28" t="n"/>
      <c r="D588" s="28" t="n"/>
      <c r="E588" s="28" t="n"/>
      <c r="F588" s="28" t="n"/>
      <c r="G588" s="28" t="n"/>
      <c r="H588" s="28" t="n"/>
      <c r="I588" s="28" t="n"/>
      <c r="J588" s="28" t="n"/>
      <c r="K588" s="28" t="n"/>
    </row>
    <row r="589" ht="12.75" customHeight="1">
      <c r="A589" s="28" t="n"/>
      <c r="B589" s="28" t="n"/>
      <c r="C589" s="28" t="n"/>
      <c r="D589" s="28" t="n"/>
      <c r="E589" s="28" t="n"/>
      <c r="F589" s="28" t="n"/>
      <c r="G589" s="28" t="n"/>
      <c r="H589" s="28" t="n"/>
      <c r="I589" s="28" t="n"/>
      <c r="J589" s="28" t="n"/>
      <c r="K589" s="28" t="n"/>
    </row>
    <row r="590" ht="12.75" customHeight="1">
      <c r="A590" s="28" t="n"/>
      <c r="B590" s="28" t="n"/>
      <c r="C590" s="28" t="n"/>
      <c r="D590" s="28" t="n"/>
      <c r="E590" s="28" t="n"/>
      <c r="F590" s="28" t="n"/>
      <c r="G590" s="28" t="n"/>
      <c r="H590" s="28" t="n"/>
      <c r="I590" s="28" t="n"/>
      <c r="J590" s="28" t="n"/>
      <c r="K590" s="28" t="n"/>
    </row>
    <row r="591" ht="12.75" customHeight="1">
      <c r="A591" s="28" t="n"/>
      <c r="B591" s="28" t="n"/>
      <c r="C591" s="28" t="n"/>
      <c r="D591" s="28" t="n"/>
      <c r="E591" s="28" t="n"/>
      <c r="F591" s="28" t="n"/>
      <c r="G591" s="28" t="n"/>
      <c r="H591" s="28" t="n"/>
      <c r="I591" s="28" t="n"/>
      <c r="J591" s="28" t="n"/>
      <c r="K591" s="28" t="n"/>
    </row>
    <row r="592" ht="12.75" customHeight="1">
      <c r="A592" s="28" t="n"/>
      <c r="B592" s="28" t="n"/>
      <c r="C592" s="28" t="n"/>
      <c r="D592" s="28" t="n"/>
      <c r="E592" s="28" t="n"/>
      <c r="F592" s="28" t="n"/>
      <c r="G592" s="28" t="n"/>
      <c r="H592" s="28" t="n"/>
      <c r="I592" s="28" t="n"/>
      <c r="J592" s="28" t="n"/>
      <c r="K592" s="28" t="n"/>
    </row>
    <row r="593" ht="12.75" customHeight="1">
      <c r="A593" s="28" t="n"/>
      <c r="B593" s="28" t="n"/>
      <c r="C593" s="28" t="n"/>
      <c r="D593" s="28" t="n"/>
      <c r="E593" s="28" t="n"/>
      <c r="F593" s="28" t="n"/>
      <c r="G593" s="28" t="n"/>
      <c r="H593" s="28" t="n"/>
      <c r="I593" s="28" t="n"/>
      <c r="J593" s="28" t="n"/>
      <c r="K593" s="28" t="n"/>
    </row>
    <row r="594" ht="12.75" customHeight="1">
      <c r="A594" s="28" t="n"/>
      <c r="B594" s="28" t="n"/>
      <c r="C594" s="28" t="n"/>
      <c r="D594" s="28" t="n"/>
      <c r="E594" s="28" t="n"/>
      <c r="F594" s="28" t="n"/>
      <c r="G594" s="28" t="n"/>
      <c r="H594" s="28" t="n"/>
      <c r="I594" s="28" t="n"/>
      <c r="J594" s="28" t="n"/>
      <c r="K594" s="28" t="n"/>
    </row>
    <row r="595" ht="12.75" customHeight="1">
      <c r="A595" s="28" t="n"/>
      <c r="B595" s="28" t="n"/>
      <c r="C595" s="28" t="n"/>
      <c r="D595" s="28" t="n"/>
      <c r="E595" s="28" t="n"/>
      <c r="F595" s="28" t="n"/>
      <c r="G595" s="28" t="n"/>
      <c r="H595" s="28" t="n"/>
      <c r="I595" s="28" t="n"/>
      <c r="J595" s="28" t="n"/>
      <c r="K595" s="28" t="n"/>
    </row>
    <row r="596" ht="12.75" customHeight="1">
      <c r="A596" s="28" t="n"/>
      <c r="B596" s="28" t="n"/>
      <c r="C596" s="28" t="n"/>
      <c r="D596" s="28" t="n"/>
      <c r="E596" s="28" t="n"/>
      <c r="F596" s="28" t="n"/>
      <c r="G596" s="28" t="n"/>
      <c r="H596" s="28" t="n"/>
      <c r="I596" s="28" t="n"/>
      <c r="J596" s="28" t="n"/>
      <c r="K596" s="28" t="n"/>
    </row>
    <row r="597" ht="12.75" customHeight="1">
      <c r="A597" s="28" t="n"/>
      <c r="B597" s="28" t="n"/>
      <c r="C597" s="28" t="n"/>
      <c r="D597" s="28" t="n"/>
      <c r="E597" s="28" t="n"/>
      <c r="F597" s="28" t="n"/>
      <c r="G597" s="28" t="n"/>
      <c r="H597" s="28" t="n"/>
      <c r="I597" s="28" t="n"/>
      <c r="J597" s="28" t="n"/>
      <c r="K597" s="28" t="n"/>
    </row>
    <row r="598" ht="12.75" customHeight="1">
      <c r="A598" s="28" t="n"/>
      <c r="B598" s="28" t="n"/>
      <c r="C598" s="28" t="n"/>
      <c r="D598" s="28" t="n"/>
      <c r="E598" s="28" t="n"/>
      <c r="F598" s="28" t="n"/>
      <c r="G598" s="28" t="n"/>
      <c r="H598" s="28" t="n"/>
      <c r="I598" s="28" t="n"/>
      <c r="J598" s="28" t="n"/>
      <c r="K598" s="28" t="n"/>
    </row>
    <row r="599" ht="12.75" customHeight="1">
      <c r="A599" s="28" t="n"/>
      <c r="B599" s="28" t="n"/>
      <c r="C599" s="28" t="n"/>
      <c r="D599" s="28" t="n"/>
      <c r="E599" s="28" t="n"/>
      <c r="F599" s="28" t="n"/>
      <c r="G599" s="28" t="n"/>
      <c r="H599" s="28" t="n"/>
      <c r="I599" s="28" t="n"/>
      <c r="J599" s="28" t="n"/>
      <c r="K599" s="28" t="n"/>
    </row>
    <row r="600" ht="12.75" customHeight="1">
      <c r="A600" s="28" t="n"/>
      <c r="B600" s="28" t="n"/>
      <c r="C600" s="28" t="n"/>
      <c r="D600" s="28" t="n"/>
      <c r="E600" s="28" t="n"/>
      <c r="F600" s="28" t="n"/>
      <c r="G600" s="28" t="n"/>
      <c r="H600" s="28" t="n"/>
      <c r="I600" s="28" t="n"/>
      <c r="J600" s="28" t="n"/>
      <c r="K600" s="28" t="n"/>
    </row>
    <row r="601" ht="12.75" customHeight="1">
      <c r="A601" s="28" t="n"/>
      <c r="B601" s="28" t="n"/>
      <c r="C601" s="28" t="n"/>
      <c r="D601" s="28" t="n"/>
      <c r="E601" s="28" t="n"/>
      <c r="F601" s="28" t="n"/>
      <c r="G601" s="28" t="n"/>
      <c r="H601" s="28" t="n"/>
      <c r="I601" s="28" t="n"/>
      <c r="J601" s="28" t="n"/>
      <c r="K601" s="28" t="n"/>
    </row>
    <row r="602" ht="12.75" customHeight="1">
      <c r="A602" s="28" t="n"/>
      <c r="B602" s="28" t="n"/>
      <c r="C602" s="28" t="n"/>
      <c r="D602" s="28" t="n"/>
      <c r="E602" s="28" t="n"/>
      <c r="F602" s="28" t="n"/>
      <c r="G602" s="28" t="n"/>
      <c r="H602" s="28" t="n"/>
      <c r="I602" s="28" t="n"/>
      <c r="J602" s="28" t="n"/>
      <c r="K602" s="28" t="n"/>
    </row>
    <row r="603" ht="12.75" customHeight="1">
      <c r="A603" s="28" t="n"/>
      <c r="B603" s="28" t="n"/>
      <c r="C603" s="28" t="n"/>
      <c r="D603" s="28" t="n"/>
      <c r="E603" s="28" t="n"/>
      <c r="F603" s="28" t="n"/>
      <c r="G603" s="28" t="n"/>
      <c r="H603" s="28" t="n"/>
      <c r="I603" s="28" t="n"/>
      <c r="J603" s="28" t="n"/>
      <c r="K603" s="28" t="n"/>
    </row>
    <row r="604" ht="12.75" customHeight="1">
      <c r="A604" s="28" t="n"/>
      <c r="B604" s="28" t="n"/>
      <c r="C604" s="28" t="n"/>
      <c r="D604" s="28" t="n"/>
      <c r="E604" s="28" t="n"/>
      <c r="F604" s="28" t="n"/>
      <c r="G604" s="28" t="n"/>
      <c r="H604" s="28" t="n"/>
      <c r="I604" s="28" t="n"/>
      <c r="J604" s="28" t="n"/>
      <c r="K604" s="28" t="n"/>
    </row>
    <row r="605" ht="12.75" customHeight="1">
      <c r="A605" s="28" t="n"/>
      <c r="B605" s="28" t="n"/>
      <c r="C605" s="28" t="n"/>
      <c r="D605" s="28" t="n"/>
      <c r="E605" s="28" t="n"/>
      <c r="F605" s="28" t="n"/>
      <c r="G605" s="28" t="n"/>
      <c r="H605" s="28" t="n"/>
      <c r="I605" s="28" t="n"/>
      <c r="J605" s="28" t="n"/>
      <c r="K605" s="28" t="n"/>
    </row>
    <row r="606" ht="12.75" customHeight="1">
      <c r="A606" s="28" t="n"/>
      <c r="B606" s="28" t="n"/>
      <c r="C606" s="28" t="n"/>
      <c r="D606" s="28" t="n"/>
      <c r="E606" s="28" t="n"/>
      <c r="F606" s="28" t="n"/>
      <c r="G606" s="28" t="n"/>
      <c r="H606" s="28" t="n"/>
      <c r="I606" s="28" t="n"/>
      <c r="J606" s="28" t="n"/>
      <c r="K606" s="28" t="n"/>
    </row>
    <row r="607" ht="12.75" customHeight="1">
      <c r="A607" s="28" t="n"/>
      <c r="B607" s="28" t="n"/>
      <c r="C607" s="28" t="n"/>
      <c r="D607" s="28" t="n"/>
      <c r="E607" s="28" t="n"/>
      <c r="F607" s="28" t="n"/>
      <c r="G607" s="28" t="n"/>
      <c r="H607" s="28" t="n"/>
      <c r="I607" s="28" t="n"/>
      <c r="J607" s="28" t="n"/>
      <c r="K607" s="28" t="n"/>
    </row>
    <row r="608" ht="12.75" customHeight="1">
      <c r="A608" s="28" t="n"/>
      <c r="B608" s="28" t="n"/>
      <c r="C608" s="28" t="n"/>
      <c r="D608" s="28" t="n"/>
      <c r="E608" s="28" t="n"/>
      <c r="F608" s="28" t="n"/>
      <c r="G608" s="28" t="n"/>
      <c r="H608" s="28" t="n"/>
      <c r="I608" s="28" t="n"/>
      <c r="J608" s="28" t="n"/>
      <c r="K608" s="28" t="n"/>
    </row>
    <row r="609" ht="12.75" customHeight="1">
      <c r="A609" s="28" t="n"/>
      <c r="B609" s="28" t="n"/>
      <c r="C609" s="28" t="n"/>
      <c r="D609" s="28" t="n"/>
      <c r="E609" s="28" t="n"/>
      <c r="F609" s="28" t="n"/>
      <c r="G609" s="28" t="n"/>
      <c r="H609" s="28" t="n"/>
      <c r="I609" s="28" t="n"/>
      <c r="J609" s="28" t="n"/>
      <c r="K609" s="28" t="n"/>
    </row>
    <row r="610" ht="12.75" customHeight="1">
      <c r="A610" s="28" t="n"/>
      <c r="B610" s="28" t="n"/>
      <c r="C610" s="28" t="n"/>
      <c r="D610" s="28" t="n"/>
      <c r="E610" s="28" t="n"/>
      <c r="F610" s="28" t="n"/>
      <c r="G610" s="28" t="n"/>
      <c r="H610" s="28" t="n"/>
      <c r="I610" s="28" t="n"/>
      <c r="J610" s="28" t="n"/>
      <c r="K610" s="28" t="n"/>
    </row>
    <row r="611" ht="12.75" customHeight="1">
      <c r="A611" s="28" t="n"/>
      <c r="B611" s="28" t="n"/>
      <c r="C611" s="28" t="n"/>
      <c r="D611" s="28" t="n"/>
      <c r="E611" s="28" t="n"/>
      <c r="F611" s="28" t="n"/>
      <c r="G611" s="28" t="n"/>
      <c r="H611" s="28" t="n"/>
      <c r="I611" s="28" t="n"/>
      <c r="J611" s="28" t="n"/>
      <c r="K611" s="28" t="n"/>
    </row>
    <row r="612" ht="12.75" customHeight="1">
      <c r="A612" s="28" t="n"/>
      <c r="B612" s="28" t="n"/>
      <c r="C612" s="28" t="n"/>
      <c r="D612" s="28" t="n"/>
      <c r="E612" s="28" t="n"/>
      <c r="F612" s="28" t="n"/>
      <c r="G612" s="28" t="n"/>
      <c r="H612" s="28" t="n"/>
      <c r="I612" s="28" t="n"/>
      <c r="J612" s="28" t="n"/>
      <c r="K612" s="28" t="n"/>
    </row>
    <row r="613" ht="12.75" customHeight="1">
      <c r="A613" s="28" t="n"/>
      <c r="B613" s="28" t="n"/>
      <c r="C613" s="28" t="n"/>
      <c r="D613" s="28" t="n"/>
      <c r="E613" s="28" t="n"/>
      <c r="F613" s="28" t="n"/>
      <c r="G613" s="28" t="n"/>
      <c r="H613" s="28" t="n"/>
      <c r="I613" s="28" t="n"/>
      <c r="J613" s="28" t="n"/>
      <c r="K613" s="28" t="n"/>
    </row>
    <row r="614" ht="12.75" customHeight="1">
      <c r="A614" s="28" t="n"/>
      <c r="B614" s="28" t="n"/>
      <c r="C614" s="28" t="n"/>
      <c r="D614" s="28" t="n"/>
      <c r="E614" s="28" t="n"/>
      <c r="F614" s="28" t="n"/>
      <c r="G614" s="28" t="n"/>
      <c r="H614" s="28" t="n"/>
      <c r="I614" s="28" t="n"/>
      <c r="J614" s="28" t="n"/>
      <c r="K614" s="28" t="n"/>
    </row>
    <row r="615" ht="12.75" customHeight="1">
      <c r="A615" s="28" t="n"/>
      <c r="B615" s="28" t="n"/>
      <c r="C615" s="28" t="n"/>
      <c r="D615" s="28" t="n"/>
      <c r="E615" s="28" t="n"/>
      <c r="F615" s="28" t="n"/>
      <c r="G615" s="28" t="n"/>
      <c r="H615" s="28" t="n"/>
      <c r="I615" s="28" t="n"/>
      <c r="J615" s="28" t="n"/>
      <c r="K615" s="28" t="n"/>
    </row>
    <row r="616" ht="12.75" customHeight="1">
      <c r="A616" s="28" t="n"/>
      <c r="B616" s="28" t="n"/>
      <c r="C616" s="28" t="n"/>
      <c r="D616" s="28" t="n"/>
      <c r="E616" s="28" t="n"/>
      <c r="F616" s="28" t="n"/>
      <c r="G616" s="28" t="n"/>
      <c r="H616" s="28" t="n"/>
      <c r="I616" s="28" t="n"/>
      <c r="J616" s="28" t="n"/>
      <c r="K616" s="28" t="n"/>
    </row>
    <row r="617" ht="12.75" customHeight="1">
      <c r="A617" s="28" t="n"/>
      <c r="B617" s="28" t="n"/>
      <c r="C617" s="28" t="n"/>
      <c r="D617" s="28" t="n"/>
      <c r="E617" s="28" t="n"/>
      <c r="F617" s="28" t="n"/>
      <c r="G617" s="28" t="n"/>
      <c r="H617" s="28" t="n"/>
      <c r="I617" s="28" t="n"/>
      <c r="J617" s="28" t="n"/>
      <c r="K617" s="28" t="n"/>
    </row>
    <row r="618" ht="12.75" customHeight="1">
      <c r="A618" s="28" t="n"/>
      <c r="B618" s="28" t="n"/>
      <c r="C618" s="28" t="n"/>
      <c r="D618" s="28" t="n"/>
      <c r="E618" s="28" t="n"/>
      <c r="F618" s="28" t="n"/>
      <c r="G618" s="28" t="n"/>
      <c r="H618" s="28" t="n"/>
      <c r="I618" s="28" t="n"/>
      <c r="J618" s="28" t="n"/>
      <c r="K618" s="28" t="n"/>
    </row>
    <row r="619" ht="12.75" customHeight="1">
      <c r="A619" s="28" t="n"/>
      <c r="B619" s="28" t="n"/>
      <c r="C619" s="28" t="n"/>
      <c r="D619" s="28" t="n"/>
      <c r="E619" s="28" t="n"/>
      <c r="F619" s="28" t="n"/>
      <c r="G619" s="28" t="n"/>
      <c r="H619" s="28" t="n"/>
      <c r="I619" s="28" t="n"/>
      <c r="J619" s="28" t="n"/>
      <c r="K619" s="28" t="n"/>
    </row>
    <row r="620" ht="12.75" customHeight="1">
      <c r="A620" s="28" t="n"/>
      <c r="B620" s="28" t="n"/>
      <c r="C620" s="28" t="n"/>
      <c r="D620" s="28" t="n"/>
      <c r="E620" s="28" t="n"/>
      <c r="F620" s="28" t="n"/>
      <c r="G620" s="28" t="n"/>
      <c r="H620" s="28" t="n"/>
      <c r="I620" s="28" t="n"/>
      <c r="J620" s="28" t="n"/>
      <c r="K620" s="28" t="n"/>
    </row>
    <row r="621" ht="12.75" customHeight="1">
      <c r="A621" s="28" t="n"/>
      <c r="B621" s="28" t="n"/>
      <c r="C621" s="28" t="n"/>
      <c r="D621" s="28" t="n"/>
      <c r="E621" s="28" t="n"/>
      <c r="F621" s="28" t="n"/>
      <c r="G621" s="28" t="n"/>
      <c r="H621" s="28" t="n"/>
      <c r="I621" s="28" t="n"/>
      <c r="J621" s="28" t="n"/>
      <c r="K621" s="28" t="n"/>
    </row>
    <row r="622" ht="12.75" customHeight="1">
      <c r="A622" s="28" t="n"/>
      <c r="B622" s="28" t="n"/>
      <c r="C622" s="28" t="n"/>
      <c r="D622" s="28" t="n"/>
      <c r="E622" s="28" t="n"/>
      <c r="F622" s="28" t="n"/>
      <c r="G622" s="28" t="n"/>
      <c r="H622" s="28" t="n"/>
      <c r="I622" s="28" t="n"/>
      <c r="J622" s="28" t="n"/>
      <c r="K622" s="28" t="n"/>
    </row>
    <row r="623" ht="12.75" customHeight="1">
      <c r="A623" s="28" t="n"/>
      <c r="B623" s="28" t="n"/>
      <c r="C623" s="28" t="n"/>
      <c r="D623" s="28" t="n"/>
      <c r="E623" s="28" t="n"/>
      <c r="F623" s="28" t="n"/>
      <c r="G623" s="28" t="n"/>
      <c r="H623" s="28" t="n"/>
      <c r="I623" s="28" t="n"/>
      <c r="J623" s="28" t="n"/>
      <c r="K623" s="28" t="n"/>
    </row>
    <row r="624" ht="12.75" customHeight="1">
      <c r="A624" s="28" t="n"/>
      <c r="B624" s="28" t="n"/>
      <c r="C624" s="28" t="n"/>
      <c r="D624" s="28" t="n"/>
      <c r="E624" s="28" t="n"/>
      <c r="F624" s="28" t="n"/>
      <c r="G624" s="28" t="n"/>
      <c r="H624" s="28" t="n"/>
      <c r="I624" s="28" t="n"/>
      <c r="J624" s="28" t="n"/>
      <c r="K624" s="28" t="n"/>
    </row>
    <row r="625" ht="12.75" customHeight="1">
      <c r="A625" s="28" t="n"/>
      <c r="B625" s="28" t="n"/>
      <c r="C625" s="28" t="n"/>
      <c r="D625" s="28" t="n"/>
      <c r="E625" s="28" t="n"/>
      <c r="F625" s="28" t="n"/>
      <c r="G625" s="28" t="n"/>
      <c r="H625" s="28" t="n"/>
      <c r="I625" s="28" t="n"/>
      <c r="J625" s="28" t="n"/>
      <c r="K625" s="28" t="n"/>
    </row>
    <row r="626" ht="12.75" customHeight="1">
      <c r="A626" s="28" t="n"/>
      <c r="B626" s="28" t="n"/>
      <c r="C626" s="28" t="n"/>
      <c r="D626" s="28" t="n"/>
      <c r="E626" s="28" t="n"/>
      <c r="F626" s="28" t="n"/>
      <c r="G626" s="28" t="n"/>
      <c r="H626" s="28" t="n"/>
      <c r="I626" s="28" t="n"/>
      <c r="J626" s="28" t="n"/>
      <c r="K626" s="28" t="n"/>
    </row>
    <row r="627" ht="12.75" customHeight="1">
      <c r="A627" s="28" t="n"/>
      <c r="B627" s="28" t="n"/>
      <c r="C627" s="28" t="n"/>
      <c r="D627" s="28" t="n"/>
      <c r="E627" s="28" t="n"/>
      <c r="F627" s="28" t="n"/>
      <c r="G627" s="28" t="n"/>
      <c r="H627" s="28" t="n"/>
      <c r="I627" s="28" t="n"/>
      <c r="J627" s="28" t="n"/>
      <c r="K627" s="28" t="n"/>
    </row>
    <row r="628" ht="12.75" customHeight="1">
      <c r="A628" s="28" t="n"/>
      <c r="B628" s="28" t="n"/>
      <c r="C628" s="28" t="n"/>
      <c r="D628" s="28" t="n"/>
      <c r="E628" s="28" t="n"/>
      <c r="F628" s="28" t="n"/>
      <c r="G628" s="28" t="n"/>
      <c r="H628" s="28" t="n"/>
      <c r="I628" s="28" t="n"/>
      <c r="J628" s="28" t="n"/>
      <c r="K628" s="28" t="n"/>
    </row>
    <row r="629" ht="12.75" customHeight="1">
      <c r="A629" s="28" t="n"/>
      <c r="B629" s="28" t="n"/>
      <c r="C629" s="28" t="n"/>
      <c r="D629" s="28" t="n"/>
      <c r="E629" s="28" t="n"/>
      <c r="F629" s="28" t="n"/>
      <c r="G629" s="28" t="n"/>
      <c r="H629" s="28" t="n"/>
      <c r="I629" s="28" t="n"/>
      <c r="J629" s="28" t="n"/>
      <c r="K629" s="28" t="n"/>
    </row>
    <row r="630" ht="12.75" customHeight="1">
      <c r="A630" s="28" t="n"/>
      <c r="B630" s="28" t="n"/>
      <c r="C630" s="28" t="n"/>
      <c r="D630" s="28" t="n"/>
      <c r="E630" s="28" t="n"/>
      <c r="F630" s="28" t="n"/>
      <c r="G630" s="28" t="n"/>
      <c r="H630" s="28" t="n"/>
      <c r="I630" s="28" t="n"/>
      <c r="J630" s="28" t="n"/>
      <c r="K630" s="28" t="n"/>
    </row>
    <row r="631" ht="12.75" customHeight="1">
      <c r="A631" s="28" t="n"/>
      <c r="B631" s="28" t="n"/>
      <c r="C631" s="28" t="n"/>
      <c r="D631" s="28" t="n"/>
      <c r="E631" s="28" t="n"/>
      <c r="F631" s="28" t="n"/>
      <c r="G631" s="28" t="n"/>
      <c r="H631" s="28" t="n"/>
      <c r="I631" s="28" t="n"/>
      <c r="J631" s="28" t="n"/>
      <c r="K631" s="28" t="n"/>
    </row>
    <row r="632" ht="12.75" customHeight="1">
      <c r="A632" s="28" t="n"/>
      <c r="B632" s="28" t="n"/>
      <c r="C632" s="28" t="n"/>
      <c r="D632" s="28" t="n"/>
      <c r="E632" s="28" t="n"/>
      <c r="F632" s="28" t="n"/>
      <c r="G632" s="28" t="n"/>
      <c r="H632" s="28" t="n"/>
      <c r="I632" s="28" t="n"/>
      <c r="J632" s="28" t="n"/>
      <c r="K632" s="28" t="n"/>
    </row>
    <row r="633" ht="12.75" customHeight="1">
      <c r="A633" s="28" t="n"/>
      <c r="B633" s="28" t="n"/>
      <c r="C633" s="28" t="n"/>
      <c r="D633" s="28" t="n"/>
      <c r="E633" s="28" t="n"/>
      <c r="F633" s="28" t="n"/>
      <c r="G633" s="28" t="n"/>
      <c r="H633" s="28" t="n"/>
      <c r="I633" s="28" t="n"/>
      <c r="J633" s="28" t="n"/>
      <c r="K633" s="28" t="n"/>
    </row>
    <row r="634" ht="12.75" customHeight="1">
      <c r="A634" s="28" t="n"/>
      <c r="B634" s="28" t="n"/>
      <c r="C634" s="28" t="n"/>
      <c r="D634" s="28" t="n"/>
      <c r="E634" s="28" t="n"/>
      <c r="F634" s="28" t="n"/>
      <c r="G634" s="28" t="n"/>
      <c r="H634" s="28" t="n"/>
      <c r="I634" s="28" t="n"/>
      <c r="J634" s="28" t="n"/>
      <c r="K634" s="28" t="n"/>
    </row>
    <row r="635" ht="12.75" customHeight="1">
      <c r="A635" s="28" t="n"/>
      <c r="B635" s="28" t="n"/>
      <c r="C635" s="28" t="n"/>
      <c r="D635" s="28" t="n"/>
      <c r="E635" s="28" t="n"/>
      <c r="F635" s="28" t="n"/>
      <c r="G635" s="28" t="n"/>
      <c r="H635" s="28" t="n"/>
      <c r="I635" s="28" t="n"/>
      <c r="J635" s="28" t="n"/>
      <c r="K635" s="28" t="n"/>
    </row>
    <row r="636" ht="12.75" customHeight="1">
      <c r="A636" s="28" t="n"/>
      <c r="B636" s="28" t="n"/>
      <c r="C636" s="28" t="n"/>
      <c r="D636" s="28" t="n"/>
      <c r="E636" s="28" t="n"/>
      <c r="F636" s="28" t="n"/>
      <c r="G636" s="28" t="n"/>
      <c r="H636" s="28" t="n"/>
      <c r="I636" s="28" t="n"/>
      <c r="J636" s="28" t="n"/>
      <c r="K636" s="28" t="n"/>
    </row>
    <row r="637" ht="12.75" customHeight="1">
      <c r="A637" s="28" t="n"/>
      <c r="B637" s="28" t="n"/>
      <c r="C637" s="28" t="n"/>
      <c r="D637" s="28" t="n"/>
      <c r="E637" s="28" t="n"/>
      <c r="F637" s="28" t="n"/>
      <c r="G637" s="28" t="n"/>
      <c r="H637" s="28" t="n"/>
      <c r="I637" s="28" t="n"/>
      <c r="J637" s="28" t="n"/>
      <c r="K637" s="28" t="n"/>
    </row>
    <row r="638" ht="12.75" customHeight="1">
      <c r="A638" s="28" t="n"/>
      <c r="B638" s="28" t="n"/>
      <c r="C638" s="28" t="n"/>
      <c r="D638" s="28" t="n"/>
      <c r="E638" s="28" t="n"/>
      <c r="F638" s="28" t="n"/>
      <c r="G638" s="28" t="n"/>
      <c r="H638" s="28" t="n"/>
      <c r="I638" s="28" t="n"/>
      <c r="J638" s="28" t="n"/>
      <c r="K638" s="28" t="n"/>
    </row>
    <row r="639" ht="12.75" customHeight="1">
      <c r="A639" s="28" t="n"/>
      <c r="B639" s="28" t="n"/>
      <c r="C639" s="28" t="n"/>
      <c r="D639" s="28" t="n"/>
      <c r="E639" s="28" t="n"/>
      <c r="F639" s="28" t="n"/>
      <c r="G639" s="28" t="n"/>
      <c r="H639" s="28" t="n"/>
      <c r="I639" s="28" t="n"/>
      <c r="J639" s="28" t="n"/>
      <c r="K639" s="28" t="n"/>
    </row>
    <row r="640" ht="12.75" customHeight="1">
      <c r="A640" s="28" t="n"/>
      <c r="B640" s="28" t="n"/>
      <c r="C640" s="28" t="n"/>
      <c r="D640" s="28" t="n"/>
      <c r="E640" s="28" t="n"/>
      <c r="F640" s="28" t="n"/>
      <c r="G640" s="28" t="n"/>
      <c r="H640" s="28" t="n"/>
      <c r="I640" s="28" t="n"/>
      <c r="J640" s="28" t="n"/>
      <c r="K640" s="28" t="n"/>
    </row>
    <row r="641" ht="12.75" customHeight="1">
      <c r="A641" s="28" t="n"/>
      <c r="B641" s="28" t="n"/>
      <c r="C641" s="28" t="n"/>
      <c r="D641" s="28" t="n"/>
      <c r="E641" s="28" t="n"/>
      <c r="F641" s="28" t="n"/>
      <c r="G641" s="28" t="n"/>
      <c r="H641" s="28" t="n"/>
      <c r="I641" s="28" t="n"/>
      <c r="J641" s="28" t="n"/>
      <c r="K641" s="28" t="n"/>
    </row>
    <row r="642" ht="12.75" customHeight="1">
      <c r="A642" s="28" t="n"/>
      <c r="B642" s="28" t="n"/>
      <c r="C642" s="28" t="n"/>
      <c r="D642" s="28" t="n"/>
      <c r="E642" s="28" t="n"/>
      <c r="F642" s="28" t="n"/>
      <c r="G642" s="28" t="n"/>
      <c r="H642" s="28" t="n"/>
      <c r="I642" s="28" t="n"/>
      <c r="J642" s="28" t="n"/>
      <c r="K642" s="28" t="n"/>
    </row>
    <row r="643" ht="12.75" customHeight="1">
      <c r="A643" s="28" t="n"/>
      <c r="B643" s="28" t="n"/>
      <c r="C643" s="28" t="n"/>
      <c r="D643" s="28" t="n"/>
      <c r="E643" s="28" t="n"/>
      <c r="F643" s="28" t="n"/>
      <c r="G643" s="28" t="n"/>
      <c r="H643" s="28" t="n"/>
      <c r="I643" s="28" t="n"/>
      <c r="J643" s="28" t="n"/>
      <c r="K643" s="28" t="n"/>
    </row>
    <row r="644" ht="12.75" customHeight="1">
      <c r="A644" s="28" t="n"/>
      <c r="B644" s="28" t="n"/>
      <c r="C644" s="28" t="n"/>
      <c r="D644" s="28" t="n"/>
      <c r="E644" s="28" t="n"/>
      <c r="F644" s="28" t="n"/>
      <c r="G644" s="28" t="n"/>
      <c r="H644" s="28" t="n"/>
      <c r="I644" s="28" t="n"/>
      <c r="J644" s="28" t="n"/>
      <c r="K644" s="28" t="n"/>
    </row>
    <row r="645" ht="12.75" customHeight="1">
      <c r="A645" s="28" t="n"/>
      <c r="B645" s="28" t="n"/>
      <c r="C645" s="28" t="n"/>
      <c r="D645" s="28" t="n"/>
      <c r="E645" s="28" t="n"/>
      <c r="F645" s="28" t="n"/>
      <c r="G645" s="28" t="n"/>
      <c r="H645" s="28" t="n"/>
      <c r="I645" s="28" t="n"/>
      <c r="J645" s="28" t="n"/>
      <c r="K645" s="28" t="n"/>
    </row>
    <row r="646" ht="12.75" customHeight="1">
      <c r="A646" s="28" t="n"/>
      <c r="B646" s="28" t="n"/>
      <c r="C646" s="28" t="n"/>
      <c r="D646" s="28" t="n"/>
      <c r="E646" s="28" t="n"/>
      <c r="F646" s="28" t="n"/>
      <c r="G646" s="28" t="n"/>
      <c r="H646" s="28" t="n"/>
      <c r="I646" s="28" t="n"/>
      <c r="J646" s="28" t="n"/>
      <c r="K646" s="28" t="n"/>
    </row>
    <row r="647" ht="12.75" customHeight="1">
      <c r="A647" s="28" t="n"/>
      <c r="B647" s="28" t="n"/>
      <c r="C647" s="28" t="n"/>
      <c r="D647" s="28" t="n"/>
      <c r="E647" s="28" t="n"/>
      <c r="F647" s="28" t="n"/>
      <c r="G647" s="28" t="n"/>
      <c r="H647" s="28" t="n"/>
      <c r="I647" s="28" t="n"/>
      <c r="J647" s="28" t="n"/>
      <c r="K647" s="28" t="n"/>
    </row>
    <row r="648" ht="12.75" customHeight="1">
      <c r="A648" s="28" t="n"/>
      <c r="B648" s="28" t="n"/>
      <c r="C648" s="28" t="n"/>
      <c r="D648" s="28" t="n"/>
      <c r="E648" s="28" t="n"/>
      <c r="F648" s="28" t="n"/>
      <c r="G648" s="28" t="n"/>
      <c r="H648" s="28" t="n"/>
      <c r="I648" s="28" t="n"/>
      <c r="J648" s="28" t="n"/>
      <c r="K648" s="28" t="n"/>
    </row>
    <row r="649" ht="12.75" customHeight="1">
      <c r="A649" s="28" t="n"/>
      <c r="B649" s="28" t="n"/>
      <c r="C649" s="28" t="n"/>
      <c r="D649" s="28" t="n"/>
      <c r="E649" s="28" t="n"/>
      <c r="F649" s="28" t="n"/>
      <c r="G649" s="28" t="n"/>
      <c r="H649" s="28" t="n"/>
      <c r="I649" s="28" t="n"/>
      <c r="J649" s="28" t="n"/>
      <c r="K649" s="28" t="n"/>
    </row>
    <row r="650" ht="12.75" customHeight="1">
      <c r="A650" s="28" t="n"/>
      <c r="B650" s="28" t="n"/>
      <c r="C650" s="28" t="n"/>
      <c r="D650" s="28" t="n"/>
      <c r="E650" s="28" t="n"/>
      <c r="F650" s="28" t="n"/>
      <c r="G650" s="28" t="n"/>
      <c r="H650" s="28" t="n"/>
      <c r="I650" s="28" t="n"/>
      <c r="J650" s="28" t="n"/>
      <c r="K650" s="28" t="n"/>
    </row>
    <row r="651" ht="12.75" customHeight="1">
      <c r="A651" s="28" t="n"/>
      <c r="B651" s="28" t="n"/>
      <c r="C651" s="28" t="n"/>
      <c r="D651" s="28" t="n"/>
      <c r="E651" s="28" t="n"/>
      <c r="F651" s="28" t="n"/>
      <c r="G651" s="28" t="n"/>
      <c r="H651" s="28" t="n"/>
      <c r="I651" s="28" t="n"/>
      <c r="J651" s="28" t="n"/>
      <c r="K651" s="28" t="n"/>
    </row>
    <row r="652" ht="12.75" customHeight="1">
      <c r="A652" s="28" t="n"/>
      <c r="B652" s="28" t="n"/>
      <c r="C652" s="28" t="n"/>
      <c r="D652" s="28" t="n"/>
      <c r="E652" s="28" t="n"/>
      <c r="F652" s="28" t="n"/>
      <c r="G652" s="28" t="n"/>
      <c r="H652" s="28" t="n"/>
      <c r="I652" s="28" t="n"/>
      <c r="J652" s="28" t="n"/>
      <c r="K652" s="28" t="n"/>
    </row>
    <row r="653" ht="12.75" customHeight="1">
      <c r="A653" s="28" t="n"/>
      <c r="B653" s="28" t="n"/>
      <c r="C653" s="28" t="n"/>
      <c r="D653" s="28" t="n"/>
      <c r="E653" s="28" t="n"/>
      <c r="F653" s="28" t="n"/>
      <c r="G653" s="28" t="n"/>
      <c r="H653" s="28" t="n"/>
      <c r="I653" s="28" t="n"/>
      <c r="J653" s="28" t="n"/>
      <c r="K653" s="28" t="n"/>
    </row>
    <row r="654" ht="12.75" customHeight="1">
      <c r="A654" s="28" t="n"/>
      <c r="B654" s="28" t="n"/>
      <c r="C654" s="28" t="n"/>
      <c r="D654" s="28" t="n"/>
      <c r="E654" s="28" t="n"/>
      <c r="F654" s="28" t="n"/>
      <c r="G654" s="28" t="n"/>
      <c r="H654" s="28" t="n"/>
      <c r="I654" s="28" t="n"/>
      <c r="J654" s="28" t="n"/>
      <c r="K654" s="28" t="n"/>
    </row>
    <row r="655" ht="12.75" customHeight="1">
      <c r="A655" s="28" t="n"/>
      <c r="B655" s="28" t="n"/>
      <c r="C655" s="28" t="n"/>
      <c r="D655" s="28" t="n"/>
      <c r="E655" s="28" t="n"/>
      <c r="F655" s="28" t="n"/>
      <c r="G655" s="28" t="n"/>
      <c r="H655" s="28" t="n"/>
      <c r="I655" s="28" t="n"/>
      <c r="J655" s="28" t="n"/>
      <c r="K655" s="28" t="n"/>
    </row>
    <row r="656" ht="12.75" customHeight="1">
      <c r="A656" s="28" t="n"/>
      <c r="B656" s="28" t="n"/>
      <c r="C656" s="28" t="n"/>
      <c r="D656" s="28" t="n"/>
      <c r="E656" s="28" t="n"/>
      <c r="F656" s="28" t="n"/>
      <c r="G656" s="28" t="n"/>
      <c r="H656" s="28" t="n"/>
      <c r="I656" s="28" t="n"/>
      <c r="J656" s="28" t="n"/>
      <c r="K656" s="28" t="n"/>
    </row>
    <row r="657" ht="12.75" customHeight="1">
      <c r="A657" s="28" t="n"/>
      <c r="B657" s="28" t="n"/>
      <c r="C657" s="28" t="n"/>
      <c r="D657" s="28" t="n"/>
      <c r="E657" s="28" t="n"/>
      <c r="F657" s="28" t="n"/>
      <c r="G657" s="28" t="n"/>
      <c r="H657" s="28" t="n"/>
      <c r="I657" s="28" t="n"/>
      <c r="J657" s="28" t="n"/>
      <c r="K657" s="28" t="n"/>
    </row>
    <row r="658" ht="12.75" customHeight="1">
      <c r="A658" s="28" t="n"/>
      <c r="B658" s="28" t="n"/>
      <c r="C658" s="28" t="n"/>
      <c r="D658" s="28" t="n"/>
      <c r="E658" s="28" t="n"/>
      <c r="F658" s="28" t="n"/>
      <c r="G658" s="28" t="n"/>
      <c r="H658" s="28" t="n"/>
      <c r="I658" s="28" t="n"/>
      <c r="J658" s="28" t="n"/>
      <c r="K658" s="28" t="n"/>
    </row>
    <row r="659" ht="12.75" customHeight="1">
      <c r="A659" s="28" t="n"/>
      <c r="B659" s="28" t="n"/>
      <c r="C659" s="28" t="n"/>
      <c r="D659" s="28" t="n"/>
      <c r="E659" s="28" t="n"/>
      <c r="F659" s="28" t="n"/>
      <c r="G659" s="28" t="n"/>
      <c r="H659" s="28" t="n"/>
      <c r="I659" s="28" t="n"/>
      <c r="J659" s="28" t="n"/>
      <c r="K659" s="28" t="n"/>
    </row>
    <row r="660" ht="12.75" customHeight="1">
      <c r="A660" s="28" t="n"/>
      <c r="B660" s="28" t="n"/>
      <c r="C660" s="28" t="n"/>
      <c r="D660" s="28" t="n"/>
      <c r="E660" s="28" t="n"/>
      <c r="F660" s="28" t="n"/>
      <c r="G660" s="28" t="n"/>
      <c r="H660" s="28" t="n"/>
      <c r="I660" s="28" t="n"/>
      <c r="J660" s="28" t="n"/>
      <c r="K660" s="28" t="n"/>
    </row>
    <row r="661" ht="12.75" customHeight="1">
      <c r="A661" s="28" t="n"/>
      <c r="B661" s="28" t="n"/>
      <c r="C661" s="28" t="n"/>
      <c r="D661" s="28" t="n"/>
      <c r="E661" s="28" t="n"/>
      <c r="F661" s="28" t="n"/>
      <c r="G661" s="28" t="n"/>
      <c r="H661" s="28" t="n"/>
      <c r="I661" s="28" t="n"/>
      <c r="J661" s="28" t="n"/>
      <c r="K661" s="28" t="n"/>
    </row>
    <row r="662" ht="12.75" customHeight="1">
      <c r="A662" s="28" t="n"/>
      <c r="B662" s="28" t="n"/>
      <c r="C662" s="28" t="n"/>
      <c r="D662" s="28" t="n"/>
      <c r="E662" s="28" t="n"/>
      <c r="F662" s="28" t="n"/>
      <c r="G662" s="28" t="n"/>
      <c r="H662" s="28" t="n"/>
      <c r="I662" s="28" t="n"/>
      <c r="J662" s="28" t="n"/>
      <c r="K662" s="28" t="n"/>
    </row>
    <row r="663" ht="12.75" customHeight="1">
      <c r="A663" s="28" t="n"/>
      <c r="B663" s="28" t="n"/>
      <c r="C663" s="28" t="n"/>
      <c r="D663" s="28" t="n"/>
      <c r="E663" s="28" t="n"/>
      <c r="F663" s="28" t="n"/>
      <c r="G663" s="28" t="n"/>
      <c r="H663" s="28" t="n"/>
      <c r="I663" s="28" t="n"/>
      <c r="J663" s="28" t="n"/>
      <c r="K663" s="28" t="n"/>
    </row>
    <row r="664" ht="12.75" customHeight="1">
      <c r="A664" s="28" t="n"/>
      <c r="B664" s="28" t="n"/>
      <c r="C664" s="28" t="n"/>
      <c r="D664" s="28" t="n"/>
      <c r="E664" s="28" t="n"/>
      <c r="F664" s="28" t="n"/>
      <c r="G664" s="28" t="n"/>
      <c r="H664" s="28" t="n"/>
      <c r="I664" s="28" t="n"/>
      <c r="J664" s="28" t="n"/>
      <c r="K664" s="28" t="n"/>
    </row>
    <row r="665" ht="12.75" customHeight="1">
      <c r="A665" s="28" t="n"/>
      <c r="B665" s="28" t="n"/>
      <c r="C665" s="28" t="n"/>
      <c r="D665" s="28" t="n"/>
      <c r="E665" s="28" t="n"/>
      <c r="F665" s="28" t="n"/>
      <c r="G665" s="28" t="n"/>
      <c r="H665" s="28" t="n"/>
      <c r="I665" s="28" t="n"/>
      <c r="J665" s="28" t="n"/>
      <c r="K665" s="28" t="n"/>
    </row>
    <row r="666" ht="12.75" customHeight="1">
      <c r="A666" s="28" t="n"/>
      <c r="B666" s="28" t="n"/>
      <c r="C666" s="28" t="n"/>
      <c r="D666" s="28" t="n"/>
      <c r="E666" s="28" t="n"/>
      <c r="F666" s="28" t="n"/>
      <c r="G666" s="28" t="n"/>
      <c r="H666" s="28" t="n"/>
      <c r="I666" s="28" t="n"/>
      <c r="J666" s="28" t="n"/>
      <c r="K666" s="28" t="n"/>
    </row>
    <row r="667" ht="12.75" customHeight="1">
      <c r="A667" s="28" t="n"/>
      <c r="B667" s="28" t="n"/>
      <c r="C667" s="28" t="n"/>
      <c r="D667" s="28" t="n"/>
      <c r="E667" s="28" t="n"/>
      <c r="F667" s="28" t="n"/>
      <c r="G667" s="28" t="n"/>
      <c r="H667" s="28" t="n"/>
      <c r="I667" s="28" t="n"/>
      <c r="J667" s="28" t="n"/>
      <c r="K667" s="28" t="n"/>
    </row>
    <row r="668" ht="12.75" customHeight="1">
      <c r="A668" s="28" t="n"/>
      <c r="B668" s="28" t="n"/>
      <c r="C668" s="28" t="n"/>
      <c r="D668" s="28" t="n"/>
      <c r="E668" s="28" t="n"/>
      <c r="F668" s="28" t="n"/>
      <c r="G668" s="28" t="n"/>
      <c r="H668" s="28" t="n"/>
      <c r="I668" s="28" t="n"/>
      <c r="J668" s="28" t="n"/>
      <c r="K668" s="28" t="n"/>
    </row>
    <row r="669" ht="12.75" customHeight="1">
      <c r="A669" s="28" t="n"/>
      <c r="B669" s="28" t="n"/>
      <c r="C669" s="28" t="n"/>
      <c r="D669" s="28" t="n"/>
      <c r="E669" s="28" t="n"/>
      <c r="F669" s="28" t="n"/>
      <c r="G669" s="28" t="n"/>
      <c r="H669" s="28" t="n"/>
      <c r="I669" s="28" t="n"/>
      <c r="J669" s="28" t="n"/>
      <c r="K669" s="28" t="n"/>
    </row>
    <row r="670" ht="12.75" customHeight="1">
      <c r="A670" s="28" t="n"/>
      <c r="B670" s="28" t="n"/>
      <c r="C670" s="28" t="n"/>
      <c r="D670" s="28" t="n"/>
      <c r="E670" s="28" t="n"/>
      <c r="F670" s="28" t="n"/>
      <c r="G670" s="28" t="n"/>
      <c r="H670" s="28" t="n"/>
      <c r="I670" s="28" t="n"/>
      <c r="J670" s="28" t="n"/>
      <c r="K670" s="28" t="n"/>
    </row>
    <row r="671" ht="12.75" customHeight="1">
      <c r="A671" s="28" t="n"/>
      <c r="B671" s="28" t="n"/>
      <c r="C671" s="28" t="n"/>
      <c r="D671" s="28" t="n"/>
      <c r="E671" s="28" t="n"/>
      <c r="F671" s="28" t="n"/>
      <c r="G671" s="28" t="n"/>
      <c r="H671" s="28" t="n"/>
      <c r="I671" s="28" t="n"/>
      <c r="J671" s="28" t="n"/>
      <c r="K671" s="28" t="n"/>
    </row>
    <row r="672" ht="12.75" customHeight="1">
      <c r="A672" s="28" t="n"/>
      <c r="B672" s="28" t="n"/>
      <c r="C672" s="28" t="n"/>
      <c r="D672" s="28" t="n"/>
      <c r="E672" s="28" t="n"/>
      <c r="F672" s="28" t="n"/>
      <c r="G672" s="28" t="n"/>
      <c r="H672" s="28" t="n"/>
      <c r="I672" s="28" t="n"/>
      <c r="J672" s="28" t="n"/>
      <c r="K672" s="28" t="n"/>
    </row>
    <row r="673" ht="12.75" customHeight="1">
      <c r="A673" s="28" t="n"/>
      <c r="B673" s="28" t="n"/>
      <c r="C673" s="28" t="n"/>
      <c r="D673" s="28" t="n"/>
      <c r="E673" s="28" t="n"/>
      <c r="F673" s="28" t="n"/>
      <c r="G673" s="28" t="n"/>
      <c r="H673" s="28" t="n"/>
      <c r="I673" s="28" t="n"/>
      <c r="J673" s="28" t="n"/>
      <c r="K673" s="28" t="n"/>
    </row>
    <row r="674" ht="12.75" customHeight="1">
      <c r="A674" s="28" t="n"/>
      <c r="B674" s="28" t="n"/>
      <c r="C674" s="28" t="n"/>
      <c r="D674" s="28" t="n"/>
      <c r="E674" s="28" t="n"/>
      <c r="F674" s="28" t="n"/>
      <c r="G674" s="28" t="n"/>
      <c r="H674" s="28" t="n"/>
      <c r="I674" s="28" t="n"/>
      <c r="J674" s="28" t="n"/>
      <c r="K674" s="28" t="n"/>
    </row>
    <row r="675" ht="12.75" customHeight="1">
      <c r="A675" s="28" t="n"/>
      <c r="B675" s="28" t="n"/>
      <c r="C675" s="28" t="n"/>
      <c r="D675" s="28" t="n"/>
      <c r="E675" s="28" t="n"/>
      <c r="F675" s="28" t="n"/>
      <c r="G675" s="28" t="n"/>
      <c r="H675" s="28" t="n"/>
      <c r="I675" s="28" t="n"/>
      <c r="J675" s="28" t="n"/>
      <c r="K675" s="28" t="n"/>
    </row>
    <row r="676" ht="12.75" customHeight="1">
      <c r="A676" s="28" t="n"/>
      <c r="B676" s="28" t="n"/>
      <c r="C676" s="28" t="n"/>
      <c r="D676" s="28" t="n"/>
      <c r="E676" s="28" t="n"/>
      <c r="F676" s="28" t="n"/>
      <c r="G676" s="28" t="n"/>
      <c r="H676" s="28" t="n"/>
      <c r="I676" s="28" t="n"/>
      <c r="J676" s="28" t="n"/>
      <c r="K676" s="28" t="n"/>
    </row>
    <row r="677" ht="12.75" customHeight="1">
      <c r="A677" s="28" t="n"/>
      <c r="B677" s="28" t="n"/>
      <c r="C677" s="28" t="n"/>
      <c r="D677" s="28" t="n"/>
      <c r="E677" s="28" t="n"/>
      <c r="F677" s="28" t="n"/>
      <c r="G677" s="28" t="n"/>
      <c r="H677" s="28" t="n"/>
      <c r="I677" s="28" t="n"/>
      <c r="J677" s="28" t="n"/>
      <c r="K677" s="28" t="n"/>
    </row>
    <row r="678" ht="12.75" customHeight="1">
      <c r="A678" s="28" t="n"/>
      <c r="B678" s="28" t="n"/>
      <c r="C678" s="28" t="n"/>
      <c r="D678" s="28" t="n"/>
      <c r="E678" s="28" t="n"/>
      <c r="F678" s="28" t="n"/>
      <c r="G678" s="28" t="n"/>
      <c r="H678" s="28" t="n"/>
      <c r="I678" s="28" t="n"/>
      <c r="J678" s="28" t="n"/>
      <c r="K678" s="28" t="n"/>
    </row>
    <row r="679" ht="12.75" customHeight="1">
      <c r="A679" s="28" t="n"/>
      <c r="B679" s="28" t="n"/>
      <c r="C679" s="28" t="n"/>
      <c r="D679" s="28" t="n"/>
      <c r="E679" s="28" t="n"/>
      <c r="F679" s="28" t="n"/>
      <c r="G679" s="28" t="n"/>
      <c r="H679" s="28" t="n"/>
      <c r="I679" s="28" t="n"/>
      <c r="J679" s="28" t="n"/>
      <c r="K679" s="28" t="n"/>
    </row>
    <row r="680" ht="12.75" customHeight="1">
      <c r="A680" s="28" t="n"/>
      <c r="B680" s="28" t="n"/>
      <c r="C680" s="28" t="n"/>
      <c r="D680" s="28" t="n"/>
      <c r="E680" s="28" t="n"/>
      <c r="F680" s="28" t="n"/>
      <c r="G680" s="28" t="n"/>
      <c r="H680" s="28" t="n"/>
      <c r="I680" s="28" t="n"/>
      <c r="J680" s="28" t="n"/>
      <c r="K680" s="28" t="n"/>
    </row>
    <row r="681" ht="12.75" customHeight="1">
      <c r="A681" s="28" t="n"/>
      <c r="B681" s="28" t="n"/>
      <c r="C681" s="28" t="n"/>
      <c r="D681" s="28" t="n"/>
      <c r="E681" s="28" t="n"/>
      <c r="F681" s="28" t="n"/>
      <c r="G681" s="28" t="n"/>
      <c r="H681" s="28" t="n"/>
      <c r="I681" s="28" t="n"/>
      <c r="J681" s="28" t="n"/>
      <c r="K681" s="28" t="n"/>
    </row>
    <row r="682" ht="12.75" customHeight="1">
      <c r="A682" s="28" t="n"/>
      <c r="B682" s="28" t="n"/>
      <c r="C682" s="28" t="n"/>
      <c r="D682" s="28" t="n"/>
      <c r="E682" s="28" t="n"/>
      <c r="F682" s="28" t="n"/>
      <c r="G682" s="28" t="n"/>
      <c r="H682" s="28" t="n"/>
      <c r="I682" s="28" t="n"/>
      <c r="J682" s="28" t="n"/>
      <c r="K682" s="28" t="n"/>
    </row>
    <row r="683" ht="12.75" customHeight="1">
      <c r="A683" s="28" t="n"/>
      <c r="B683" s="28" t="n"/>
      <c r="C683" s="28" t="n"/>
      <c r="D683" s="28" t="n"/>
      <c r="E683" s="28" t="n"/>
      <c r="F683" s="28" t="n"/>
      <c r="G683" s="28" t="n"/>
      <c r="H683" s="28" t="n"/>
      <c r="I683" s="28" t="n"/>
      <c r="J683" s="28" t="n"/>
      <c r="K683" s="28" t="n"/>
    </row>
    <row r="684" ht="12.75" customHeight="1">
      <c r="A684" s="28" t="n"/>
      <c r="B684" s="28" t="n"/>
      <c r="C684" s="28" t="n"/>
      <c r="D684" s="28" t="n"/>
      <c r="E684" s="28" t="n"/>
      <c r="F684" s="28" t="n"/>
      <c r="G684" s="28" t="n"/>
      <c r="H684" s="28" t="n"/>
      <c r="I684" s="28" t="n"/>
      <c r="J684" s="28" t="n"/>
      <c r="K684" s="28" t="n"/>
    </row>
    <row r="685" ht="12.75" customHeight="1">
      <c r="A685" s="28" t="n"/>
      <c r="B685" s="28" t="n"/>
      <c r="C685" s="28" t="n"/>
      <c r="D685" s="28" t="n"/>
      <c r="E685" s="28" t="n"/>
      <c r="F685" s="28" t="n"/>
      <c r="G685" s="28" t="n"/>
      <c r="H685" s="28" t="n"/>
      <c r="I685" s="28" t="n"/>
      <c r="J685" s="28" t="n"/>
      <c r="K685" s="28" t="n"/>
    </row>
    <row r="686" ht="12.75" customHeight="1">
      <c r="A686" s="28" t="n"/>
      <c r="B686" s="28" t="n"/>
      <c r="C686" s="28" t="n"/>
      <c r="D686" s="28" t="n"/>
      <c r="E686" s="28" t="n"/>
      <c r="F686" s="28" t="n"/>
      <c r="G686" s="28" t="n"/>
      <c r="H686" s="28" t="n"/>
      <c r="I686" s="28" t="n"/>
      <c r="J686" s="28" t="n"/>
      <c r="K686" s="28" t="n"/>
    </row>
    <row r="687" ht="12.75" customHeight="1">
      <c r="A687" s="28" t="n"/>
      <c r="B687" s="28" t="n"/>
      <c r="C687" s="28" t="n"/>
      <c r="D687" s="28" t="n"/>
      <c r="E687" s="28" t="n"/>
      <c r="F687" s="28" t="n"/>
      <c r="G687" s="28" t="n"/>
      <c r="H687" s="28" t="n"/>
      <c r="I687" s="28" t="n"/>
      <c r="J687" s="28" t="n"/>
      <c r="K687" s="28" t="n"/>
    </row>
    <row r="688" ht="12.75" customHeight="1">
      <c r="A688" s="28" t="n"/>
      <c r="B688" s="28" t="n"/>
      <c r="C688" s="28" t="n"/>
      <c r="D688" s="28" t="n"/>
      <c r="E688" s="28" t="n"/>
      <c r="F688" s="28" t="n"/>
      <c r="G688" s="28" t="n"/>
      <c r="H688" s="28" t="n"/>
      <c r="I688" s="28" t="n"/>
      <c r="J688" s="28" t="n"/>
      <c r="K688" s="28" t="n"/>
    </row>
    <row r="689" ht="12.75" customHeight="1">
      <c r="A689" s="28" t="n"/>
      <c r="B689" s="28" t="n"/>
      <c r="C689" s="28" t="n"/>
      <c r="D689" s="28" t="n"/>
      <c r="E689" s="28" t="n"/>
      <c r="F689" s="28" t="n"/>
      <c r="G689" s="28" t="n"/>
      <c r="H689" s="28" t="n"/>
      <c r="I689" s="28" t="n"/>
      <c r="J689" s="28" t="n"/>
      <c r="K689" s="28" t="n"/>
    </row>
    <row r="690" ht="12.75" customHeight="1">
      <c r="A690" s="28" t="n"/>
      <c r="B690" s="28" t="n"/>
      <c r="C690" s="28" t="n"/>
      <c r="D690" s="28" t="n"/>
      <c r="E690" s="28" t="n"/>
      <c r="F690" s="28" t="n"/>
      <c r="G690" s="28" t="n"/>
      <c r="H690" s="28" t="n"/>
      <c r="I690" s="28" t="n"/>
      <c r="J690" s="28" t="n"/>
      <c r="K690" s="28" t="n"/>
    </row>
    <row r="691" ht="12.75" customHeight="1">
      <c r="A691" s="28" t="n"/>
      <c r="B691" s="28" t="n"/>
      <c r="C691" s="28" t="n"/>
      <c r="D691" s="28" t="n"/>
      <c r="E691" s="28" t="n"/>
      <c r="F691" s="28" t="n"/>
      <c r="G691" s="28" t="n"/>
      <c r="H691" s="28" t="n"/>
      <c r="I691" s="28" t="n"/>
      <c r="J691" s="28" t="n"/>
      <c r="K691" s="28" t="n"/>
    </row>
    <row r="692" ht="12.75" customHeight="1">
      <c r="A692" s="28" t="n"/>
      <c r="B692" s="28" t="n"/>
      <c r="C692" s="28" t="n"/>
      <c r="D692" s="28" t="n"/>
      <c r="E692" s="28" t="n"/>
      <c r="F692" s="28" t="n"/>
      <c r="G692" s="28" t="n"/>
      <c r="H692" s="28" t="n"/>
      <c r="I692" s="28" t="n"/>
      <c r="J692" s="28" t="n"/>
      <c r="K692" s="28" t="n"/>
    </row>
    <row r="693" ht="12.75" customHeight="1">
      <c r="A693" s="28" t="n"/>
      <c r="B693" s="28" t="n"/>
      <c r="C693" s="28" t="n"/>
      <c r="D693" s="28" t="n"/>
      <c r="E693" s="28" t="n"/>
      <c r="F693" s="28" t="n"/>
      <c r="G693" s="28" t="n"/>
      <c r="H693" s="28" t="n"/>
      <c r="I693" s="28" t="n"/>
      <c r="J693" s="28" t="n"/>
      <c r="K693" s="28" t="n"/>
    </row>
    <row r="694" ht="12.75" customHeight="1">
      <c r="A694" s="28" t="n"/>
      <c r="B694" s="28" t="n"/>
      <c r="C694" s="28" t="n"/>
      <c r="D694" s="28" t="n"/>
      <c r="E694" s="28" t="n"/>
      <c r="F694" s="28" t="n"/>
      <c r="G694" s="28" t="n"/>
      <c r="H694" s="28" t="n"/>
      <c r="I694" s="28" t="n"/>
      <c r="J694" s="28" t="n"/>
      <c r="K694" s="28" t="n"/>
    </row>
    <row r="695" ht="12.75" customHeight="1">
      <c r="A695" s="28" t="n"/>
      <c r="B695" s="28" t="n"/>
      <c r="C695" s="28" t="n"/>
      <c r="D695" s="28" t="n"/>
      <c r="E695" s="28" t="n"/>
      <c r="F695" s="28" t="n"/>
      <c r="G695" s="28" t="n"/>
      <c r="H695" s="28" t="n"/>
      <c r="I695" s="28" t="n"/>
      <c r="J695" s="28" t="n"/>
      <c r="K695" s="28" t="n"/>
    </row>
    <row r="696" ht="12.75" customHeight="1">
      <c r="A696" s="28" t="n"/>
      <c r="B696" s="28" t="n"/>
      <c r="C696" s="28" t="n"/>
      <c r="D696" s="28" t="n"/>
      <c r="E696" s="28" t="n"/>
      <c r="F696" s="28" t="n"/>
      <c r="G696" s="28" t="n"/>
      <c r="H696" s="28" t="n"/>
      <c r="I696" s="28" t="n"/>
      <c r="J696" s="28" t="n"/>
      <c r="K696" s="28" t="n"/>
    </row>
    <row r="697" ht="12.75" customHeight="1">
      <c r="A697" s="28" t="n"/>
      <c r="B697" s="28" t="n"/>
      <c r="C697" s="28" t="n"/>
      <c r="D697" s="28" t="n"/>
      <c r="E697" s="28" t="n"/>
      <c r="F697" s="28" t="n"/>
      <c r="G697" s="28" t="n"/>
      <c r="H697" s="28" t="n"/>
      <c r="I697" s="28" t="n"/>
      <c r="J697" s="28" t="n"/>
      <c r="K697" s="28" t="n"/>
    </row>
    <row r="698" ht="12.75" customHeight="1">
      <c r="A698" s="28" t="n"/>
      <c r="B698" s="28" t="n"/>
      <c r="C698" s="28" t="n"/>
      <c r="D698" s="28" t="n"/>
      <c r="E698" s="28" t="n"/>
      <c r="F698" s="28" t="n"/>
      <c r="G698" s="28" t="n"/>
      <c r="H698" s="28" t="n"/>
      <c r="I698" s="28" t="n"/>
      <c r="J698" s="28" t="n"/>
      <c r="K698" s="28" t="n"/>
    </row>
    <row r="699" ht="12.75" customHeight="1">
      <c r="A699" s="28" t="n"/>
      <c r="B699" s="28" t="n"/>
      <c r="C699" s="28" t="n"/>
      <c r="D699" s="28" t="n"/>
      <c r="E699" s="28" t="n"/>
      <c r="F699" s="28" t="n"/>
      <c r="G699" s="28" t="n"/>
      <c r="H699" s="28" t="n"/>
      <c r="I699" s="28" t="n"/>
      <c r="J699" s="28" t="n"/>
      <c r="K699" s="28" t="n"/>
    </row>
    <row r="700" ht="12.75" customHeight="1">
      <c r="A700" s="28" t="n"/>
      <c r="B700" s="28" t="n"/>
      <c r="C700" s="28" t="n"/>
      <c r="D700" s="28" t="n"/>
      <c r="E700" s="28" t="n"/>
      <c r="F700" s="28" t="n"/>
      <c r="G700" s="28" t="n"/>
      <c r="H700" s="28" t="n"/>
      <c r="I700" s="28" t="n"/>
      <c r="J700" s="28" t="n"/>
      <c r="K700" s="28" t="n"/>
    </row>
    <row r="701" ht="12.75" customHeight="1">
      <c r="A701" s="28" t="n"/>
      <c r="B701" s="28" t="n"/>
      <c r="C701" s="28" t="n"/>
      <c r="D701" s="28" t="n"/>
      <c r="E701" s="28" t="n"/>
      <c r="F701" s="28" t="n"/>
      <c r="G701" s="28" t="n"/>
      <c r="H701" s="28" t="n"/>
      <c r="I701" s="28" t="n"/>
      <c r="J701" s="28" t="n"/>
      <c r="K701" s="28" t="n"/>
    </row>
    <row r="702" ht="12.75" customHeight="1">
      <c r="A702" s="28" t="n"/>
      <c r="B702" s="28" t="n"/>
      <c r="C702" s="28" t="n"/>
      <c r="D702" s="28" t="n"/>
      <c r="E702" s="28" t="n"/>
      <c r="F702" s="28" t="n"/>
      <c r="G702" s="28" t="n"/>
      <c r="H702" s="28" t="n"/>
      <c r="I702" s="28" t="n"/>
      <c r="J702" s="28" t="n"/>
      <c r="K702" s="28" t="n"/>
    </row>
    <row r="703" ht="12.75" customHeight="1">
      <c r="A703" s="28" t="n"/>
      <c r="B703" s="28" t="n"/>
      <c r="C703" s="28" t="n"/>
      <c r="D703" s="28" t="n"/>
      <c r="E703" s="28" t="n"/>
      <c r="F703" s="28" t="n"/>
      <c r="G703" s="28" t="n"/>
      <c r="H703" s="28" t="n"/>
      <c r="I703" s="28" t="n"/>
      <c r="J703" s="28" t="n"/>
      <c r="K703" s="28" t="n"/>
    </row>
    <row r="704" ht="12.75" customHeight="1">
      <c r="A704" s="28" t="n"/>
      <c r="B704" s="28" t="n"/>
      <c r="C704" s="28" t="n"/>
      <c r="D704" s="28" t="n"/>
      <c r="E704" s="28" t="n"/>
      <c r="F704" s="28" t="n"/>
      <c r="G704" s="28" t="n"/>
      <c r="H704" s="28" t="n"/>
      <c r="I704" s="28" t="n"/>
      <c r="J704" s="28" t="n"/>
      <c r="K704" s="28" t="n"/>
    </row>
    <row r="705" ht="12.75" customHeight="1">
      <c r="A705" s="28" t="n"/>
      <c r="B705" s="28" t="n"/>
      <c r="C705" s="28" t="n"/>
      <c r="D705" s="28" t="n"/>
      <c r="E705" s="28" t="n"/>
      <c r="F705" s="28" t="n"/>
      <c r="G705" s="28" t="n"/>
      <c r="H705" s="28" t="n"/>
      <c r="I705" s="28" t="n"/>
      <c r="J705" s="28" t="n"/>
      <c r="K705" s="28" t="n"/>
    </row>
    <row r="706" ht="12.75" customHeight="1">
      <c r="A706" s="28" t="n"/>
      <c r="B706" s="28" t="n"/>
      <c r="C706" s="28" t="n"/>
      <c r="D706" s="28" t="n"/>
      <c r="E706" s="28" t="n"/>
      <c r="F706" s="28" t="n"/>
      <c r="G706" s="28" t="n"/>
      <c r="H706" s="28" t="n"/>
      <c r="I706" s="28" t="n"/>
      <c r="J706" s="28" t="n"/>
      <c r="K706" s="28" t="n"/>
    </row>
    <row r="707" ht="12.75" customHeight="1">
      <c r="A707" s="28" t="n"/>
      <c r="B707" s="28" t="n"/>
      <c r="C707" s="28" t="n"/>
      <c r="D707" s="28" t="n"/>
      <c r="E707" s="28" t="n"/>
      <c r="F707" s="28" t="n"/>
      <c r="G707" s="28" t="n"/>
      <c r="H707" s="28" t="n"/>
      <c r="I707" s="28" t="n"/>
      <c r="J707" s="28" t="n"/>
      <c r="K707" s="28" t="n"/>
    </row>
    <row r="708" ht="12.75" customHeight="1">
      <c r="A708" s="28" t="n"/>
      <c r="B708" s="28" t="n"/>
      <c r="C708" s="28" t="n"/>
      <c r="D708" s="28" t="n"/>
      <c r="E708" s="28" t="n"/>
      <c r="F708" s="28" t="n"/>
      <c r="G708" s="28" t="n"/>
      <c r="H708" s="28" t="n"/>
      <c r="I708" s="28" t="n"/>
      <c r="J708" s="28" t="n"/>
      <c r="K708" s="28" t="n"/>
    </row>
    <row r="709" ht="12.75" customHeight="1">
      <c r="A709" s="28" t="n"/>
      <c r="B709" s="28" t="n"/>
      <c r="C709" s="28" t="n"/>
      <c r="D709" s="28" t="n"/>
      <c r="E709" s="28" t="n"/>
      <c r="F709" s="28" t="n"/>
      <c r="G709" s="28" t="n"/>
      <c r="H709" s="28" t="n"/>
      <c r="I709" s="28" t="n"/>
      <c r="J709" s="28" t="n"/>
      <c r="K709" s="28" t="n"/>
    </row>
    <row r="710" ht="12.75" customHeight="1">
      <c r="A710" s="28" t="n"/>
      <c r="B710" s="28" t="n"/>
      <c r="C710" s="28" t="n"/>
      <c r="D710" s="28" t="n"/>
      <c r="E710" s="28" t="n"/>
      <c r="F710" s="28" t="n"/>
      <c r="G710" s="28" t="n"/>
      <c r="H710" s="28" t="n"/>
      <c r="I710" s="28" t="n"/>
      <c r="J710" s="28" t="n"/>
      <c r="K710" s="28" t="n"/>
    </row>
    <row r="711" ht="12.75" customHeight="1">
      <c r="A711" s="28" t="n"/>
      <c r="B711" s="28" t="n"/>
      <c r="C711" s="28" t="n"/>
      <c r="D711" s="28" t="n"/>
      <c r="E711" s="28" t="n"/>
      <c r="F711" s="28" t="n"/>
      <c r="G711" s="28" t="n"/>
      <c r="H711" s="28" t="n"/>
      <c r="I711" s="28" t="n"/>
      <c r="J711" s="28" t="n"/>
      <c r="K711" s="28" t="n"/>
    </row>
    <row r="712" ht="12.75" customHeight="1">
      <c r="A712" s="28" t="n"/>
      <c r="B712" s="28" t="n"/>
      <c r="C712" s="28" t="n"/>
      <c r="D712" s="28" t="n"/>
      <c r="E712" s="28" t="n"/>
      <c r="F712" s="28" t="n"/>
      <c r="G712" s="28" t="n"/>
      <c r="H712" s="28" t="n"/>
      <c r="I712" s="28" t="n"/>
      <c r="J712" s="28" t="n"/>
      <c r="K712" s="28" t="n"/>
    </row>
    <row r="713" ht="12.75" customHeight="1">
      <c r="A713" s="28" t="n"/>
      <c r="B713" s="28" t="n"/>
      <c r="C713" s="28" t="n"/>
      <c r="D713" s="28" t="n"/>
      <c r="E713" s="28" t="n"/>
      <c r="F713" s="28" t="n"/>
      <c r="G713" s="28" t="n"/>
      <c r="H713" s="28" t="n"/>
      <c r="I713" s="28" t="n"/>
      <c r="J713" s="28" t="n"/>
      <c r="K713" s="28" t="n"/>
    </row>
    <row r="714" ht="12.75" customHeight="1">
      <c r="A714" s="28" t="n"/>
      <c r="B714" s="28" t="n"/>
      <c r="C714" s="28" t="n"/>
      <c r="D714" s="28" t="n"/>
      <c r="E714" s="28" t="n"/>
      <c r="F714" s="28" t="n"/>
      <c r="G714" s="28" t="n"/>
      <c r="H714" s="28" t="n"/>
      <c r="I714" s="28" t="n"/>
      <c r="J714" s="28" t="n"/>
      <c r="K714" s="28" t="n"/>
    </row>
    <row r="715" ht="12.75" customHeight="1">
      <c r="A715" s="28" t="n"/>
      <c r="B715" s="28" t="n"/>
      <c r="C715" s="28" t="n"/>
      <c r="D715" s="28" t="n"/>
      <c r="E715" s="28" t="n"/>
      <c r="F715" s="28" t="n"/>
      <c r="G715" s="28" t="n"/>
      <c r="H715" s="28" t="n"/>
      <c r="I715" s="28" t="n"/>
      <c r="J715" s="28" t="n"/>
      <c r="K715" s="28" t="n"/>
    </row>
    <row r="716" ht="12.75" customHeight="1">
      <c r="A716" s="28" t="n"/>
      <c r="B716" s="28" t="n"/>
      <c r="C716" s="28" t="n"/>
      <c r="D716" s="28" t="n"/>
      <c r="E716" s="28" t="n"/>
      <c r="F716" s="28" t="n"/>
      <c r="G716" s="28" t="n"/>
      <c r="H716" s="28" t="n"/>
      <c r="I716" s="28" t="n"/>
      <c r="J716" s="28" t="n"/>
      <c r="K716" s="28" t="n"/>
    </row>
    <row r="717" ht="12.75" customHeight="1">
      <c r="A717" s="28" t="n"/>
      <c r="B717" s="28" t="n"/>
      <c r="C717" s="28" t="n"/>
      <c r="D717" s="28" t="n"/>
      <c r="E717" s="28" t="n"/>
      <c r="F717" s="28" t="n"/>
      <c r="G717" s="28" t="n"/>
      <c r="H717" s="28" t="n"/>
      <c r="I717" s="28" t="n"/>
      <c r="J717" s="28" t="n"/>
      <c r="K717" s="28" t="n"/>
    </row>
    <row r="718" ht="12.75" customHeight="1">
      <c r="A718" s="28" t="n"/>
      <c r="B718" s="28" t="n"/>
      <c r="C718" s="28" t="n"/>
      <c r="D718" s="28" t="n"/>
      <c r="E718" s="28" t="n"/>
      <c r="F718" s="28" t="n"/>
      <c r="G718" s="28" t="n"/>
      <c r="H718" s="28" t="n"/>
      <c r="I718" s="28" t="n"/>
      <c r="J718" s="28" t="n"/>
      <c r="K718" s="28" t="n"/>
    </row>
    <row r="719" ht="12.75" customHeight="1">
      <c r="A719" s="28" t="n"/>
      <c r="B719" s="28" t="n"/>
      <c r="C719" s="28" t="n"/>
      <c r="D719" s="28" t="n"/>
      <c r="E719" s="28" t="n"/>
      <c r="F719" s="28" t="n"/>
      <c r="G719" s="28" t="n"/>
      <c r="H719" s="28" t="n"/>
      <c r="I719" s="28" t="n"/>
      <c r="J719" s="28" t="n"/>
      <c r="K719" s="28" t="n"/>
    </row>
    <row r="720" ht="12.75" customHeight="1">
      <c r="A720" s="28" t="n"/>
      <c r="B720" s="28" t="n"/>
      <c r="C720" s="28" t="n"/>
      <c r="D720" s="28" t="n"/>
      <c r="E720" s="28" t="n"/>
      <c r="F720" s="28" t="n"/>
      <c r="G720" s="28" t="n"/>
      <c r="H720" s="28" t="n"/>
      <c r="I720" s="28" t="n"/>
      <c r="J720" s="28" t="n"/>
      <c r="K720" s="28" t="n"/>
    </row>
    <row r="721" ht="12.75" customHeight="1">
      <c r="A721" s="28" t="n"/>
      <c r="B721" s="28" t="n"/>
      <c r="C721" s="28" t="n"/>
      <c r="D721" s="28" t="n"/>
      <c r="E721" s="28" t="n"/>
      <c r="F721" s="28" t="n"/>
      <c r="G721" s="28" t="n"/>
      <c r="H721" s="28" t="n"/>
      <c r="I721" s="28" t="n"/>
      <c r="J721" s="28" t="n"/>
      <c r="K721" s="28" t="n"/>
    </row>
    <row r="722" ht="12.75" customHeight="1">
      <c r="A722" s="28" t="n"/>
      <c r="B722" s="28" t="n"/>
      <c r="C722" s="28" t="n"/>
      <c r="D722" s="28" t="n"/>
      <c r="E722" s="28" t="n"/>
      <c r="F722" s="28" t="n"/>
      <c r="G722" s="28" t="n"/>
      <c r="H722" s="28" t="n"/>
      <c r="I722" s="28" t="n"/>
      <c r="J722" s="28" t="n"/>
      <c r="K722" s="28" t="n"/>
    </row>
    <row r="723" ht="12.75" customHeight="1">
      <c r="A723" s="28" t="n"/>
      <c r="B723" s="28" t="n"/>
      <c r="C723" s="28" t="n"/>
      <c r="D723" s="28" t="n"/>
      <c r="E723" s="28" t="n"/>
      <c r="F723" s="28" t="n"/>
      <c r="G723" s="28" t="n"/>
      <c r="H723" s="28" t="n"/>
      <c r="I723" s="28" t="n"/>
      <c r="J723" s="28" t="n"/>
      <c r="K723" s="28" t="n"/>
    </row>
    <row r="724" ht="12.75" customHeight="1">
      <c r="A724" s="28" t="n"/>
      <c r="B724" s="28" t="n"/>
      <c r="C724" s="28" t="n"/>
      <c r="D724" s="28" t="n"/>
      <c r="E724" s="28" t="n"/>
      <c r="F724" s="28" t="n"/>
      <c r="G724" s="28" t="n"/>
      <c r="H724" s="28" t="n"/>
      <c r="I724" s="28" t="n"/>
      <c r="J724" s="28" t="n"/>
      <c r="K724" s="28" t="n"/>
    </row>
    <row r="725" ht="12.75" customHeight="1">
      <c r="A725" s="28" t="n"/>
      <c r="B725" s="28" t="n"/>
      <c r="C725" s="28" t="n"/>
      <c r="D725" s="28" t="n"/>
      <c r="E725" s="28" t="n"/>
      <c r="F725" s="28" t="n"/>
      <c r="G725" s="28" t="n"/>
      <c r="H725" s="28" t="n"/>
      <c r="I725" s="28" t="n"/>
      <c r="J725" s="28" t="n"/>
      <c r="K725" s="28" t="n"/>
    </row>
    <row r="726" ht="12.75" customHeight="1">
      <c r="A726" s="28" t="n"/>
      <c r="B726" s="28" t="n"/>
      <c r="C726" s="28" t="n"/>
      <c r="D726" s="28" t="n"/>
      <c r="E726" s="28" t="n"/>
      <c r="F726" s="28" t="n"/>
      <c r="G726" s="28" t="n"/>
      <c r="H726" s="28" t="n"/>
      <c r="I726" s="28" t="n"/>
      <c r="J726" s="28" t="n"/>
      <c r="K726" s="28" t="n"/>
    </row>
    <row r="727" ht="12.75" customHeight="1">
      <c r="A727" s="28" t="n"/>
      <c r="B727" s="28" t="n"/>
      <c r="C727" s="28" t="n"/>
      <c r="D727" s="28" t="n"/>
      <c r="E727" s="28" t="n"/>
      <c r="F727" s="28" t="n"/>
      <c r="G727" s="28" t="n"/>
      <c r="H727" s="28" t="n"/>
      <c r="I727" s="28" t="n"/>
      <c r="J727" s="28" t="n"/>
      <c r="K727" s="28" t="n"/>
    </row>
    <row r="728" ht="12.75" customHeight="1">
      <c r="A728" s="28" t="n"/>
      <c r="B728" s="28" t="n"/>
      <c r="C728" s="28" t="n"/>
      <c r="D728" s="28" t="n"/>
      <c r="E728" s="28" t="n"/>
      <c r="F728" s="28" t="n"/>
      <c r="G728" s="28" t="n"/>
      <c r="H728" s="28" t="n"/>
      <c r="I728" s="28" t="n"/>
      <c r="J728" s="28" t="n"/>
      <c r="K728" s="28" t="n"/>
    </row>
    <row r="729" ht="12.75" customHeight="1">
      <c r="A729" s="28" t="n"/>
      <c r="B729" s="28" t="n"/>
      <c r="C729" s="28" t="n"/>
      <c r="D729" s="28" t="n"/>
      <c r="E729" s="28" t="n"/>
      <c r="F729" s="28" t="n"/>
      <c r="G729" s="28" t="n"/>
      <c r="H729" s="28" t="n"/>
      <c r="I729" s="28" t="n"/>
      <c r="J729" s="28" t="n"/>
      <c r="K729" s="28" t="n"/>
    </row>
    <row r="730" ht="12.75" customHeight="1">
      <c r="A730" s="28" t="n"/>
      <c r="B730" s="28" t="n"/>
      <c r="C730" s="28" t="n"/>
      <c r="D730" s="28" t="n"/>
      <c r="E730" s="28" t="n"/>
      <c r="F730" s="28" t="n"/>
      <c r="G730" s="28" t="n"/>
      <c r="H730" s="28" t="n"/>
      <c r="I730" s="28" t="n"/>
      <c r="J730" s="28" t="n"/>
      <c r="K730" s="28" t="n"/>
    </row>
    <row r="731" ht="12.75" customHeight="1">
      <c r="A731" s="28" t="n"/>
      <c r="B731" s="28" t="n"/>
      <c r="C731" s="28" t="n"/>
      <c r="D731" s="28" t="n"/>
      <c r="E731" s="28" t="n"/>
      <c r="F731" s="28" t="n"/>
      <c r="G731" s="28" t="n"/>
      <c r="H731" s="28" t="n"/>
      <c r="I731" s="28" t="n"/>
      <c r="J731" s="28" t="n"/>
      <c r="K731" s="28" t="n"/>
    </row>
    <row r="732" ht="12.75" customHeight="1">
      <c r="A732" s="28" t="n"/>
      <c r="B732" s="28" t="n"/>
      <c r="C732" s="28" t="n"/>
      <c r="D732" s="28" t="n"/>
      <c r="E732" s="28" t="n"/>
      <c r="F732" s="28" t="n"/>
      <c r="G732" s="28" t="n"/>
      <c r="H732" s="28" t="n"/>
      <c r="I732" s="28" t="n"/>
      <c r="J732" s="28" t="n"/>
      <c r="K732" s="28" t="n"/>
    </row>
    <row r="733" ht="12.75" customHeight="1">
      <c r="A733" s="28" t="n"/>
      <c r="B733" s="28" t="n"/>
      <c r="C733" s="28" t="n"/>
      <c r="D733" s="28" t="n"/>
      <c r="E733" s="28" t="n"/>
      <c r="F733" s="28" t="n"/>
      <c r="G733" s="28" t="n"/>
      <c r="H733" s="28" t="n"/>
      <c r="I733" s="28" t="n"/>
      <c r="J733" s="28" t="n"/>
      <c r="K733" s="28" t="n"/>
    </row>
    <row r="734" ht="12.75" customHeight="1">
      <c r="A734" s="28" t="n"/>
      <c r="B734" s="28" t="n"/>
      <c r="C734" s="28" t="n"/>
      <c r="D734" s="28" t="n"/>
      <c r="E734" s="28" t="n"/>
      <c r="F734" s="28" t="n"/>
      <c r="G734" s="28" t="n"/>
      <c r="H734" s="28" t="n"/>
      <c r="I734" s="28" t="n"/>
      <c r="J734" s="28" t="n"/>
      <c r="K734" s="28" t="n"/>
    </row>
    <row r="735" ht="12.75" customHeight="1">
      <c r="A735" s="28" t="n"/>
      <c r="B735" s="28" t="n"/>
      <c r="C735" s="28" t="n"/>
      <c r="D735" s="28" t="n"/>
      <c r="E735" s="28" t="n"/>
      <c r="F735" s="28" t="n"/>
      <c r="G735" s="28" t="n"/>
      <c r="H735" s="28" t="n"/>
      <c r="I735" s="28" t="n"/>
      <c r="J735" s="28" t="n"/>
      <c r="K735" s="28" t="n"/>
    </row>
    <row r="736" ht="12.75" customHeight="1">
      <c r="A736" s="28" t="n"/>
      <c r="B736" s="28" t="n"/>
      <c r="C736" s="28" t="n"/>
      <c r="D736" s="28" t="n"/>
      <c r="E736" s="28" t="n"/>
      <c r="F736" s="28" t="n"/>
      <c r="G736" s="28" t="n"/>
      <c r="H736" s="28" t="n"/>
      <c r="I736" s="28" t="n"/>
      <c r="J736" s="28" t="n"/>
      <c r="K736" s="28" t="n"/>
    </row>
    <row r="737" ht="12.75" customHeight="1">
      <c r="A737" s="28" t="n"/>
      <c r="B737" s="28" t="n"/>
      <c r="C737" s="28" t="n"/>
      <c r="D737" s="28" t="n"/>
      <c r="E737" s="28" t="n"/>
      <c r="F737" s="28" t="n"/>
      <c r="G737" s="28" t="n"/>
      <c r="H737" s="28" t="n"/>
      <c r="I737" s="28" t="n"/>
      <c r="J737" s="28" t="n"/>
      <c r="K737" s="28" t="n"/>
    </row>
    <row r="738" ht="12.75" customHeight="1">
      <c r="A738" s="28" t="n"/>
      <c r="B738" s="28" t="n"/>
      <c r="C738" s="28" t="n"/>
      <c r="D738" s="28" t="n"/>
      <c r="E738" s="28" t="n"/>
      <c r="F738" s="28" t="n"/>
      <c r="G738" s="28" t="n"/>
      <c r="H738" s="28" t="n"/>
      <c r="I738" s="28" t="n"/>
      <c r="J738" s="28" t="n"/>
      <c r="K738" s="28" t="n"/>
    </row>
    <row r="739" ht="12.75" customHeight="1">
      <c r="A739" s="28" t="n"/>
      <c r="B739" s="28" t="n"/>
      <c r="C739" s="28" t="n"/>
      <c r="D739" s="28" t="n"/>
      <c r="E739" s="28" t="n"/>
      <c r="F739" s="28" t="n"/>
      <c r="G739" s="28" t="n"/>
      <c r="H739" s="28" t="n"/>
      <c r="I739" s="28" t="n"/>
      <c r="J739" s="28" t="n"/>
      <c r="K739" s="28" t="n"/>
    </row>
    <row r="740" ht="12.75" customHeight="1">
      <c r="A740" s="28" t="n"/>
      <c r="B740" s="28" t="n"/>
      <c r="C740" s="28" t="n"/>
      <c r="D740" s="28" t="n"/>
      <c r="E740" s="28" t="n"/>
      <c r="F740" s="28" t="n"/>
      <c r="G740" s="28" t="n"/>
      <c r="H740" s="28" t="n"/>
      <c r="I740" s="28" t="n"/>
      <c r="J740" s="28" t="n"/>
      <c r="K740" s="28" t="n"/>
    </row>
    <row r="741" ht="12.75" customHeight="1">
      <c r="A741" s="28" t="n"/>
      <c r="B741" s="28" t="n"/>
      <c r="C741" s="28" t="n"/>
      <c r="D741" s="28" t="n"/>
      <c r="E741" s="28" t="n"/>
      <c r="F741" s="28" t="n"/>
      <c r="G741" s="28" t="n"/>
      <c r="H741" s="28" t="n"/>
      <c r="I741" s="28" t="n"/>
      <c r="J741" s="28" t="n"/>
      <c r="K741" s="28" t="n"/>
    </row>
    <row r="742" ht="12.75" customHeight="1">
      <c r="A742" s="28" t="n"/>
      <c r="B742" s="28" t="n"/>
      <c r="C742" s="28" t="n"/>
      <c r="D742" s="28" t="n"/>
      <c r="E742" s="28" t="n"/>
      <c r="F742" s="28" t="n"/>
      <c r="G742" s="28" t="n"/>
      <c r="H742" s="28" t="n"/>
      <c r="I742" s="28" t="n"/>
      <c r="J742" s="28" t="n"/>
      <c r="K742" s="28" t="n"/>
    </row>
    <row r="743" ht="12.75" customHeight="1">
      <c r="A743" s="28" t="n"/>
      <c r="B743" s="28" t="n"/>
      <c r="C743" s="28" t="n"/>
      <c r="D743" s="28" t="n"/>
      <c r="E743" s="28" t="n"/>
      <c r="F743" s="28" t="n"/>
      <c r="G743" s="28" t="n"/>
      <c r="H743" s="28" t="n"/>
      <c r="I743" s="28" t="n"/>
      <c r="J743" s="28" t="n"/>
      <c r="K743" s="28" t="n"/>
    </row>
    <row r="744" ht="12.75" customHeight="1">
      <c r="A744" s="28" t="n"/>
      <c r="B744" s="28" t="n"/>
      <c r="C744" s="28" t="n"/>
      <c r="D744" s="28" t="n"/>
      <c r="E744" s="28" t="n"/>
      <c r="F744" s="28" t="n"/>
      <c r="G744" s="28" t="n"/>
      <c r="H744" s="28" t="n"/>
      <c r="I744" s="28" t="n"/>
      <c r="J744" s="28" t="n"/>
      <c r="K744" s="28" t="n"/>
    </row>
    <row r="745" ht="12.75" customHeight="1">
      <c r="A745" s="28" t="n"/>
      <c r="B745" s="28" t="n"/>
      <c r="C745" s="28" t="n"/>
      <c r="D745" s="28" t="n"/>
      <c r="E745" s="28" t="n"/>
      <c r="F745" s="28" t="n"/>
      <c r="G745" s="28" t="n"/>
      <c r="H745" s="28" t="n"/>
      <c r="I745" s="28" t="n"/>
      <c r="J745" s="28" t="n"/>
      <c r="K745" s="28" t="n"/>
    </row>
    <row r="746" ht="12.75" customHeight="1">
      <c r="A746" s="28" t="n"/>
      <c r="B746" s="28" t="n"/>
      <c r="C746" s="28" t="n"/>
      <c r="D746" s="28" t="n"/>
      <c r="E746" s="28" t="n"/>
      <c r="F746" s="28" t="n"/>
      <c r="G746" s="28" t="n"/>
      <c r="H746" s="28" t="n"/>
      <c r="I746" s="28" t="n"/>
      <c r="J746" s="28" t="n"/>
      <c r="K746" s="28" t="n"/>
    </row>
    <row r="747" ht="12.75" customHeight="1">
      <c r="A747" s="28" t="n"/>
      <c r="B747" s="28" t="n"/>
      <c r="C747" s="28" t="n"/>
      <c r="D747" s="28" t="n"/>
      <c r="E747" s="28" t="n"/>
      <c r="F747" s="28" t="n"/>
      <c r="G747" s="28" t="n"/>
      <c r="H747" s="28" t="n"/>
      <c r="I747" s="28" t="n"/>
      <c r="J747" s="28" t="n"/>
      <c r="K747" s="28" t="n"/>
    </row>
    <row r="748" ht="12.75" customHeight="1">
      <c r="A748" s="28" t="n"/>
      <c r="B748" s="28" t="n"/>
      <c r="C748" s="28" t="n"/>
      <c r="D748" s="28" t="n"/>
      <c r="E748" s="28" t="n"/>
      <c r="F748" s="28" t="n"/>
      <c r="G748" s="28" t="n"/>
      <c r="H748" s="28" t="n"/>
      <c r="I748" s="28" t="n"/>
      <c r="J748" s="28" t="n"/>
      <c r="K748" s="28" t="n"/>
    </row>
    <row r="749" ht="12.75" customHeight="1">
      <c r="A749" s="28" t="n"/>
      <c r="B749" s="28" t="n"/>
      <c r="C749" s="28" t="n"/>
      <c r="D749" s="28" t="n"/>
      <c r="E749" s="28" t="n"/>
      <c r="F749" s="28" t="n"/>
      <c r="G749" s="28" t="n"/>
      <c r="H749" s="28" t="n"/>
      <c r="I749" s="28" t="n"/>
      <c r="J749" s="28" t="n"/>
      <c r="K749" s="28" t="n"/>
    </row>
    <row r="750" ht="12.75" customHeight="1">
      <c r="A750" s="28" t="n"/>
      <c r="B750" s="28" t="n"/>
      <c r="C750" s="28" t="n"/>
      <c r="D750" s="28" t="n"/>
      <c r="E750" s="28" t="n"/>
      <c r="F750" s="28" t="n"/>
      <c r="G750" s="28" t="n"/>
      <c r="H750" s="28" t="n"/>
      <c r="I750" s="28" t="n"/>
      <c r="J750" s="28" t="n"/>
      <c r="K750" s="28" t="n"/>
    </row>
    <row r="751" ht="12.75" customHeight="1">
      <c r="A751" s="28" t="n"/>
      <c r="B751" s="28" t="n"/>
      <c r="C751" s="28" t="n"/>
      <c r="D751" s="28" t="n"/>
      <c r="E751" s="28" t="n"/>
      <c r="F751" s="28" t="n"/>
      <c r="G751" s="28" t="n"/>
      <c r="H751" s="28" t="n"/>
      <c r="I751" s="28" t="n"/>
      <c r="J751" s="28" t="n"/>
      <c r="K751" s="28" t="n"/>
    </row>
    <row r="752" ht="12.75" customHeight="1">
      <c r="A752" s="28" t="n"/>
      <c r="B752" s="28" t="n"/>
      <c r="C752" s="28" t="n"/>
      <c r="D752" s="28" t="n"/>
      <c r="E752" s="28" t="n"/>
      <c r="F752" s="28" t="n"/>
      <c r="G752" s="28" t="n"/>
      <c r="H752" s="28" t="n"/>
      <c r="I752" s="28" t="n"/>
      <c r="J752" s="28" t="n"/>
      <c r="K752" s="28" t="n"/>
    </row>
    <row r="753" ht="12.75" customHeight="1">
      <c r="A753" s="28" t="n"/>
      <c r="B753" s="28" t="n"/>
      <c r="C753" s="28" t="n"/>
      <c r="D753" s="28" t="n"/>
      <c r="E753" s="28" t="n"/>
      <c r="F753" s="28" t="n"/>
      <c r="G753" s="28" t="n"/>
      <c r="H753" s="28" t="n"/>
      <c r="I753" s="28" t="n"/>
      <c r="J753" s="28" t="n"/>
      <c r="K753" s="28" t="n"/>
    </row>
    <row r="754" ht="12.75" customHeight="1">
      <c r="A754" s="28" t="n"/>
      <c r="B754" s="28" t="n"/>
      <c r="C754" s="28" t="n"/>
      <c r="D754" s="28" t="n"/>
      <c r="E754" s="28" t="n"/>
      <c r="F754" s="28" t="n"/>
      <c r="G754" s="28" t="n"/>
      <c r="H754" s="28" t="n"/>
      <c r="I754" s="28" t="n"/>
      <c r="J754" s="28" t="n"/>
      <c r="K754" s="28" t="n"/>
    </row>
    <row r="755" ht="12.75" customHeight="1">
      <c r="A755" s="28" t="n"/>
      <c r="B755" s="28" t="n"/>
      <c r="C755" s="28" t="n"/>
      <c r="D755" s="28" t="n"/>
      <c r="E755" s="28" t="n"/>
      <c r="F755" s="28" t="n"/>
      <c r="G755" s="28" t="n"/>
      <c r="H755" s="28" t="n"/>
      <c r="I755" s="28" t="n"/>
      <c r="J755" s="28" t="n"/>
      <c r="K755" s="28" t="n"/>
    </row>
    <row r="756" ht="12.75" customHeight="1">
      <c r="A756" s="28" t="n"/>
      <c r="B756" s="28" t="n"/>
      <c r="C756" s="28" t="n"/>
      <c r="D756" s="28" t="n"/>
      <c r="E756" s="28" t="n"/>
      <c r="F756" s="28" t="n"/>
      <c r="G756" s="28" t="n"/>
      <c r="H756" s="28" t="n"/>
      <c r="I756" s="28" t="n"/>
      <c r="J756" s="28" t="n"/>
      <c r="K756" s="28" t="n"/>
    </row>
    <row r="757" ht="12.75" customHeight="1">
      <c r="A757" s="28" t="n"/>
      <c r="B757" s="28" t="n"/>
      <c r="C757" s="28" t="n"/>
      <c r="D757" s="28" t="n"/>
      <c r="E757" s="28" t="n"/>
      <c r="F757" s="28" t="n"/>
      <c r="G757" s="28" t="n"/>
      <c r="H757" s="28" t="n"/>
      <c r="I757" s="28" t="n"/>
      <c r="J757" s="28" t="n"/>
      <c r="K757" s="28" t="n"/>
    </row>
    <row r="758" ht="12.75" customHeight="1">
      <c r="A758" s="28" t="n"/>
      <c r="B758" s="28" t="n"/>
      <c r="C758" s="28" t="n"/>
      <c r="D758" s="28" t="n"/>
      <c r="E758" s="28" t="n"/>
      <c r="F758" s="28" t="n"/>
      <c r="G758" s="28" t="n"/>
      <c r="H758" s="28" t="n"/>
      <c r="I758" s="28" t="n"/>
      <c r="J758" s="28" t="n"/>
      <c r="K758" s="28" t="n"/>
    </row>
    <row r="759" ht="12.75" customHeight="1">
      <c r="A759" s="28" t="n"/>
      <c r="B759" s="28" t="n"/>
      <c r="C759" s="28" t="n"/>
      <c r="D759" s="28" t="n"/>
      <c r="E759" s="28" t="n"/>
      <c r="F759" s="28" t="n"/>
      <c r="G759" s="28" t="n"/>
      <c r="H759" s="28" t="n"/>
      <c r="I759" s="28" t="n"/>
      <c r="J759" s="28" t="n"/>
      <c r="K759" s="28" t="n"/>
    </row>
    <row r="760" ht="12.75" customHeight="1">
      <c r="A760" s="28" t="n"/>
      <c r="B760" s="28" t="n"/>
      <c r="C760" s="28" t="n"/>
      <c r="D760" s="28" t="n"/>
      <c r="E760" s="28" t="n"/>
      <c r="F760" s="28" t="n"/>
      <c r="G760" s="28" t="n"/>
      <c r="H760" s="28" t="n"/>
      <c r="I760" s="28" t="n"/>
      <c r="J760" s="28" t="n"/>
      <c r="K760" s="28" t="n"/>
    </row>
    <row r="761" ht="12.75" customHeight="1">
      <c r="A761" s="28" t="n"/>
      <c r="B761" s="28" t="n"/>
      <c r="C761" s="28" t="n"/>
      <c r="D761" s="28" t="n"/>
      <c r="E761" s="28" t="n"/>
      <c r="F761" s="28" t="n"/>
      <c r="G761" s="28" t="n"/>
      <c r="H761" s="28" t="n"/>
      <c r="I761" s="28" t="n"/>
      <c r="J761" s="28" t="n"/>
      <c r="K761" s="28" t="n"/>
    </row>
    <row r="762" ht="12.75" customHeight="1">
      <c r="A762" s="28" t="n"/>
      <c r="B762" s="28" t="n"/>
      <c r="C762" s="28" t="n"/>
      <c r="D762" s="28" t="n"/>
      <c r="E762" s="28" t="n"/>
      <c r="F762" s="28" t="n"/>
      <c r="G762" s="28" t="n"/>
      <c r="H762" s="28" t="n"/>
      <c r="I762" s="28" t="n"/>
      <c r="J762" s="28" t="n"/>
      <c r="K762" s="28" t="n"/>
    </row>
    <row r="763" ht="12.75" customHeight="1">
      <c r="A763" s="28" t="n"/>
      <c r="B763" s="28" t="n"/>
      <c r="C763" s="28" t="n"/>
      <c r="D763" s="28" t="n"/>
      <c r="E763" s="28" t="n"/>
      <c r="F763" s="28" t="n"/>
      <c r="G763" s="28" t="n"/>
      <c r="H763" s="28" t="n"/>
      <c r="I763" s="28" t="n"/>
      <c r="J763" s="28" t="n"/>
      <c r="K763" s="28" t="n"/>
    </row>
    <row r="764" ht="12.75" customHeight="1">
      <c r="A764" s="28" t="n"/>
      <c r="B764" s="28" t="n"/>
      <c r="C764" s="28" t="n"/>
      <c r="D764" s="28" t="n"/>
      <c r="E764" s="28" t="n"/>
      <c r="F764" s="28" t="n"/>
      <c r="G764" s="28" t="n"/>
      <c r="H764" s="28" t="n"/>
      <c r="I764" s="28" t="n"/>
      <c r="J764" s="28" t="n"/>
      <c r="K764" s="28" t="n"/>
    </row>
    <row r="765" ht="12.75" customHeight="1">
      <c r="A765" s="28" t="n"/>
      <c r="B765" s="28" t="n"/>
      <c r="C765" s="28" t="n"/>
      <c r="D765" s="28" t="n"/>
      <c r="E765" s="28" t="n"/>
      <c r="F765" s="28" t="n"/>
      <c r="G765" s="28" t="n"/>
      <c r="H765" s="28" t="n"/>
      <c r="I765" s="28" t="n"/>
      <c r="J765" s="28" t="n"/>
      <c r="K765" s="28" t="n"/>
    </row>
    <row r="766" ht="12.75" customHeight="1">
      <c r="A766" s="28" t="n"/>
      <c r="B766" s="28" t="n"/>
      <c r="C766" s="28" t="n"/>
      <c r="D766" s="28" t="n"/>
      <c r="E766" s="28" t="n"/>
      <c r="F766" s="28" t="n"/>
      <c r="G766" s="28" t="n"/>
      <c r="H766" s="28" t="n"/>
      <c r="I766" s="28" t="n"/>
      <c r="J766" s="28" t="n"/>
      <c r="K766" s="28" t="n"/>
    </row>
    <row r="767" ht="12.75" customHeight="1">
      <c r="A767" s="28" t="n"/>
      <c r="B767" s="28" t="n"/>
      <c r="C767" s="28" t="n"/>
      <c r="D767" s="28" t="n"/>
      <c r="E767" s="28" t="n"/>
      <c r="F767" s="28" t="n"/>
      <c r="G767" s="28" t="n"/>
      <c r="H767" s="28" t="n"/>
      <c r="I767" s="28" t="n"/>
      <c r="J767" s="28" t="n"/>
      <c r="K767" s="28" t="n"/>
    </row>
    <row r="768" ht="12.75" customHeight="1">
      <c r="A768" s="28" t="n"/>
      <c r="B768" s="28" t="n"/>
      <c r="C768" s="28" t="n"/>
      <c r="D768" s="28" t="n"/>
      <c r="E768" s="28" t="n"/>
      <c r="F768" s="28" t="n"/>
      <c r="G768" s="28" t="n"/>
      <c r="H768" s="28" t="n"/>
      <c r="I768" s="28" t="n"/>
      <c r="J768" s="28" t="n"/>
      <c r="K768" s="28" t="n"/>
    </row>
    <row r="769" ht="12.75" customHeight="1">
      <c r="A769" s="28" t="n"/>
      <c r="B769" s="28" t="n"/>
      <c r="C769" s="28" t="n"/>
      <c r="D769" s="28" t="n"/>
      <c r="E769" s="28" t="n"/>
      <c r="F769" s="28" t="n"/>
      <c r="G769" s="28" t="n"/>
      <c r="H769" s="28" t="n"/>
      <c r="I769" s="28" t="n"/>
      <c r="J769" s="28" t="n"/>
      <c r="K769" s="28" t="n"/>
    </row>
    <row r="770" ht="12.75" customHeight="1">
      <c r="A770" s="28" t="n"/>
      <c r="B770" s="28" t="n"/>
      <c r="C770" s="28" t="n"/>
      <c r="D770" s="28" t="n"/>
      <c r="E770" s="28" t="n"/>
      <c r="F770" s="28" t="n"/>
      <c r="G770" s="28" t="n"/>
      <c r="H770" s="28" t="n"/>
      <c r="I770" s="28" t="n"/>
      <c r="J770" s="28" t="n"/>
      <c r="K770" s="28" t="n"/>
    </row>
    <row r="771" ht="12.75" customHeight="1">
      <c r="A771" s="28" t="n"/>
      <c r="B771" s="28" t="n"/>
      <c r="C771" s="28" t="n"/>
      <c r="D771" s="28" t="n"/>
      <c r="E771" s="28" t="n"/>
      <c r="F771" s="28" t="n"/>
      <c r="G771" s="28" t="n"/>
      <c r="H771" s="28" t="n"/>
      <c r="I771" s="28" t="n"/>
      <c r="J771" s="28" t="n"/>
      <c r="K771" s="28" t="n"/>
    </row>
    <row r="772" ht="12.75" customHeight="1">
      <c r="A772" s="28" t="n"/>
      <c r="B772" s="28" t="n"/>
      <c r="C772" s="28" t="n"/>
      <c r="D772" s="28" t="n"/>
      <c r="E772" s="28" t="n"/>
      <c r="F772" s="28" t="n"/>
      <c r="G772" s="28" t="n"/>
      <c r="H772" s="28" t="n"/>
      <c r="I772" s="28" t="n"/>
      <c r="J772" s="28" t="n"/>
      <c r="K772" s="28" t="n"/>
    </row>
    <row r="773" ht="12.75" customHeight="1">
      <c r="A773" s="28" t="n"/>
      <c r="B773" s="28" t="n"/>
      <c r="C773" s="28" t="n"/>
      <c r="D773" s="28" t="n"/>
      <c r="E773" s="28" t="n"/>
      <c r="F773" s="28" t="n"/>
      <c r="G773" s="28" t="n"/>
      <c r="H773" s="28" t="n"/>
      <c r="I773" s="28" t="n"/>
      <c r="J773" s="28" t="n"/>
      <c r="K773" s="28" t="n"/>
    </row>
    <row r="774" ht="12.75" customHeight="1">
      <c r="A774" s="28" t="n"/>
      <c r="B774" s="28" t="n"/>
      <c r="C774" s="28" t="n"/>
      <c r="D774" s="28" t="n"/>
      <c r="E774" s="28" t="n"/>
      <c r="F774" s="28" t="n"/>
      <c r="G774" s="28" t="n"/>
      <c r="H774" s="28" t="n"/>
      <c r="I774" s="28" t="n"/>
      <c r="J774" s="28" t="n"/>
      <c r="K774" s="28" t="n"/>
    </row>
    <row r="775" ht="12.75" customHeight="1">
      <c r="A775" s="28" t="n"/>
      <c r="B775" s="28" t="n"/>
      <c r="C775" s="28" t="n"/>
      <c r="D775" s="28" t="n"/>
      <c r="E775" s="28" t="n"/>
      <c r="F775" s="28" t="n"/>
      <c r="G775" s="28" t="n"/>
      <c r="H775" s="28" t="n"/>
      <c r="I775" s="28" t="n"/>
      <c r="J775" s="28" t="n"/>
      <c r="K775" s="28" t="n"/>
    </row>
    <row r="776" ht="12.75" customHeight="1">
      <c r="A776" s="28" t="n"/>
      <c r="B776" s="28" t="n"/>
      <c r="C776" s="28" t="n"/>
      <c r="D776" s="28" t="n"/>
      <c r="E776" s="28" t="n"/>
      <c r="F776" s="28" t="n"/>
      <c r="G776" s="28" t="n"/>
      <c r="H776" s="28" t="n"/>
      <c r="I776" s="28" t="n"/>
      <c r="J776" s="28" t="n"/>
      <c r="K776" s="28" t="n"/>
    </row>
    <row r="777" ht="12.75" customHeight="1">
      <c r="A777" s="28" t="n"/>
      <c r="B777" s="28" t="n"/>
      <c r="C777" s="28" t="n"/>
      <c r="D777" s="28" t="n"/>
      <c r="E777" s="28" t="n"/>
      <c r="F777" s="28" t="n"/>
      <c r="G777" s="28" t="n"/>
      <c r="H777" s="28" t="n"/>
      <c r="I777" s="28" t="n"/>
      <c r="J777" s="28" t="n"/>
      <c r="K777" s="28" t="n"/>
    </row>
    <row r="778" ht="12.75" customHeight="1">
      <c r="A778" s="28" t="n"/>
      <c r="B778" s="28" t="n"/>
      <c r="C778" s="28" t="n"/>
      <c r="D778" s="28" t="n"/>
      <c r="E778" s="28" t="n"/>
      <c r="F778" s="28" t="n"/>
      <c r="G778" s="28" t="n"/>
      <c r="H778" s="28" t="n"/>
      <c r="I778" s="28" t="n"/>
      <c r="J778" s="28" t="n"/>
      <c r="K778" s="28" t="n"/>
    </row>
    <row r="779" ht="12.75" customHeight="1">
      <c r="A779" s="28" t="n"/>
      <c r="B779" s="28" t="n"/>
      <c r="C779" s="28" t="n"/>
      <c r="D779" s="28" t="n"/>
      <c r="E779" s="28" t="n"/>
      <c r="F779" s="28" t="n"/>
      <c r="G779" s="28" t="n"/>
      <c r="H779" s="28" t="n"/>
      <c r="I779" s="28" t="n"/>
      <c r="J779" s="28" t="n"/>
      <c r="K779" s="28" t="n"/>
    </row>
    <row r="780" ht="12.75" customHeight="1">
      <c r="A780" s="28" t="n"/>
      <c r="B780" s="28" t="n"/>
      <c r="C780" s="28" t="n"/>
      <c r="D780" s="28" t="n"/>
      <c r="E780" s="28" t="n"/>
      <c r="F780" s="28" t="n"/>
      <c r="G780" s="28" t="n"/>
      <c r="H780" s="28" t="n"/>
      <c r="I780" s="28" t="n"/>
      <c r="J780" s="28" t="n"/>
      <c r="K780" s="28" t="n"/>
    </row>
    <row r="781" ht="12.75" customHeight="1">
      <c r="A781" s="28" t="n"/>
      <c r="B781" s="28" t="n"/>
      <c r="C781" s="28" t="n"/>
      <c r="D781" s="28" t="n"/>
      <c r="E781" s="28" t="n"/>
      <c r="F781" s="28" t="n"/>
      <c r="G781" s="28" t="n"/>
      <c r="H781" s="28" t="n"/>
      <c r="I781" s="28" t="n"/>
      <c r="J781" s="28" t="n"/>
      <c r="K781" s="28" t="n"/>
    </row>
    <row r="782" ht="12.75" customHeight="1">
      <c r="A782" s="28" t="n"/>
      <c r="B782" s="28" t="n"/>
      <c r="C782" s="28" t="n"/>
      <c r="D782" s="28" t="n"/>
      <c r="E782" s="28" t="n"/>
      <c r="F782" s="28" t="n"/>
      <c r="G782" s="28" t="n"/>
      <c r="H782" s="28" t="n"/>
      <c r="I782" s="28" t="n"/>
      <c r="J782" s="28" t="n"/>
      <c r="K782" s="28" t="n"/>
    </row>
    <row r="783" ht="12.75" customHeight="1">
      <c r="A783" s="28" t="n"/>
      <c r="B783" s="28" t="n"/>
      <c r="C783" s="28" t="n"/>
      <c r="D783" s="28" t="n"/>
      <c r="E783" s="28" t="n"/>
      <c r="F783" s="28" t="n"/>
      <c r="G783" s="28" t="n"/>
      <c r="H783" s="28" t="n"/>
      <c r="I783" s="28" t="n"/>
      <c r="J783" s="28" t="n"/>
      <c r="K783" s="28" t="n"/>
    </row>
    <row r="784" ht="12.75" customHeight="1">
      <c r="A784" s="28" t="n"/>
      <c r="B784" s="28" t="n"/>
      <c r="C784" s="28" t="n"/>
      <c r="D784" s="28" t="n"/>
      <c r="E784" s="28" t="n"/>
      <c r="F784" s="28" t="n"/>
      <c r="G784" s="28" t="n"/>
      <c r="H784" s="28" t="n"/>
      <c r="I784" s="28" t="n"/>
      <c r="J784" s="28" t="n"/>
      <c r="K784" s="28" t="n"/>
    </row>
    <row r="785" ht="12.75" customHeight="1">
      <c r="A785" s="28" t="n"/>
      <c r="B785" s="28" t="n"/>
      <c r="C785" s="28" t="n"/>
      <c r="D785" s="28" t="n"/>
      <c r="E785" s="28" t="n"/>
      <c r="F785" s="28" t="n"/>
      <c r="G785" s="28" t="n"/>
      <c r="H785" s="28" t="n"/>
      <c r="I785" s="28" t="n"/>
      <c r="J785" s="28" t="n"/>
      <c r="K785" s="28" t="n"/>
    </row>
    <row r="786" ht="12.75" customHeight="1">
      <c r="A786" s="28" t="n"/>
      <c r="B786" s="28" t="n"/>
      <c r="C786" s="28" t="n"/>
      <c r="D786" s="28" t="n"/>
      <c r="E786" s="28" t="n"/>
      <c r="F786" s="28" t="n"/>
      <c r="G786" s="28" t="n"/>
      <c r="H786" s="28" t="n"/>
      <c r="I786" s="28" t="n"/>
      <c r="J786" s="28" t="n"/>
      <c r="K786" s="28" t="n"/>
    </row>
    <row r="787" ht="12.75" customHeight="1">
      <c r="A787" s="28" t="n"/>
      <c r="B787" s="28" t="n"/>
      <c r="C787" s="28" t="n"/>
      <c r="D787" s="28" t="n"/>
      <c r="E787" s="28" t="n"/>
      <c r="F787" s="28" t="n"/>
      <c r="G787" s="28" t="n"/>
      <c r="H787" s="28" t="n"/>
      <c r="I787" s="28" t="n"/>
      <c r="J787" s="28" t="n"/>
      <c r="K787" s="28" t="n"/>
    </row>
    <row r="788" ht="12.75" customHeight="1">
      <c r="A788" s="28" t="n"/>
      <c r="B788" s="28" t="n"/>
      <c r="C788" s="28" t="n"/>
      <c r="D788" s="28" t="n"/>
      <c r="E788" s="28" t="n"/>
      <c r="F788" s="28" t="n"/>
      <c r="G788" s="28" t="n"/>
      <c r="H788" s="28" t="n"/>
      <c r="I788" s="28" t="n"/>
      <c r="J788" s="28" t="n"/>
      <c r="K788" s="28" t="n"/>
    </row>
    <row r="789" ht="12.75" customHeight="1">
      <c r="A789" s="28" t="n"/>
      <c r="B789" s="28" t="n"/>
      <c r="C789" s="28" t="n"/>
      <c r="D789" s="28" t="n"/>
      <c r="E789" s="28" t="n"/>
      <c r="F789" s="28" t="n"/>
      <c r="G789" s="28" t="n"/>
      <c r="H789" s="28" t="n"/>
      <c r="I789" s="28" t="n"/>
      <c r="J789" s="28" t="n"/>
      <c r="K789" s="28" t="n"/>
    </row>
    <row r="790" ht="12.75" customHeight="1">
      <c r="A790" s="28" t="n"/>
      <c r="B790" s="28" t="n"/>
      <c r="C790" s="28" t="n"/>
      <c r="D790" s="28" t="n"/>
      <c r="E790" s="28" t="n"/>
      <c r="F790" s="28" t="n"/>
      <c r="G790" s="28" t="n"/>
      <c r="H790" s="28" t="n"/>
      <c r="I790" s="28" t="n"/>
      <c r="J790" s="28" t="n"/>
      <c r="K790" s="28" t="n"/>
    </row>
    <row r="791" ht="12.75" customHeight="1">
      <c r="A791" s="28" t="n"/>
      <c r="B791" s="28" t="n"/>
      <c r="C791" s="28" t="n"/>
      <c r="D791" s="28" t="n"/>
      <c r="E791" s="28" t="n"/>
      <c r="F791" s="28" t="n"/>
      <c r="G791" s="28" t="n"/>
      <c r="H791" s="28" t="n"/>
      <c r="I791" s="28" t="n"/>
      <c r="J791" s="28" t="n"/>
      <c r="K791" s="28" t="n"/>
    </row>
    <row r="792" ht="12.75" customHeight="1">
      <c r="A792" s="28" t="n"/>
      <c r="B792" s="28" t="n"/>
      <c r="C792" s="28" t="n"/>
      <c r="D792" s="28" t="n"/>
      <c r="E792" s="28" t="n"/>
      <c r="F792" s="28" t="n"/>
      <c r="G792" s="28" t="n"/>
      <c r="H792" s="28" t="n"/>
      <c r="I792" s="28" t="n"/>
      <c r="J792" s="28" t="n"/>
      <c r="K792" s="28" t="n"/>
    </row>
    <row r="793" ht="12.75" customHeight="1">
      <c r="A793" s="28" t="n"/>
      <c r="B793" s="28" t="n"/>
      <c r="C793" s="28" t="n"/>
      <c r="D793" s="28" t="n"/>
      <c r="E793" s="28" t="n"/>
      <c r="F793" s="28" t="n"/>
      <c r="G793" s="28" t="n"/>
      <c r="H793" s="28" t="n"/>
      <c r="I793" s="28" t="n"/>
      <c r="J793" s="28" t="n"/>
      <c r="K793" s="28" t="n"/>
    </row>
    <row r="794" ht="12.75" customHeight="1">
      <c r="A794" s="28" t="n"/>
      <c r="B794" s="28" t="n"/>
      <c r="C794" s="28" t="n"/>
      <c r="D794" s="28" t="n"/>
      <c r="E794" s="28" t="n"/>
      <c r="F794" s="28" t="n"/>
      <c r="G794" s="28" t="n"/>
      <c r="H794" s="28" t="n"/>
      <c r="I794" s="28" t="n"/>
      <c r="J794" s="28" t="n"/>
      <c r="K794" s="28" t="n"/>
    </row>
    <row r="795" ht="12.75" customHeight="1">
      <c r="A795" s="28" t="n"/>
      <c r="B795" s="28" t="n"/>
      <c r="C795" s="28" t="n"/>
      <c r="D795" s="28" t="n"/>
      <c r="E795" s="28" t="n"/>
      <c r="F795" s="28" t="n"/>
      <c r="G795" s="28" t="n"/>
      <c r="H795" s="28" t="n"/>
      <c r="I795" s="28" t="n"/>
      <c r="J795" s="28" t="n"/>
      <c r="K795" s="28" t="n"/>
    </row>
    <row r="796" ht="12.75" customHeight="1">
      <c r="A796" s="28" t="n"/>
      <c r="B796" s="28" t="n"/>
      <c r="C796" s="28" t="n"/>
      <c r="D796" s="28" t="n"/>
      <c r="E796" s="28" t="n"/>
      <c r="F796" s="28" t="n"/>
      <c r="G796" s="28" t="n"/>
      <c r="H796" s="28" t="n"/>
      <c r="I796" s="28" t="n"/>
      <c r="J796" s="28" t="n"/>
      <c r="K796" s="28" t="n"/>
    </row>
    <row r="797" ht="12.75" customHeight="1">
      <c r="A797" s="28" t="n"/>
      <c r="B797" s="28" t="n"/>
      <c r="C797" s="28" t="n"/>
      <c r="D797" s="28" t="n"/>
      <c r="E797" s="28" t="n"/>
      <c r="F797" s="28" t="n"/>
      <c r="G797" s="28" t="n"/>
      <c r="H797" s="28" t="n"/>
      <c r="I797" s="28" t="n"/>
      <c r="J797" s="28" t="n"/>
      <c r="K797" s="28" t="n"/>
    </row>
    <row r="798" ht="12.75" customHeight="1">
      <c r="A798" s="28" t="n"/>
      <c r="B798" s="28" t="n"/>
      <c r="C798" s="28" t="n"/>
      <c r="D798" s="28" t="n"/>
      <c r="E798" s="28" t="n"/>
      <c r="F798" s="28" t="n"/>
      <c r="G798" s="28" t="n"/>
      <c r="H798" s="28" t="n"/>
      <c r="I798" s="28" t="n"/>
      <c r="J798" s="28" t="n"/>
      <c r="K798" s="28" t="n"/>
    </row>
    <row r="799" ht="12.75" customHeight="1">
      <c r="A799" s="28" t="n"/>
      <c r="B799" s="28" t="n"/>
      <c r="C799" s="28" t="n"/>
      <c r="D799" s="28" t="n"/>
      <c r="E799" s="28" t="n"/>
      <c r="F799" s="28" t="n"/>
      <c r="G799" s="28" t="n"/>
      <c r="H799" s="28" t="n"/>
      <c r="I799" s="28" t="n"/>
      <c r="J799" s="28" t="n"/>
      <c r="K799" s="28" t="n"/>
    </row>
    <row r="800" ht="12.75" customHeight="1">
      <c r="A800" s="28" t="n"/>
      <c r="B800" s="28" t="n"/>
      <c r="C800" s="28" t="n"/>
      <c r="D800" s="28" t="n"/>
      <c r="E800" s="28" t="n"/>
      <c r="F800" s="28" t="n"/>
      <c r="G800" s="28" t="n"/>
      <c r="H800" s="28" t="n"/>
      <c r="I800" s="28" t="n"/>
      <c r="J800" s="28" t="n"/>
      <c r="K800" s="28" t="n"/>
    </row>
    <row r="801" ht="12.75" customHeight="1">
      <c r="A801" s="28" t="n"/>
      <c r="B801" s="28" t="n"/>
      <c r="C801" s="28" t="n"/>
      <c r="D801" s="28" t="n"/>
      <c r="E801" s="28" t="n"/>
      <c r="F801" s="28" t="n"/>
      <c r="G801" s="28" t="n"/>
      <c r="H801" s="28" t="n"/>
      <c r="I801" s="28" t="n"/>
      <c r="J801" s="28" t="n"/>
      <c r="K801" s="28" t="n"/>
    </row>
    <row r="802" ht="12.75" customHeight="1">
      <c r="A802" s="28" t="n"/>
      <c r="B802" s="28" t="n"/>
      <c r="C802" s="28" t="n"/>
      <c r="D802" s="28" t="n"/>
      <c r="E802" s="28" t="n"/>
      <c r="F802" s="28" t="n"/>
      <c r="G802" s="28" t="n"/>
      <c r="H802" s="28" t="n"/>
      <c r="I802" s="28" t="n"/>
      <c r="J802" s="28" t="n"/>
      <c r="K802" s="28" t="n"/>
    </row>
    <row r="803" ht="12.75" customHeight="1">
      <c r="A803" s="28" t="n"/>
      <c r="B803" s="28" t="n"/>
      <c r="C803" s="28" t="n"/>
      <c r="D803" s="28" t="n"/>
      <c r="E803" s="28" t="n"/>
      <c r="F803" s="28" t="n"/>
      <c r="G803" s="28" t="n"/>
      <c r="H803" s="28" t="n"/>
      <c r="I803" s="28" t="n"/>
      <c r="J803" s="28" t="n"/>
      <c r="K803" s="28" t="n"/>
    </row>
    <row r="804" ht="12.75" customHeight="1">
      <c r="A804" s="28" t="n"/>
      <c r="B804" s="28" t="n"/>
      <c r="C804" s="28" t="n"/>
      <c r="D804" s="28" t="n"/>
      <c r="E804" s="28" t="n"/>
      <c r="F804" s="28" t="n"/>
      <c r="G804" s="28" t="n"/>
      <c r="H804" s="28" t="n"/>
      <c r="I804" s="28" t="n"/>
      <c r="J804" s="28" t="n"/>
      <c r="K804" s="28" t="n"/>
    </row>
    <row r="805" ht="12.75" customHeight="1">
      <c r="A805" s="28" t="n"/>
      <c r="B805" s="28" t="n"/>
      <c r="C805" s="28" t="n"/>
      <c r="D805" s="28" t="n"/>
      <c r="E805" s="28" t="n"/>
      <c r="F805" s="28" t="n"/>
      <c r="G805" s="28" t="n"/>
      <c r="H805" s="28" t="n"/>
      <c r="I805" s="28" t="n"/>
      <c r="J805" s="28" t="n"/>
      <c r="K805" s="28" t="n"/>
    </row>
    <row r="806" ht="12.75" customHeight="1">
      <c r="A806" s="28" t="n"/>
      <c r="B806" s="28" t="n"/>
      <c r="C806" s="28" t="n"/>
      <c r="D806" s="28" t="n"/>
      <c r="E806" s="28" t="n"/>
      <c r="F806" s="28" t="n"/>
      <c r="G806" s="28" t="n"/>
      <c r="H806" s="28" t="n"/>
      <c r="I806" s="28" t="n"/>
      <c r="J806" s="28" t="n"/>
      <c r="K806" s="28" t="n"/>
    </row>
    <row r="807" ht="12.75" customHeight="1">
      <c r="A807" s="28" t="n"/>
      <c r="B807" s="28" t="n"/>
      <c r="C807" s="28" t="n"/>
      <c r="D807" s="28" t="n"/>
      <c r="E807" s="28" t="n"/>
      <c r="F807" s="28" t="n"/>
      <c r="G807" s="28" t="n"/>
      <c r="H807" s="28" t="n"/>
      <c r="I807" s="28" t="n"/>
      <c r="J807" s="28" t="n"/>
      <c r="K807" s="28" t="n"/>
    </row>
    <row r="808" ht="12.75" customHeight="1">
      <c r="A808" s="28" t="n"/>
      <c r="B808" s="28" t="n"/>
      <c r="C808" s="28" t="n"/>
      <c r="D808" s="28" t="n"/>
      <c r="E808" s="28" t="n"/>
      <c r="F808" s="28" t="n"/>
      <c r="G808" s="28" t="n"/>
      <c r="H808" s="28" t="n"/>
      <c r="I808" s="28" t="n"/>
      <c r="J808" s="28" t="n"/>
      <c r="K808" s="28" t="n"/>
    </row>
    <row r="809" ht="12.75" customHeight="1">
      <c r="A809" s="28" t="n"/>
      <c r="B809" s="28" t="n"/>
      <c r="C809" s="28" t="n"/>
      <c r="D809" s="28" t="n"/>
      <c r="E809" s="28" t="n"/>
      <c r="F809" s="28" t="n"/>
      <c r="G809" s="28" t="n"/>
      <c r="H809" s="28" t="n"/>
      <c r="I809" s="28" t="n"/>
      <c r="J809" s="28" t="n"/>
      <c r="K809" s="28" t="n"/>
    </row>
    <row r="810" ht="12.75" customHeight="1">
      <c r="A810" s="28" t="n"/>
      <c r="B810" s="28" t="n"/>
      <c r="C810" s="28" t="n"/>
      <c r="D810" s="28" t="n"/>
      <c r="E810" s="28" t="n"/>
      <c r="F810" s="28" t="n"/>
      <c r="G810" s="28" t="n"/>
      <c r="H810" s="28" t="n"/>
      <c r="I810" s="28" t="n"/>
      <c r="J810" s="28" t="n"/>
      <c r="K810" s="28" t="n"/>
    </row>
    <row r="811" ht="12.75" customHeight="1">
      <c r="A811" s="28" t="n"/>
      <c r="B811" s="28" t="n"/>
      <c r="C811" s="28" t="n"/>
      <c r="D811" s="28" t="n"/>
      <c r="E811" s="28" t="n"/>
      <c r="F811" s="28" t="n"/>
      <c r="G811" s="28" t="n"/>
      <c r="H811" s="28" t="n"/>
      <c r="I811" s="28" t="n"/>
      <c r="J811" s="28" t="n"/>
      <c r="K811" s="28" t="n"/>
    </row>
    <row r="812" ht="12.75" customHeight="1">
      <c r="A812" s="28" t="n"/>
      <c r="B812" s="28" t="n"/>
      <c r="C812" s="28" t="n"/>
      <c r="D812" s="28" t="n"/>
      <c r="E812" s="28" t="n"/>
      <c r="F812" s="28" t="n"/>
      <c r="G812" s="28" t="n"/>
      <c r="H812" s="28" t="n"/>
      <c r="I812" s="28" t="n"/>
      <c r="J812" s="28" t="n"/>
      <c r="K812" s="28" t="n"/>
    </row>
    <row r="813" ht="12.75" customHeight="1">
      <c r="A813" s="28" t="n"/>
      <c r="B813" s="28" t="n"/>
      <c r="C813" s="28" t="n"/>
      <c r="D813" s="28" t="n"/>
      <c r="E813" s="28" t="n"/>
      <c r="F813" s="28" t="n"/>
      <c r="G813" s="28" t="n"/>
      <c r="H813" s="28" t="n"/>
      <c r="I813" s="28" t="n"/>
      <c r="J813" s="28" t="n"/>
      <c r="K813" s="28" t="n"/>
    </row>
    <row r="814" ht="12.75" customHeight="1">
      <c r="A814" s="28" t="n"/>
      <c r="B814" s="28" t="n"/>
      <c r="C814" s="28" t="n"/>
      <c r="D814" s="28" t="n"/>
      <c r="E814" s="28" t="n"/>
      <c r="F814" s="28" t="n"/>
      <c r="G814" s="28" t="n"/>
      <c r="H814" s="28" t="n"/>
      <c r="I814" s="28" t="n"/>
      <c r="J814" s="28" t="n"/>
      <c r="K814" s="28" t="n"/>
    </row>
    <row r="815" ht="12.75" customHeight="1">
      <c r="A815" s="28" t="n"/>
      <c r="B815" s="28" t="n"/>
      <c r="C815" s="28" t="n"/>
      <c r="D815" s="28" t="n"/>
      <c r="E815" s="28" t="n"/>
      <c r="F815" s="28" t="n"/>
      <c r="G815" s="28" t="n"/>
      <c r="H815" s="28" t="n"/>
      <c r="I815" s="28" t="n"/>
      <c r="J815" s="28" t="n"/>
      <c r="K815" s="28" t="n"/>
    </row>
    <row r="816" ht="12.75" customHeight="1">
      <c r="A816" s="28" t="n"/>
      <c r="B816" s="28" t="n"/>
      <c r="C816" s="28" t="n"/>
      <c r="D816" s="28" t="n"/>
      <c r="E816" s="28" t="n"/>
      <c r="F816" s="28" t="n"/>
      <c r="G816" s="28" t="n"/>
      <c r="H816" s="28" t="n"/>
      <c r="I816" s="28" t="n"/>
      <c r="J816" s="28" t="n"/>
      <c r="K816" s="28" t="n"/>
    </row>
    <row r="817" ht="12.75" customHeight="1">
      <c r="A817" s="28" t="n"/>
      <c r="B817" s="28" t="n"/>
      <c r="C817" s="28" t="n"/>
      <c r="D817" s="28" t="n"/>
      <c r="E817" s="28" t="n"/>
      <c r="F817" s="28" t="n"/>
      <c r="G817" s="28" t="n"/>
      <c r="H817" s="28" t="n"/>
      <c r="I817" s="28" t="n"/>
      <c r="J817" s="28" t="n"/>
      <c r="K817" s="28" t="n"/>
    </row>
    <row r="818" ht="12.75" customHeight="1">
      <c r="A818" s="28" t="n"/>
      <c r="B818" s="28" t="n"/>
      <c r="C818" s="28" t="n"/>
      <c r="D818" s="28" t="n"/>
      <c r="E818" s="28" t="n"/>
      <c r="F818" s="28" t="n"/>
      <c r="G818" s="28" t="n"/>
      <c r="H818" s="28" t="n"/>
      <c r="I818" s="28" t="n"/>
      <c r="J818" s="28" t="n"/>
      <c r="K818" s="28" t="n"/>
    </row>
    <row r="819" ht="12.75" customHeight="1">
      <c r="A819" s="28" t="n"/>
      <c r="B819" s="28" t="n"/>
      <c r="C819" s="28" t="n"/>
      <c r="D819" s="28" t="n"/>
      <c r="E819" s="28" t="n"/>
      <c r="F819" s="28" t="n"/>
      <c r="G819" s="28" t="n"/>
      <c r="H819" s="28" t="n"/>
      <c r="I819" s="28" t="n"/>
      <c r="J819" s="28" t="n"/>
      <c r="K819" s="28" t="n"/>
    </row>
    <row r="820" ht="12.75" customHeight="1">
      <c r="A820" s="28" t="n"/>
      <c r="B820" s="28" t="n"/>
      <c r="C820" s="28" t="n"/>
      <c r="D820" s="28" t="n"/>
      <c r="E820" s="28" t="n"/>
      <c r="F820" s="28" t="n"/>
      <c r="G820" s="28" t="n"/>
      <c r="H820" s="28" t="n"/>
      <c r="I820" s="28" t="n"/>
      <c r="J820" s="28" t="n"/>
      <c r="K820" s="28" t="n"/>
    </row>
    <row r="821" ht="12.75" customHeight="1">
      <c r="A821" s="28" t="n"/>
      <c r="B821" s="28" t="n"/>
      <c r="C821" s="28" t="n"/>
      <c r="D821" s="28" t="n"/>
      <c r="E821" s="28" t="n"/>
      <c r="F821" s="28" t="n"/>
      <c r="G821" s="28" t="n"/>
      <c r="H821" s="28" t="n"/>
      <c r="I821" s="28" t="n"/>
      <c r="J821" s="28" t="n"/>
      <c r="K821" s="28" t="n"/>
    </row>
    <row r="822" ht="12.75" customHeight="1">
      <c r="A822" s="28" t="n"/>
      <c r="B822" s="28" t="n"/>
      <c r="C822" s="28" t="n"/>
      <c r="D822" s="28" t="n"/>
      <c r="E822" s="28" t="n"/>
      <c r="F822" s="28" t="n"/>
      <c r="G822" s="28" t="n"/>
      <c r="H822" s="28" t="n"/>
      <c r="I822" s="28" t="n"/>
      <c r="J822" s="28" t="n"/>
      <c r="K822" s="28" t="n"/>
    </row>
    <row r="823" ht="12.75" customHeight="1">
      <c r="A823" s="28" t="n"/>
      <c r="B823" s="28" t="n"/>
      <c r="C823" s="28" t="n"/>
      <c r="D823" s="28" t="n"/>
      <c r="E823" s="28" t="n"/>
      <c r="F823" s="28" t="n"/>
      <c r="G823" s="28" t="n"/>
      <c r="H823" s="28" t="n"/>
      <c r="I823" s="28" t="n"/>
      <c r="J823" s="28" t="n"/>
      <c r="K823" s="28" t="n"/>
    </row>
    <row r="824" ht="12.75" customHeight="1">
      <c r="A824" s="28" t="n"/>
      <c r="B824" s="28" t="n"/>
      <c r="C824" s="28" t="n"/>
      <c r="D824" s="28" t="n"/>
      <c r="E824" s="28" t="n"/>
      <c r="F824" s="28" t="n"/>
      <c r="G824" s="28" t="n"/>
      <c r="H824" s="28" t="n"/>
      <c r="I824" s="28" t="n"/>
      <c r="J824" s="28" t="n"/>
      <c r="K824" s="28" t="n"/>
    </row>
    <row r="825" ht="12.75" customHeight="1">
      <c r="A825" s="28" t="n"/>
      <c r="B825" s="28" t="n"/>
      <c r="C825" s="28" t="n"/>
      <c r="D825" s="28" t="n"/>
      <c r="E825" s="28" t="n"/>
      <c r="F825" s="28" t="n"/>
      <c r="G825" s="28" t="n"/>
      <c r="H825" s="28" t="n"/>
      <c r="I825" s="28" t="n"/>
      <c r="J825" s="28" t="n"/>
      <c r="K825" s="28" t="n"/>
    </row>
    <row r="826" ht="12.75" customHeight="1">
      <c r="A826" s="28" t="n"/>
      <c r="B826" s="28" t="n"/>
      <c r="C826" s="28" t="n"/>
      <c r="D826" s="28" t="n"/>
      <c r="E826" s="28" t="n"/>
      <c r="F826" s="28" t="n"/>
      <c r="G826" s="28" t="n"/>
      <c r="H826" s="28" t="n"/>
      <c r="I826" s="28" t="n"/>
      <c r="J826" s="28" t="n"/>
      <c r="K826" s="28" t="n"/>
    </row>
    <row r="827" ht="12.75" customHeight="1">
      <c r="A827" s="28" t="n"/>
      <c r="B827" s="28" t="n"/>
      <c r="C827" s="28" t="n"/>
      <c r="D827" s="28" t="n"/>
      <c r="E827" s="28" t="n"/>
      <c r="F827" s="28" t="n"/>
      <c r="G827" s="28" t="n"/>
      <c r="H827" s="28" t="n"/>
      <c r="I827" s="28" t="n"/>
      <c r="J827" s="28" t="n"/>
      <c r="K827" s="28" t="n"/>
    </row>
    <row r="828" ht="12.75" customHeight="1">
      <c r="A828" s="28" t="n"/>
      <c r="B828" s="28" t="n"/>
      <c r="C828" s="28" t="n"/>
      <c r="D828" s="28" t="n"/>
      <c r="E828" s="28" t="n"/>
      <c r="F828" s="28" t="n"/>
      <c r="G828" s="28" t="n"/>
      <c r="H828" s="28" t="n"/>
      <c r="I828" s="28" t="n"/>
      <c r="J828" s="28" t="n"/>
      <c r="K828" s="28" t="n"/>
    </row>
    <row r="829" ht="12.75" customHeight="1">
      <c r="A829" s="28" t="n"/>
      <c r="B829" s="28" t="n"/>
      <c r="C829" s="28" t="n"/>
      <c r="D829" s="28" t="n"/>
      <c r="E829" s="28" t="n"/>
      <c r="F829" s="28" t="n"/>
      <c r="G829" s="28" t="n"/>
      <c r="H829" s="28" t="n"/>
      <c r="I829" s="28" t="n"/>
      <c r="J829" s="28" t="n"/>
      <c r="K829" s="28" t="n"/>
    </row>
    <row r="830" ht="12.75" customHeight="1">
      <c r="A830" s="28" t="n"/>
      <c r="B830" s="28" t="n"/>
      <c r="C830" s="28" t="n"/>
      <c r="D830" s="28" t="n"/>
      <c r="E830" s="28" t="n"/>
      <c r="F830" s="28" t="n"/>
      <c r="G830" s="28" t="n"/>
      <c r="H830" s="28" t="n"/>
      <c r="I830" s="28" t="n"/>
      <c r="J830" s="28" t="n"/>
      <c r="K830" s="28" t="n"/>
    </row>
    <row r="831" ht="12.75" customHeight="1">
      <c r="A831" s="28" t="n"/>
      <c r="B831" s="28" t="n"/>
      <c r="C831" s="28" t="n"/>
      <c r="D831" s="28" t="n"/>
      <c r="E831" s="28" t="n"/>
      <c r="F831" s="28" t="n"/>
      <c r="G831" s="28" t="n"/>
      <c r="H831" s="28" t="n"/>
      <c r="I831" s="28" t="n"/>
      <c r="J831" s="28" t="n"/>
      <c r="K831" s="28" t="n"/>
    </row>
    <row r="832" ht="12.75" customHeight="1">
      <c r="A832" s="28" t="n"/>
      <c r="B832" s="28" t="n"/>
      <c r="C832" s="28" t="n"/>
      <c r="D832" s="28" t="n"/>
      <c r="E832" s="28" t="n"/>
      <c r="F832" s="28" t="n"/>
      <c r="G832" s="28" t="n"/>
      <c r="H832" s="28" t="n"/>
      <c r="I832" s="28" t="n"/>
      <c r="J832" s="28" t="n"/>
      <c r="K832" s="28" t="n"/>
    </row>
    <row r="833" ht="12.75" customHeight="1">
      <c r="A833" s="28" t="n"/>
      <c r="B833" s="28" t="n"/>
      <c r="C833" s="28" t="n"/>
      <c r="D833" s="28" t="n"/>
      <c r="E833" s="28" t="n"/>
      <c r="F833" s="28" t="n"/>
      <c r="G833" s="28" t="n"/>
      <c r="H833" s="28" t="n"/>
      <c r="I833" s="28" t="n"/>
      <c r="J833" s="28" t="n"/>
      <c r="K833" s="28" t="n"/>
    </row>
    <row r="834" ht="12.75" customHeight="1">
      <c r="A834" s="28" t="n"/>
      <c r="B834" s="28" t="n"/>
      <c r="C834" s="28" t="n"/>
      <c r="D834" s="28" t="n"/>
      <c r="E834" s="28" t="n"/>
      <c r="F834" s="28" t="n"/>
      <c r="G834" s="28" t="n"/>
      <c r="H834" s="28" t="n"/>
      <c r="I834" s="28" t="n"/>
      <c r="J834" s="28" t="n"/>
      <c r="K834" s="28" t="n"/>
    </row>
    <row r="835" ht="12.75" customHeight="1">
      <c r="A835" s="28" t="n"/>
      <c r="B835" s="28" t="n"/>
      <c r="C835" s="28" t="n"/>
      <c r="D835" s="28" t="n"/>
      <c r="E835" s="28" t="n"/>
      <c r="F835" s="28" t="n"/>
      <c r="G835" s="28" t="n"/>
      <c r="H835" s="28" t="n"/>
      <c r="I835" s="28" t="n"/>
      <c r="J835" s="28" t="n"/>
      <c r="K835" s="28" t="n"/>
    </row>
    <row r="836" ht="12.75" customHeight="1">
      <c r="A836" s="28" t="n"/>
      <c r="B836" s="28" t="n"/>
      <c r="C836" s="28" t="n"/>
      <c r="D836" s="28" t="n"/>
      <c r="E836" s="28" t="n"/>
      <c r="F836" s="28" t="n"/>
      <c r="G836" s="28" t="n"/>
      <c r="H836" s="28" t="n"/>
      <c r="I836" s="28" t="n"/>
      <c r="J836" s="28" t="n"/>
      <c r="K836" s="28" t="n"/>
    </row>
    <row r="837" ht="12.75" customHeight="1">
      <c r="A837" s="28" t="n"/>
      <c r="B837" s="28" t="n"/>
      <c r="C837" s="28" t="n"/>
      <c r="D837" s="28" t="n"/>
      <c r="E837" s="28" t="n"/>
      <c r="F837" s="28" t="n"/>
      <c r="G837" s="28" t="n"/>
      <c r="H837" s="28" t="n"/>
      <c r="I837" s="28" t="n"/>
      <c r="J837" s="28" t="n"/>
      <c r="K837" s="28" t="n"/>
    </row>
    <row r="838" ht="12.75" customHeight="1">
      <c r="A838" s="28" t="n"/>
      <c r="B838" s="28" t="n"/>
      <c r="C838" s="28" t="n"/>
      <c r="D838" s="28" t="n"/>
      <c r="E838" s="28" t="n"/>
      <c r="F838" s="28" t="n"/>
      <c r="G838" s="28" t="n"/>
      <c r="H838" s="28" t="n"/>
      <c r="I838" s="28" t="n"/>
      <c r="J838" s="28" t="n"/>
      <c r="K838" s="28" t="n"/>
    </row>
    <row r="839" ht="12.75" customHeight="1">
      <c r="A839" s="28" t="n"/>
      <c r="B839" s="28" t="n"/>
      <c r="C839" s="28" t="n"/>
      <c r="D839" s="28" t="n"/>
      <c r="E839" s="28" t="n"/>
      <c r="F839" s="28" t="n"/>
      <c r="G839" s="28" t="n"/>
      <c r="H839" s="28" t="n"/>
      <c r="I839" s="28" t="n"/>
      <c r="J839" s="28" t="n"/>
      <c r="K839" s="28" t="n"/>
    </row>
    <row r="840" ht="12.75" customHeight="1">
      <c r="A840" s="28" t="n"/>
      <c r="B840" s="28" t="n"/>
      <c r="C840" s="28" t="n"/>
      <c r="D840" s="28" t="n"/>
      <c r="E840" s="28" t="n"/>
      <c r="F840" s="28" t="n"/>
      <c r="G840" s="28" t="n"/>
      <c r="H840" s="28" t="n"/>
      <c r="I840" s="28" t="n"/>
      <c r="J840" s="28" t="n"/>
      <c r="K840" s="28" t="n"/>
    </row>
    <row r="841" ht="12.75" customHeight="1">
      <c r="A841" s="28" t="n"/>
      <c r="B841" s="28" t="n"/>
      <c r="C841" s="28" t="n"/>
      <c r="D841" s="28" t="n"/>
      <c r="E841" s="28" t="n"/>
      <c r="F841" s="28" t="n"/>
      <c r="G841" s="28" t="n"/>
      <c r="H841" s="28" t="n"/>
      <c r="I841" s="28" t="n"/>
      <c r="J841" s="28" t="n"/>
      <c r="K841" s="28" t="n"/>
    </row>
    <row r="842" ht="12.75" customHeight="1">
      <c r="A842" s="28" t="n"/>
      <c r="B842" s="28" t="n"/>
      <c r="C842" s="28" t="n"/>
      <c r="D842" s="28" t="n"/>
      <c r="E842" s="28" t="n"/>
      <c r="F842" s="28" t="n"/>
      <c r="G842" s="28" t="n"/>
      <c r="H842" s="28" t="n"/>
      <c r="I842" s="28" t="n"/>
      <c r="J842" s="28" t="n"/>
      <c r="K842" s="28" t="n"/>
    </row>
    <row r="843" ht="12.75" customHeight="1">
      <c r="A843" s="28" t="n"/>
      <c r="B843" s="28" t="n"/>
      <c r="C843" s="28" t="n"/>
      <c r="D843" s="28" t="n"/>
      <c r="E843" s="28" t="n"/>
      <c r="F843" s="28" t="n"/>
      <c r="G843" s="28" t="n"/>
      <c r="H843" s="28" t="n"/>
      <c r="I843" s="28" t="n"/>
      <c r="J843" s="28" t="n"/>
      <c r="K843" s="28" t="n"/>
    </row>
    <row r="844" ht="12.75" customHeight="1">
      <c r="A844" s="28" t="n"/>
      <c r="B844" s="28" t="n"/>
      <c r="C844" s="28" t="n"/>
      <c r="D844" s="28" t="n"/>
      <c r="E844" s="28" t="n"/>
      <c r="F844" s="28" t="n"/>
      <c r="G844" s="28" t="n"/>
      <c r="H844" s="28" t="n"/>
      <c r="I844" s="28" t="n"/>
      <c r="J844" s="28" t="n"/>
      <c r="K844" s="28" t="n"/>
    </row>
    <row r="845" ht="12.75" customHeight="1">
      <c r="A845" s="28" t="n"/>
      <c r="B845" s="28" t="n"/>
      <c r="C845" s="28" t="n"/>
      <c r="D845" s="28" t="n"/>
      <c r="E845" s="28" t="n"/>
      <c r="F845" s="28" t="n"/>
      <c r="G845" s="28" t="n"/>
      <c r="H845" s="28" t="n"/>
      <c r="I845" s="28" t="n"/>
      <c r="J845" s="28" t="n"/>
      <c r="K845" s="28" t="n"/>
    </row>
    <row r="846" ht="12.75" customHeight="1">
      <c r="A846" s="28" t="n"/>
      <c r="B846" s="28" t="n"/>
      <c r="C846" s="28" t="n"/>
      <c r="D846" s="28" t="n"/>
      <c r="E846" s="28" t="n"/>
      <c r="F846" s="28" t="n"/>
      <c r="G846" s="28" t="n"/>
      <c r="H846" s="28" t="n"/>
      <c r="I846" s="28" t="n"/>
      <c r="J846" s="28" t="n"/>
      <c r="K846" s="28" t="n"/>
    </row>
    <row r="847" ht="12.75" customHeight="1">
      <c r="A847" s="28" t="n"/>
      <c r="B847" s="28" t="n"/>
      <c r="C847" s="28" t="n"/>
      <c r="D847" s="28" t="n"/>
      <c r="E847" s="28" t="n"/>
      <c r="F847" s="28" t="n"/>
      <c r="G847" s="28" t="n"/>
      <c r="H847" s="28" t="n"/>
      <c r="I847" s="28" t="n"/>
      <c r="J847" s="28" t="n"/>
      <c r="K847" s="28" t="n"/>
    </row>
    <row r="848" ht="12.75" customHeight="1">
      <c r="A848" s="28" t="n"/>
      <c r="B848" s="28" t="n"/>
      <c r="C848" s="28" t="n"/>
      <c r="D848" s="28" t="n"/>
      <c r="E848" s="28" t="n"/>
      <c r="F848" s="28" t="n"/>
      <c r="G848" s="28" t="n"/>
      <c r="H848" s="28" t="n"/>
      <c r="I848" s="28" t="n"/>
      <c r="J848" s="28" t="n"/>
      <c r="K848" s="28" t="n"/>
    </row>
    <row r="849" ht="12.75" customHeight="1">
      <c r="A849" s="28" t="n"/>
      <c r="B849" s="28" t="n"/>
      <c r="C849" s="28" t="n"/>
      <c r="D849" s="28" t="n"/>
      <c r="E849" s="28" t="n"/>
      <c r="F849" s="28" t="n"/>
      <c r="G849" s="28" t="n"/>
      <c r="H849" s="28" t="n"/>
      <c r="I849" s="28" t="n"/>
      <c r="J849" s="28" t="n"/>
      <c r="K849" s="28" t="n"/>
    </row>
    <row r="850" ht="12.75" customHeight="1">
      <c r="A850" s="28" t="n"/>
      <c r="B850" s="28" t="n"/>
      <c r="C850" s="28" t="n"/>
      <c r="D850" s="28" t="n"/>
      <c r="E850" s="28" t="n"/>
      <c r="F850" s="28" t="n"/>
      <c r="G850" s="28" t="n"/>
      <c r="H850" s="28" t="n"/>
      <c r="I850" s="28" t="n"/>
      <c r="J850" s="28" t="n"/>
      <c r="K850" s="28" t="n"/>
    </row>
    <row r="851" ht="12.75" customHeight="1">
      <c r="A851" s="28" t="n"/>
      <c r="B851" s="28" t="n"/>
      <c r="C851" s="28" t="n"/>
      <c r="D851" s="28" t="n"/>
      <c r="E851" s="28" t="n"/>
      <c r="F851" s="28" t="n"/>
      <c r="G851" s="28" t="n"/>
      <c r="H851" s="28" t="n"/>
      <c r="I851" s="28" t="n"/>
      <c r="J851" s="28" t="n"/>
      <c r="K851" s="28" t="n"/>
    </row>
    <row r="852" ht="12.75" customHeight="1">
      <c r="A852" s="28" t="n"/>
      <c r="B852" s="28" t="n"/>
      <c r="C852" s="28" t="n"/>
      <c r="D852" s="28" t="n"/>
      <c r="E852" s="28" t="n"/>
      <c r="F852" s="28" t="n"/>
      <c r="G852" s="28" t="n"/>
      <c r="H852" s="28" t="n"/>
      <c r="I852" s="28" t="n"/>
      <c r="J852" s="28" t="n"/>
      <c r="K852" s="28" t="n"/>
    </row>
    <row r="853" ht="12.75" customHeight="1">
      <c r="A853" s="28" t="n"/>
      <c r="B853" s="28" t="n"/>
      <c r="C853" s="28" t="n"/>
      <c r="D853" s="28" t="n"/>
      <c r="E853" s="28" t="n"/>
      <c r="F853" s="28" t="n"/>
      <c r="G853" s="28" t="n"/>
      <c r="H853" s="28" t="n"/>
      <c r="I853" s="28" t="n"/>
      <c r="J853" s="28" t="n"/>
      <c r="K853" s="28" t="n"/>
    </row>
    <row r="854" ht="12.75" customHeight="1">
      <c r="A854" s="28" t="n"/>
      <c r="B854" s="28" t="n"/>
      <c r="C854" s="28" t="n"/>
      <c r="D854" s="28" t="n"/>
      <c r="E854" s="28" t="n"/>
      <c r="F854" s="28" t="n"/>
      <c r="G854" s="28" t="n"/>
      <c r="H854" s="28" t="n"/>
      <c r="I854" s="28" t="n"/>
      <c r="J854" s="28" t="n"/>
      <c r="K854" s="28" t="n"/>
    </row>
    <row r="855" ht="12.75" customHeight="1">
      <c r="A855" s="28" t="n"/>
      <c r="B855" s="28" t="n"/>
      <c r="C855" s="28" t="n"/>
      <c r="D855" s="28" t="n"/>
      <c r="E855" s="28" t="n"/>
      <c r="F855" s="28" t="n"/>
      <c r="G855" s="28" t="n"/>
      <c r="H855" s="28" t="n"/>
      <c r="I855" s="28" t="n"/>
      <c r="J855" s="28" t="n"/>
      <c r="K855" s="28" t="n"/>
    </row>
    <row r="856" ht="12.75" customHeight="1">
      <c r="A856" s="28" t="n"/>
      <c r="B856" s="28" t="n"/>
      <c r="C856" s="28" t="n"/>
      <c r="D856" s="28" t="n"/>
      <c r="E856" s="28" t="n"/>
      <c r="F856" s="28" t="n"/>
      <c r="G856" s="28" t="n"/>
      <c r="H856" s="28" t="n"/>
      <c r="I856" s="28" t="n"/>
      <c r="J856" s="28" t="n"/>
      <c r="K856" s="28" t="n"/>
    </row>
    <row r="857" ht="12.75" customHeight="1">
      <c r="A857" s="28" t="n"/>
      <c r="B857" s="28" t="n"/>
      <c r="C857" s="28" t="n"/>
      <c r="D857" s="28" t="n"/>
      <c r="E857" s="28" t="n"/>
      <c r="F857" s="28" t="n"/>
      <c r="G857" s="28" t="n"/>
      <c r="H857" s="28" t="n"/>
      <c r="I857" s="28" t="n"/>
      <c r="J857" s="28" t="n"/>
      <c r="K857" s="28" t="n"/>
    </row>
    <row r="858" ht="12.75" customHeight="1">
      <c r="A858" s="28" t="n"/>
      <c r="B858" s="28" t="n"/>
      <c r="C858" s="28" t="n"/>
      <c r="D858" s="28" t="n"/>
      <c r="E858" s="28" t="n"/>
      <c r="F858" s="28" t="n"/>
      <c r="G858" s="28" t="n"/>
      <c r="H858" s="28" t="n"/>
      <c r="I858" s="28" t="n"/>
      <c r="J858" s="28" t="n"/>
      <c r="K858" s="28" t="n"/>
    </row>
    <row r="859" ht="12.75" customHeight="1">
      <c r="A859" s="28" t="n"/>
      <c r="B859" s="28" t="n"/>
      <c r="C859" s="28" t="n"/>
      <c r="D859" s="28" t="n"/>
      <c r="E859" s="28" t="n"/>
      <c r="F859" s="28" t="n"/>
      <c r="G859" s="28" t="n"/>
      <c r="H859" s="28" t="n"/>
      <c r="I859" s="28" t="n"/>
      <c r="J859" s="28" t="n"/>
      <c r="K859" s="28" t="n"/>
    </row>
    <row r="860" ht="12.75" customHeight="1">
      <c r="A860" s="28" t="n"/>
      <c r="B860" s="28" t="n"/>
      <c r="C860" s="28" t="n"/>
      <c r="D860" s="28" t="n"/>
      <c r="E860" s="28" t="n"/>
      <c r="F860" s="28" t="n"/>
      <c r="G860" s="28" t="n"/>
      <c r="H860" s="28" t="n"/>
      <c r="I860" s="28" t="n"/>
      <c r="J860" s="28" t="n"/>
      <c r="K860" s="28" t="n"/>
    </row>
    <row r="861" ht="12.75" customHeight="1">
      <c r="A861" s="28" t="n"/>
      <c r="B861" s="28" t="n"/>
      <c r="C861" s="28" t="n"/>
      <c r="D861" s="28" t="n"/>
      <c r="E861" s="28" t="n"/>
      <c r="F861" s="28" t="n"/>
      <c r="G861" s="28" t="n"/>
      <c r="H861" s="28" t="n"/>
      <c r="I861" s="28" t="n"/>
      <c r="J861" s="28" t="n"/>
      <c r="K861" s="28" t="n"/>
    </row>
    <row r="862" ht="12.75" customHeight="1">
      <c r="A862" s="28" t="n"/>
      <c r="B862" s="28" t="n"/>
      <c r="C862" s="28" t="n"/>
      <c r="D862" s="28" t="n"/>
      <c r="E862" s="28" t="n"/>
      <c r="F862" s="28" t="n"/>
      <c r="G862" s="28" t="n"/>
      <c r="H862" s="28" t="n"/>
      <c r="I862" s="28" t="n"/>
      <c r="J862" s="28" t="n"/>
      <c r="K862" s="28" t="n"/>
    </row>
    <row r="863" ht="12.75" customHeight="1">
      <c r="A863" s="28" t="n"/>
      <c r="B863" s="28" t="n"/>
      <c r="C863" s="28" t="n"/>
      <c r="D863" s="28" t="n"/>
      <c r="E863" s="28" t="n"/>
      <c r="F863" s="28" t="n"/>
      <c r="G863" s="28" t="n"/>
      <c r="H863" s="28" t="n"/>
      <c r="I863" s="28" t="n"/>
      <c r="J863" s="28" t="n"/>
      <c r="K863" s="28" t="n"/>
    </row>
    <row r="864" ht="12.75" customHeight="1">
      <c r="A864" s="28" t="n"/>
      <c r="B864" s="28" t="n"/>
      <c r="C864" s="28" t="n"/>
      <c r="D864" s="28" t="n"/>
      <c r="E864" s="28" t="n"/>
      <c r="F864" s="28" t="n"/>
      <c r="G864" s="28" t="n"/>
      <c r="H864" s="28" t="n"/>
      <c r="I864" s="28" t="n"/>
      <c r="J864" s="28" t="n"/>
      <c r="K864" s="28" t="n"/>
    </row>
    <row r="865" ht="12.75" customHeight="1">
      <c r="A865" s="28" t="n"/>
      <c r="B865" s="28" t="n"/>
      <c r="C865" s="28" t="n"/>
      <c r="D865" s="28" t="n"/>
      <c r="E865" s="28" t="n"/>
      <c r="F865" s="28" t="n"/>
      <c r="G865" s="28" t="n"/>
      <c r="H865" s="28" t="n"/>
      <c r="I865" s="28" t="n"/>
      <c r="J865" s="28" t="n"/>
      <c r="K865" s="28" t="n"/>
    </row>
    <row r="866" ht="12.75" customHeight="1">
      <c r="A866" s="28" t="n"/>
      <c r="B866" s="28" t="n"/>
      <c r="C866" s="28" t="n"/>
      <c r="D866" s="28" t="n"/>
      <c r="E866" s="28" t="n"/>
      <c r="F866" s="28" t="n"/>
      <c r="G866" s="28" t="n"/>
      <c r="H866" s="28" t="n"/>
      <c r="I866" s="28" t="n"/>
      <c r="J866" s="28" t="n"/>
      <c r="K866" s="28" t="n"/>
    </row>
    <row r="867" ht="12.75" customHeight="1">
      <c r="A867" s="28" t="n"/>
      <c r="B867" s="28" t="n"/>
      <c r="C867" s="28" t="n"/>
      <c r="D867" s="28" t="n"/>
      <c r="E867" s="28" t="n"/>
      <c r="F867" s="28" t="n"/>
      <c r="G867" s="28" t="n"/>
      <c r="H867" s="28" t="n"/>
      <c r="I867" s="28" t="n"/>
      <c r="J867" s="28" t="n"/>
      <c r="K867" s="28" t="n"/>
    </row>
    <row r="868" ht="12.75" customHeight="1">
      <c r="A868" s="28" t="n"/>
      <c r="B868" s="28" t="n"/>
      <c r="C868" s="28" t="n"/>
      <c r="D868" s="28" t="n"/>
      <c r="E868" s="28" t="n"/>
      <c r="F868" s="28" t="n"/>
      <c r="G868" s="28" t="n"/>
      <c r="H868" s="28" t="n"/>
      <c r="I868" s="28" t="n"/>
      <c r="J868" s="28" t="n"/>
      <c r="K868" s="28" t="n"/>
    </row>
    <row r="869" ht="12.75" customHeight="1">
      <c r="A869" s="28" t="n"/>
      <c r="B869" s="28" t="n"/>
      <c r="C869" s="28" t="n"/>
      <c r="D869" s="28" t="n"/>
      <c r="E869" s="28" t="n"/>
      <c r="F869" s="28" t="n"/>
      <c r="G869" s="28" t="n"/>
      <c r="H869" s="28" t="n"/>
      <c r="I869" s="28" t="n"/>
      <c r="J869" s="28" t="n"/>
      <c r="K869" s="28" t="n"/>
    </row>
    <row r="870" ht="12.75" customHeight="1">
      <c r="A870" s="28" t="n"/>
      <c r="B870" s="28" t="n"/>
      <c r="C870" s="28" t="n"/>
      <c r="D870" s="28" t="n"/>
      <c r="E870" s="28" t="n"/>
      <c r="F870" s="28" t="n"/>
      <c r="G870" s="28" t="n"/>
      <c r="H870" s="28" t="n"/>
      <c r="I870" s="28" t="n"/>
      <c r="J870" s="28" t="n"/>
      <c r="K870" s="28" t="n"/>
    </row>
    <row r="871" ht="12.75" customHeight="1">
      <c r="A871" s="28" t="n"/>
      <c r="B871" s="28" t="n"/>
      <c r="C871" s="28" t="n"/>
      <c r="D871" s="28" t="n"/>
      <c r="E871" s="28" t="n"/>
      <c r="F871" s="28" t="n"/>
      <c r="G871" s="28" t="n"/>
      <c r="H871" s="28" t="n"/>
      <c r="I871" s="28" t="n"/>
      <c r="J871" s="28" t="n"/>
      <c r="K871" s="28" t="n"/>
    </row>
    <row r="872" ht="12.75" customHeight="1">
      <c r="A872" s="28" t="n"/>
      <c r="B872" s="28" t="n"/>
      <c r="C872" s="28" t="n"/>
      <c r="D872" s="28" t="n"/>
      <c r="E872" s="28" t="n"/>
      <c r="F872" s="28" t="n"/>
      <c r="G872" s="28" t="n"/>
      <c r="H872" s="28" t="n"/>
      <c r="I872" s="28" t="n"/>
      <c r="J872" s="28" t="n"/>
      <c r="K872" s="28" t="n"/>
    </row>
    <row r="873" ht="12.75" customHeight="1">
      <c r="A873" s="28" t="n"/>
      <c r="B873" s="28" t="n"/>
      <c r="C873" s="28" t="n"/>
      <c r="D873" s="28" t="n"/>
      <c r="E873" s="28" t="n"/>
      <c r="F873" s="28" t="n"/>
      <c r="G873" s="28" t="n"/>
      <c r="H873" s="28" t="n"/>
      <c r="I873" s="28" t="n"/>
      <c r="J873" s="28" t="n"/>
      <c r="K873" s="28" t="n"/>
    </row>
    <row r="874" ht="12.75" customHeight="1">
      <c r="A874" s="28" t="n"/>
      <c r="B874" s="28" t="n"/>
      <c r="C874" s="28" t="n"/>
      <c r="D874" s="28" t="n"/>
      <c r="E874" s="28" t="n"/>
      <c r="F874" s="28" t="n"/>
      <c r="G874" s="28" t="n"/>
      <c r="H874" s="28" t="n"/>
      <c r="I874" s="28" t="n"/>
      <c r="J874" s="28" t="n"/>
      <c r="K874" s="28" t="n"/>
    </row>
    <row r="875" ht="12.75" customHeight="1">
      <c r="A875" s="28" t="n"/>
      <c r="B875" s="28" t="n"/>
      <c r="C875" s="28" t="n"/>
      <c r="D875" s="28" t="n"/>
      <c r="E875" s="28" t="n"/>
      <c r="F875" s="28" t="n"/>
      <c r="G875" s="28" t="n"/>
      <c r="H875" s="28" t="n"/>
      <c r="I875" s="28" t="n"/>
      <c r="J875" s="28" t="n"/>
      <c r="K875" s="28" t="n"/>
    </row>
    <row r="876" ht="12.75" customHeight="1">
      <c r="A876" s="28" t="n"/>
      <c r="B876" s="28" t="n"/>
      <c r="C876" s="28" t="n"/>
      <c r="D876" s="28" t="n"/>
      <c r="E876" s="28" t="n"/>
      <c r="F876" s="28" t="n"/>
      <c r="G876" s="28" t="n"/>
      <c r="H876" s="28" t="n"/>
      <c r="I876" s="28" t="n"/>
      <c r="J876" s="28" t="n"/>
      <c r="K876" s="28" t="n"/>
    </row>
    <row r="877" ht="12.75" customHeight="1">
      <c r="A877" s="28" t="n"/>
      <c r="B877" s="28" t="n"/>
      <c r="C877" s="28" t="n"/>
      <c r="D877" s="28" t="n"/>
      <c r="E877" s="28" t="n"/>
      <c r="F877" s="28" t="n"/>
      <c r="G877" s="28" t="n"/>
      <c r="H877" s="28" t="n"/>
      <c r="I877" s="28" t="n"/>
      <c r="J877" s="28" t="n"/>
      <c r="K877" s="28" t="n"/>
    </row>
    <row r="878" ht="12.75" customHeight="1">
      <c r="A878" s="28" t="n"/>
      <c r="B878" s="28" t="n"/>
      <c r="C878" s="28" t="n"/>
      <c r="D878" s="28" t="n"/>
      <c r="E878" s="28" t="n"/>
      <c r="F878" s="28" t="n"/>
      <c r="G878" s="28" t="n"/>
      <c r="H878" s="28" t="n"/>
      <c r="I878" s="28" t="n"/>
      <c r="J878" s="28" t="n"/>
      <c r="K878" s="28" t="n"/>
    </row>
    <row r="879" ht="12.75" customHeight="1">
      <c r="A879" s="28" t="n"/>
      <c r="B879" s="28" t="n"/>
      <c r="C879" s="28" t="n"/>
      <c r="D879" s="28" t="n"/>
      <c r="E879" s="28" t="n"/>
      <c r="F879" s="28" t="n"/>
      <c r="G879" s="28" t="n"/>
      <c r="H879" s="28" t="n"/>
      <c r="I879" s="28" t="n"/>
      <c r="J879" s="28" t="n"/>
      <c r="K879" s="28" t="n"/>
    </row>
    <row r="880" ht="12.75" customHeight="1">
      <c r="A880" s="28" t="n"/>
      <c r="B880" s="28" t="n"/>
      <c r="C880" s="28" t="n"/>
      <c r="D880" s="28" t="n"/>
      <c r="E880" s="28" t="n"/>
      <c r="F880" s="28" t="n"/>
      <c r="G880" s="28" t="n"/>
      <c r="H880" s="28" t="n"/>
      <c r="I880" s="28" t="n"/>
      <c r="J880" s="28" t="n"/>
      <c r="K880" s="28" t="n"/>
    </row>
    <row r="881" ht="12.75" customHeight="1">
      <c r="A881" s="28" t="n"/>
      <c r="B881" s="28" t="n"/>
      <c r="C881" s="28" t="n"/>
      <c r="D881" s="28" t="n"/>
      <c r="E881" s="28" t="n"/>
      <c r="F881" s="28" t="n"/>
      <c r="G881" s="28" t="n"/>
      <c r="H881" s="28" t="n"/>
      <c r="I881" s="28" t="n"/>
      <c r="J881" s="28" t="n"/>
      <c r="K881" s="28" t="n"/>
    </row>
    <row r="882" ht="12.75" customHeight="1">
      <c r="A882" s="28" t="n"/>
      <c r="B882" s="28" t="n"/>
      <c r="C882" s="28" t="n"/>
      <c r="D882" s="28" t="n"/>
      <c r="E882" s="28" t="n"/>
      <c r="F882" s="28" t="n"/>
      <c r="G882" s="28" t="n"/>
      <c r="H882" s="28" t="n"/>
      <c r="I882" s="28" t="n"/>
      <c r="J882" s="28" t="n"/>
      <c r="K882" s="28" t="n"/>
    </row>
    <row r="883" ht="12.75" customHeight="1">
      <c r="A883" s="28" t="n"/>
      <c r="B883" s="28" t="n"/>
      <c r="C883" s="28" t="n"/>
      <c r="D883" s="28" t="n"/>
      <c r="E883" s="28" t="n"/>
      <c r="F883" s="28" t="n"/>
      <c r="G883" s="28" t="n"/>
      <c r="H883" s="28" t="n"/>
      <c r="I883" s="28" t="n"/>
      <c r="J883" s="28" t="n"/>
      <c r="K883" s="28" t="n"/>
    </row>
    <row r="884" ht="12.75" customHeight="1">
      <c r="A884" s="28" t="n"/>
      <c r="B884" s="28" t="n"/>
      <c r="C884" s="28" t="n"/>
      <c r="D884" s="28" t="n"/>
      <c r="E884" s="28" t="n"/>
      <c r="F884" s="28" t="n"/>
      <c r="G884" s="28" t="n"/>
      <c r="H884" s="28" t="n"/>
      <c r="I884" s="28" t="n"/>
      <c r="J884" s="28" t="n"/>
      <c r="K884" s="28" t="n"/>
    </row>
    <row r="885" ht="12.75" customHeight="1">
      <c r="A885" s="28" t="n"/>
      <c r="B885" s="28" t="n"/>
      <c r="C885" s="28" t="n"/>
      <c r="D885" s="28" t="n"/>
      <c r="E885" s="28" t="n"/>
      <c r="F885" s="28" t="n"/>
      <c r="G885" s="28" t="n"/>
      <c r="H885" s="28" t="n"/>
      <c r="I885" s="28" t="n"/>
      <c r="J885" s="28" t="n"/>
      <c r="K885" s="28" t="n"/>
    </row>
    <row r="886" ht="12.75" customHeight="1">
      <c r="A886" s="28" t="n"/>
      <c r="B886" s="28" t="n"/>
      <c r="C886" s="28" t="n"/>
      <c r="D886" s="28" t="n"/>
      <c r="E886" s="28" t="n"/>
      <c r="F886" s="28" t="n"/>
      <c r="G886" s="28" t="n"/>
      <c r="H886" s="28" t="n"/>
      <c r="I886" s="28" t="n"/>
      <c r="J886" s="28" t="n"/>
      <c r="K886" s="28" t="n"/>
    </row>
    <row r="887" ht="12.75" customHeight="1">
      <c r="A887" s="28" t="n"/>
      <c r="B887" s="28" t="n"/>
      <c r="C887" s="28" t="n"/>
      <c r="D887" s="28" t="n"/>
      <c r="E887" s="28" t="n"/>
      <c r="F887" s="28" t="n"/>
      <c r="G887" s="28" t="n"/>
      <c r="H887" s="28" t="n"/>
      <c r="I887" s="28" t="n"/>
      <c r="J887" s="28" t="n"/>
      <c r="K887" s="28" t="n"/>
    </row>
    <row r="888" ht="12.75" customHeight="1">
      <c r="A888" s="28" t="n"/>
      <c r="B888" s="28" t="n"/>
      <c r="C888" s="28" t="n"/>
      <c r="D888" s="28" t="n"/>
      <c r="E888" s="28" t="n"/>
      <c r="F888" s="28" t="n"/>
      <c r="G888" s="28" t="n"/>
      <c r="H888" s="28" t="n"/>
      <c r="I888" s="28" t="n"/>
      <c r="J888" s="28" t="n"/>
      <c r="K888" s="28" t="n"/>
    </row>
    <row r="889" ht="12.75" customHeight="1">
      <c r="A889" s="28" t="n"/>
      <c r="B889" s="28" t="n"/>
      <c r="C889" s="28" t="n"/>
      <c r="D889" s="28" t="n"/>
      <c r="E889" s="28" t="n"/>
      <c r="F889" s="28" t="n"/>
      <c r="G889" s="28" t="n"/>
      <c r="H889" s="28" t="n"/>
      <c r="I889" s="28" t="n"/>
      <c r="J889" s="28" t="n"/>
      <c r="K889" s="28" t="n"/>
    </row>
    <row r="890" ht="12.75" customHeight="1">
      <c r="A890" s="28" t="n"/>
      <c r="B890" s="28" t="n"/>
      <c r="C890" s="28" t="n"/>
      <c r="D890" s="28" t="n"/>
      <c r="E890" s="28" t="n"/>
      <c r="F890" s="28" t="n"/>
      <c r="G890" s="28" t="n"/>
      <c r="H890" s="28" t="n"/>
      <c r="I890" s="28" t="n"/>
      <c r="J890" s="28" t="n"/>
      <c r="K890" s="28" t="n"/>
    </row>
    <row r="891" ht="12.75" customHeight="1">
      <c r="A891" s="28" t="n"/>
      <c r="B891" s="28" t="n"/>
      <c r="C891" s="28" t="n"/>
      <c r="D891" s="28" t="n"/>
      <c r="E891" s="28" t="n"/>
      <c r="F891" s="28" t="n"/>
      <c r="G891" s="28" t="n"/>
      <c r="H891" s="28" t="n"/>
      <c r="I891" s="28" t="n"/>
      <c r="J891" s="28" t="n"/>
      <c r="K891" s="28" t="n"/>
    </row>
    <row r="892" ht="12.75" customHeight="1">
      <c r="A892" s="28" t="n"/>
      <c r="B892" s="28" t="n"/>
      <c r="C892" s="28" t="n"/>
      <c r="D892" s="28" t="n"/>
      <c r="E892" s="28" t="n"/>
      <c r="F892" s="28" t="n"/>
      <c r="G892" s="28" t="n"/>
      <c r="H892" s="28" t="n"/>
      <c r="I892" s="28" t="n"/>
      <c r="J892" s="28" t="n"/>
      <c r="K892" s="28" t="n"/>
    </row>
    <row r="893" ht="12.75" customHeight="1">
      <c r="A893" s="28" t="n"/>
      <c r="B893" s="28" t="n"/>
      <c r="C893" s="28" t="n"/>
      <c r="D893" s="28" t="n"/>
      <c r="E893" s="28" t="n"/>
      <c r="F893" s="28" t="n"/>
      <c r="G893" s="28" t="n"/>
      <c r="H893" s="28" t="n"/>
      <c r="I893" s="28" t="n"/>
      <c r="J893" s="28" t="n"/>
      <c r="K893" s="28" t="n"/>
    </row>
    <row r="894" ht="12.75" customHeight="1">
      <c r="A894" s="28" t="n"/>
      <c r="B894" s="28" t="n"/>
      <c r="C894" s="28" t="n"/>
      <c r="D894" s="28" t="n"/>
      <c r="E894" s="28" t="n"/>
      <c r="F894" s="28" t="n"/>
      <c r="G894" s="28" t="n"/>
      <c r="H894" s="28" t="n"/>
      <c r="I894" s="28" t="n"/>
      <c r="J894" s="28" t="n"/>
      <c r="K894" s="28" t="n"/>
    </row>
    <row r="895" ht="12.75" customHeight="1">
      <c r="A895" s="28" t="n"/>
      <c r="B895" s="28" t="n"/>
      <c r="C895" s="28" t="n"/>
      <c r="D895" s="28" t="n"/>
      <c r="E895" s="28" t="n"/>
      <c r="F895" s="28" t="n"/>
      <c r="G895" s="28" t="n"/>
      <c r="H895" s="28" t="n"/>
      <c r="I895" s="28" t="n"/>
      <c r="J895" s="28" t="n"/>
      <c r="K895" s="28" t="n"/>
    </row>
    <row r="896" ht="12.75" customHeight="1">
      <c r="A896" s="28" t="n"/>
      <c r="B896" s="28" t="n"/>
      <c r="C896" s="28" t="n"/>
      <c r="D896" s="28" t="n"/>
      <c r="E896" s="28" t="n"/>
      <c r="F896" s="28" t="n"/>
      <c r="G896" s="28" t="n"/>
      <c r="H896" s="28" t="n"/>
      <c r="I896" s="28" t="n"/>
      <c r="J896" s="28" t="n"/>
      <c r="K896" s="28" t="n"/>
    </row>
    <row r="897" ht="12.75" customHeight="1">
      <c r="A897" s="28" t="n"/>
      <c r="B897" s="28" t="n"/>
      <c r="C897" s="28" t="n"/>
      <c r="D897" s="28" t="n"/>
      <c r="E897" s="28" t="n"/>
      <c r="F897" s="28" t="n"/>
      <c r="G897" s="28" t="n"/>
      <c r="H897" s="28" t="n"/>
      <c r="I897" s="28" t="n"/>
      <c r="J897" s="28" t="n"/>
      <c r="K897" s="28" t="n"/>
    </row>
    <row r="898" ht="12.75" customHeight="1">
      <c r="A898" s="28" t="n"/>
      <c r="B898" s="28" t="n"/>
      <c r="C898" s="28" t="n"/>
      <c r="D898" s="28" t="n"/>
      <c r="E898" s="28" t="n"/>
      <c r="F898" s="28" t="n"/>
      <c r="G898" s="28" t="n"/>
      <c r="H898" s="28" t="n"/>
      <c r="I898" s="28" t="n"/>
      <c r="J898" s="28" t="n"/>
      <c r="K898" s="28" t="n"/>
    </row>
    <row r="899" ht="12.75" customHeight="1">
      <c r="A899" s="28" t="n"/>
      <c r="B899" s="28" t="n"/>
      <c r="C899" s="28" t="n"/>
      <c r="D899" s="28" t="n"/>
      <c r="E899" s="28" t="n"/>
      <c r="F899" s="28" t="n"/>
      <c r="G899" s="28" t="n"/>
      <c r="H899" s="28" t="n"/>
      <c r="I899" s="28" t="n"/>
      <c r="J899" s="28" t="n"/>
      <c r="K899" s="28" t="n"/>
    </row>
    <row r="900" ht="12.75" customHeight="1">
      <c r="A900" s="28" t="n"/>
      <c r="B900" s="28" t="n"/>
      <c r="C900" s="28" t="n"/>
      <c r="D900" s="28" t="n"/>
      <c r="E900" s="28" t="n"/>
      <c r="F900" s="28" t="n"/>
      <c r="G900" s="28" t="n"/>
      <c r="H900" s="28" t="n"/>
      <c r="I900" s="28" t="n"/>
      <c r="J900" s="28" t="n"/>
      <c r="K900" s="28" t="n"/>
    </row>
    <row r="901" ht="12.75" customHeight="1">
      <c r="A901" s="28" t="n"/>
      <c r="B901" s="28" t="n"/>
      <c r="C901" s="28" t="n"/>
      <c r="D901" s="28" t="n"/>
      <c r="E901" s="28" t="n"/>
      <c r="F901" s="28" t="n"/>
      <c r="G901" s="28" t="n"/>
      <c r="H901" s="28" t="n"/>
      <c r="I901" s="28" t="n"/>
      <c r="J901" s="28" t="n"/>
      <c r="K901" s="28" t="n"/>
    </row>
    <row r="902" ht="12.75" customHeight="1">
      <c r="A902" s="28" t="n"/>
      <c r="B902" s="28" t="n"/>
      <c r="C902" s="28" t="n"/>
      <c r="D902" s="28" t="n"/>
      <c r="E902" s="28" t="n"/>
      <c r="F902" s="28" t="n"/>
      <c r="G902" s="28" t="n"/>
      <c r="H902" s="28" t="n"/>
      <c r="I902" s="28" t="n"/>
      <c r="J902" s="28" t="n"/>
      <c r="K902" s="28" t="n"/>
    </row>
    <row r="903" ht="12.75" customHeight="1">
      <c r="A903" s="28" t="n"/>
      <c r="B903" s="28" t="n"/>
      <c r="C903" s="28" t="n"/>
      <c r="D903" s="28" t="n"/>
      <c r="E903" s="28" t="n"/>
      <c r="F903" s="28" t="n"/>
      <c r="G903" s="28" t="n"/>
      <c r="H903" s="28" t="n"/>
      <c r="I903" s="28" t="n"/>
      <c r="J903" s="28" t="n"/>
      <c r="K903" s="28" t="n"/>
    </row>
    <row r="904" ht="12.75" customHeight="1">
      <c r="A904" s="28" t="n"/>
      <c r="B904" s="28" t="n"/>
      <c r="C904" s="28" t="n"/>
      <c r="D904" s="28" t="n"/>
      <c r="E904" s="28" t="n"/>
      <c r="F904" s="28" t="n"/>
      <c r="G904" s="28" t="n"/>
      <c r="H904" s="28" t="n"/>
      <c r="I904" s="28" t="n"/>
      <c r="J904" s="28" t="n"/>
      <c r="K904" s="28" t="n"/>
    </row>
    <row r="905" ht="12.75" customHeight="1">
      <c r="A905" s="28" t="n"/>
      <c r="B905" s="28" t="n"/>
      <c r="C905" s="28" t="n"/>
      <c r="D905" s="28" t="n"/>
      <c r="E905" s="28" t="n"/>
      <c r="F905" s="28" t="n"/>
      <c r="G905" s="28" t="n"/>
      <c r="H905" s="28" t="n"/>
      <c r="I905" s="28" t="n"/>
      <c r="J905" s="28" t="n"/>
      <c r="K905" s="28" t="n"/>
    </row>
    <row r="906" ht="12.75" customHeight="1">
      <c r="A906" s="28" t="n"/>
      <c r="B906" s="28" t="n"/>
      <c r="C906" s="28" t="n"/>
      <c r="D906" s="28" t="n"/>
      <c r="E906" s="28" t="n"/>
      <c r="F906" s="28" t="n"/>
      <c r="G906" s="28" t="n"/>
      <c r="H906" s="28" t="n"/>
      <c r="I906" s="28" t="n"/>
      <c r="J906" s="28" t="n"/>
      <c r="K906" s="28" t="n"/>
    </row>
    <row r="907" ht="12.75" customHeight="1">
      <c r="A907" s="28" t="n"/>
      <c r="B907" s="28" t="n"/>
      <c r="C907" s="28" t="n"/>
      <c r="D907" s="28" t="n"/>
      <c r="E907" s="28" t="n"/>
      <c r="F907" s="28" t="n"/>
      <c r="G907" s="28" t="n"/>
      <c r="H907" s="28" t="n"/>
      <c r="I907" s="28" t="n"/>
      <c r="J907" s="28" t="n"/>
      <c r="K907" s="28" t="n"/>
    </row>
    <row r="908" ht="12.75" customHeight="1">
      <c r="A908" s="28" t="n"/>
      <c r="B908" s="28" t="n"/>
      <c r="C908" s="28" t="n"/>
      <c r="D908" s="28" t="n"/>
      <c r="E908" s="28" t="n"/>
      <c r="F908" s="28" t="n"/>
      <c r="G908" s="28" t="n"/>
      <c r="H908" s="28" t="n"/>
      <c r="I908" s="28" t="n"/>
      <c r="J908" s="28" t="n"/>
      <c r="K908" s="28" t="n"/>
    </row>
    <row r="909" ht="12.75" customHeight="1">
      <c r="A909" s="28" t="n"/>
      <c r="B909" s="28" t="n"/>
      <c r="C909" s="28" t="n"/>
      <c r="D909" s="28" t="n"/>
      <c r="E909" s="28" t="n"/>
      <c r="F909" s="28" t="n"/>
      <c r="G909" s="28" t="n"/>
      <c r="H909" s="28" t="n"/>
      <c r="I909" s="28" t="n"/>
      <c r="J909" s="28" t="n"/>
      <c r="K909" s="28" t="n"/>
    </row>
    <row r="910" ht="12.75" customHeight="1">
      <c r="A910" s="28" t="n"/>
      <c r="B910" s="28" t="n"/>
      <c r="C910" s="28" t="n"/>
      <c r="D910" s="28" t="n"/>
      <c r="E910" s="28" t="n"/>
      <c r="F910" s="28" t="n"/>
      <c r="G910" s="28" t="n"/>
      <c r="H910" s="28" t="n"/>
      <c r="I910" s="28" t="n"/>
      <c r="J910" s="28" t="n"/>
      <c r="K910" s="28" t="n"/>
    </row>
    <row r="911" ht="12.75" customHeight="1">
      <c r="A911" s="28" t="n"/>
      <c r="B911" s="28" t="n"/>
      <c r="C911" s="28" t="n"/>
      <c r="D911" s="28" t="n"/>
      <c r="E911" s="28" t="n"/>
      <c r="F911" s="28" t="n"/>
      <c r="G911" s="28" t="n"/>
      <c r="H911" s="28" t="n"/>
      <c r="I911" s="28" t="n"/>
      <c r="J911" s="28" t="n"/>
      <c r="K911" s="28" t="n"/>
    </row>
    <row r="912" ht="12.75" customHeight="1">
      <c r="A912" s="28" t="n"/>
      <c r="B912" s="28" t="n"/>
      <c r="C912" s="28" t="n"/>
      <c r="D912" s="28" t="n"/>
      <c r="E912" s="28" t="n"/>
      <c r="F912" s="28" t="n"/>
      <c r="G912" s="28" t="n"/>
      <c r="H912" s="28" t="n"/>
      <c r="I912" s="28" t="n"/>
      <c r="J912" s="28" t="n"/>
      <c r="K912" s="28" t="n"/>
    </row>
    <row r="913" ht="12.75" customHeight="1">
      <c r="A913" s="28" t="n"/>
      <c r="B913" s="28" t="n"/>
      <c r="C913" s="28" t="n"/>
      <c r="D913" s="28" t="n"/>
      <c r="E913" s="28" t="n"/>
      <c r="F913" s="28" t="n"/>
      <c r="G913" s="28" t="n"/>
      <c r="H913" s="28" t="n"/>
      <c r="I913" s="28" t="n"/>
      <c r="J913" s="28" t="n"/>
      <c r="K913" s="28" t="n"/>
    </row>
    <row r="914" ht="12.75" customHeight="1">
      <c r="A914" s="28" t="n"/>
      <c r="B914" s="28" t="n"/>
      <c r="C914" s="28" t="n"/>
      <c r="D914" s="28" t="n"/>
      <c r="E914" s="28" t="n"/>
      <c r="F914" s="28" t="n"/>
      <c r="G914" s="28" t="n"/>
      <c r="H914" s="28" t="n"/>
      <c r="I914" s="28" t="n"/>
      <c r="J914" s="28" t="n"/>
      <c r="K914" s="28" t="n"/>
    </row>
    <row r="915" ht="12.75" customHeight="1">
      <c r="A915" s="28" t="n"/>
      <c r="B915" s="28" t="n"/>
      <c r="C915" s="28" t="n"/>
      <c r="D915" s="28" t="n"/>
      <c r="E915" s="28" t="n"/>
      <c r="F915" s="28" t="n"/>
      <c r="G915" s="28" t="n"/>
      <c r="H915" s="28" t="n"/>
      <c r="I915" s="28" t="n"/>
      <c r="J915" s="28" t="n"/>
      <c r="K915" s="28" t="n"/>
    </row>
    <row r="916" ht="12.75" customHeight="1">
      <c r="A916" s="28" t="n"/>
      <c r="B916" s="28" t="n"/>
      <c r="C916" s="28" t="n"/>
      <c r="D916" s="28" t="n"/>
      <c r="E916" s="28" t="n"/>
      <c r="F916" s="28" t="n"/>
      <c r="G916" s="28" t="n"/>
      <c r="H916" s="28" t="n"/>
      <c r="I916" s="28" t="n"/>
      <c r="J916" s="28" t="n"/>
      <c r="K916" s="28" t="n"/>
    </row>
    <row r="917" ht="12.75" customHeight="1">
      <c r="A917" s="28" t="n"/>
      <c r="B917" s="28" t="n"/>
      <c r="C917" s="28" t="n"/>
      <c r="D917" s="28" t="n"/>
      <c r="E917" s="28" t="n"/>
      <c r="F917" s="28" t="n"/>
      <c r="G917" s="28" t="n"/>
      <c r="H917" s="28" t="n"/>
      <c r="I917" s="28" t="n"/>
      <c r="J917" s="28" t="n"/>
      <c r="K917" s="28" t="n"/>
    </row>
    <row r="918" ht="12.75" customHeight="1">
      <c r="A918" s="28" t="n"/>
      <c r="B918" s="28" t="n"/>
      <c r="C918" s="28" t="n"/>
      <c r="D918" s="28" t="n"/>
      <c r="E918" s="28" t="n"/>
      <c r="F918" s="28" t="n"/>
      <c r="G918" s="28" t="n"/>
      <c r="H918" s="28" t="n"/>
      <c r="I918" s="28" t="n"/>
      <c r="J918" s="28" t="n"/>
      <c r="K918" s="28" t="n"/>
    </row>
    <row r="919" ht="12.75" customHeight="1">
      <c r="A919" s="28" t="n"/>
      <c r="B919" s="28" t="n"/>
      <c r="C919" s="28" t="n"/>
      <c r="D919" s="28" t="n"/>
      <c r="E919" s="28" t="n"/>
      <c r="F919" s="28" t="n"/>
      <c r="G919" s="28" t="n"/>
      <c r="H919" s="28" t="n"/>
      <c r="I919" s="28" t="n"/>
      <c r="J919" s="28" t="n"/>
      <c r="K919" s="28" t="n"/>
    </row>
    <row r="920" ht="12.75" customHeight="1">
      <c r="A920" s="28" t="n"/>
      <c r="B920" s="28" t="n"/>
      <c r="C920" s="28" t="n"/>
      <c r="D920" s="28" t="n"/>
      <c r="E920" s="28" t="n"/>
      <c r="F920" s="28" t="n"/>
      <c r="G920" s="28" t="n"/>
      <c r="H920" s="28" t="n"/>
      <c r="I920" s="28" t="n"/>
      <c r="J920" s="28" t="n"/>
      <c r="K920" s="28" t="n"/>
    </row>
    <row r="921" ht="12.75" customHeight="1">
      <c r="A921" s="28" t="n"/>
      <c r="B921" s="28" t="n"/>
      <c r="C921" s="28" t="n"/>
      <c r="D921" s="28" t="n"/>
      <c r="E921" s="28" t="n"/>
      <c r="F921" s="28" t="n"/>
      <c r="G921" s="28" t="n"/>
      <c r="H921" s="28" t="n"/>
      <c r="I921" s="28" t="n"/>
      <c r="J921" s="28" t="n"/>
      <c r="K921" s="28" t="n"/>
    </row>
    <row r="922" ht="12.75" customHeight="1">
      <c r="A922" s="28" t="n"/>
      <c r="B922" s="28" t="n"/>
      <c r="C922" s="28" t="n"/>
      <c r="D922" s="28" t="n"/>
      <c r="E922" s="28" t="n"/>
      <c r="F922" s="28" t="n"/>
      <c r="G922" s="28" t="n"/>
      <c r="H922" s="28" t="n"/>
      <c r="I922" s="28" t="n"/>
      <c r="J922" s="28" t="n"/>
      <c r="K922" s="28" t="n"/>
    </row>
    <row r="923" ht="12.75" customHeight="1">
      <c r="A923" s="28" t="n"/>
      <c r="B923" s="28" t="n"/>
      <c r="C923" s="28" t="n"/>
      <c r="D923" s="28" t="n"/>
      <c r="E923" s="28" t="n"/>
      <c r="F923" s="28" t="n"/>
      <c r="G923" s="28" t="n"/>
      <c r="H923" s="28" t="n"/>
      <c r="I923" s="28" t="n"/>
      <c r="J923" s="28" t="n"/>
      <c r="K923" s="28" t="n"/>
    </row>
    <row r="924" ht="12.75" customHeight="1">
      <c r="A924" s="28" t="n"/>
      <c r="B924" s="28" t="n"/>
      <c r="C924" s="28" t="n"/>
      <c r="D924" s="28" t="n"/>
      <c r="E924" s="28" t="n"/>
      <c r="F924" s="28" t="n"/>
      <c r="G924" s="28" t="n"/>
      <c r="H924" s="28" t="n"/>
      <c r="I924" s="28" t="n"/>
      <c r="J924" s="28" t="n"/>
      <c r="K924" s="28" t="n"/>
    </row>
    <row r="925" ht="12.75" customHeight="1">
      <c r="A925" s="28" t="n"/>
      <c r="B925" s="28" t="n"/>
      <c r="C925" s="28" t="n"/>
      <c r="D925" s="28" t="n"/>
      <c r="E925" s="28" t="n"/>
      <c r="F925" s="28" t="n"/>
      <c r="G925" s="28" t="n"/>
      <c r="H925" s="28" t="n"/>
      <c r="I925" s="28" t="n"/>
      <c r="J925" s="28" t="n"/>
      <c r="K925" s="28" t="n"/>
    </row>
    <row r="926" ht="12.75" customHeight="1">
      <c r="A926" s="28" t="n"/>
      <c r="B926" s="28" t="n"/>
      <c r="C926" s="28" t="n"/>
      <c r="D926" s="28" t="n"/>
      <c r="E926" s="28" t="n"/>
      <c r="F926" s="28" t="n"/>
      <c r="G926" s="28" t="n"/>
      <c r="H926" s="28" t="n"/>
      <c r="I926" s="28" t="n"/>
      <c r="J926" s="28" t="n"/>
      <c r="K926" s="28" t="n"/>
    </row>
    <row r="927" ht="12.75" customHeight="1">
      <c r="A927" s="28" t="n"/>
      <c r="B927" s="28" t="n"/>
      <c r="C927" s="28" t="n"/>
      <c r="D927" s="28" t="n"/>
      <c r="E927" s="28" t="n"/>
      <c r="F927" s="28" t="n"/>
      <c r="G927" s="28" t="n"/>
      <c r="H927" s="28" t="n"/>
      <c r="I927" s="28" t="n"/>
      <c r="J927" s="28" t="n"/>
      <c r="K927" s="28" t="n"/>
    </row>
    <row r="928" ht="12.75" customHeight="1">
      <c r="A928" s="28" t="n"/>
      <c r="B928" s="28" t="n"/>
      <c r="C928" s="28" t="n"/>
      <c r="D928" s="28" t="n"/>
      <c r="E928" s="28" t="n"/>
      <c r="F928" s="28" t="n"/>
      <c r="G928" s="28" t="n"/>
      <c r="H928" s="28" t="n"/>
      <c r="I928" s="28" t="n"/>
      <c r="J928" s="28" t="n"/>
      <c r="K928" s="28" t="n"/>
    </row>
    <row r="929" ht="12.75" customHeight="1">
      <c r="A929" s="28" t="n"/>
      <c r="B929" s="28" t="n"/>
      <c r="C929" s="28" t="n"/>
      <c r="D929" s="28" t="n"/>
      <c r="E929" s="28" t="n"/>
      <c r="F929" s="28" t="n"/>
      <c r="G929" s="28" t="n"/>
      <c r="H929" s="28" t="n"/>
      <c r="I929" s="28" t="n"/>
      <c r="J929" s="28" t="n"/>
      <c r="K929" s="28" t="n"/>
    </row>
    <row r="930" ht="12.75" customHeight="1">
      <c r="A930" s="28" t="n"/>
      <c r="B930" s="28" t="n"/>
      <c r="C930" s="28" t="n"/>
      <c r="D930" s="28" t="n"/>
      <c r="E930" s="28" t="n"/>
      <c r="F930" s="28" t="n"/>
      <c r="G930" s="28" t="n"/>
      <c r="H930" s="28" t="n"/>
      <c r="I930" s="28" t="n"/>
      <c r="J930" s="28" t="n"/>
      <c r="K930" s="28" t="n"/>
    </row>
    <row r="931" ht="12.75" customHeight="1">
      <c r="A931" s="28" t="n"/>
      <c r="B931" s="28" t="n"/>
      <c r="C931" s="28" t="n"/>
      <c r="D931" s="28" t="n"/>
      <c r="E931" s="28" t="n"/>
      <c r="F931" s="28" t="n"/>
      <c r="G931" s="28" t="n"/>
      <c r="H931" s="28" t="n"/>
      <c r="I931" s="28" t="n"/>
      <c r="J931" s="28" t="n"/>
      <c r="K931" s="28" t="n"/>
    </row>
    <row r="932" ht="12.75" customHeight="1">
      <c r="A932" s="28" t="n"/>
      <c r="B932" s="28" t="n"/>
      <c r="C932" s="28" t="n"/>
      <c r="D932" s="28" t="n"/>
      <c r="E932" s="28" t="n"/>
      <c r="F932" s="28" t="n"/>
      <c r="G932" s="28" t="n"/>
      <c r="H932" s="28" t="n"/>
      <c r="I932" s="28" t="n"/>
      <c r="J932" s="28" t="n"/>
      <c r="K932" s="28" t="n"/>
    </row>
    <row r="933" ht="12.75" customHeight="1">
      <c r="A933" s="28" t="n"/>
      <c r="B933" s="28" t="n"/>
      <c r="C933" s="28" t="n"/>
      <c r="D933" s="28" t="n"/>
      <c r="E933" s="28" t="n"/>
      <c r="F933" s="28" t="n"/>
      <c r="G933" s="28" t="n"/>
      <c r="H933" s="28" t="n"/>
      <c r="I933" s="28" t="n"/>
      <c r="J933" s="28" t="n"/>
      <c r="K933" s="28" t="n"/>
    </row>
    <row r="934" ht="12.75" customHeight="1">
      <c r="A934" s="28" t="n"/>
      <c r="B934" s="28" t="n"/>
      <c r="C934" s="28" t="n"/>
      <c r="D934" s="28" t="n"/>
      <c r="E934" s="28" t="n"/>
      <c r="F934" s="28" t="n"/>
      <c r="G934" s="28" t="n"/>
      <c r="H934" s="28" t="n"/>
      <c r="I934" s="28" t="n"/>
      <c r="J934" s="28" t="n"/>
      <c r="K934" s="28" t="n"/>
    </row>
    <row r="935" ht="12.75" customHeight="1">
      <c r="A935" s="28" t="n"/>
      <c r="B935" s="28" t="n"/>
      <c r="C935" s="28" t="n"/>
      <c r="D935" s="28" t="n"/>
      <c r="E935" s="28" t="n"/>
      <c r="F935" s="28" t="n"/>
      <c r="G935" s="28" t="n"/>
      <c r="H935" s="28" t="n"/>
      <c r="I935" s="28" t="n"/>
      <c r="J935" s="28" t="n"/>
      <c r="K935" s="28" t="n"/>
    </row>
    <row r="936" ht="12.75" customHeight="1">
      <c r="A936" s="28" t="n"/>
      <c r="B936" s="28" t="n"/>
      <c r="C936" s="28" t="n"/>
      <c r="D936" s="28" t="n"/>
      <c r="E936" s="28" t="n"/>
      <c r="F936" s="28" t="n"/>
      <c r="G936" s="28" t="n"/>
      <c r="H936" s="28" t="n"/>
      <c r="I936" s="28" t="n"/>
      <c r="J936" s="28" t="n"/>
      <c r="K936" s="28" t="n"/>
    </row>
    <row r="937" ht="12.75" customHeight="1">
      <c r="A937" s="28" t="n"/>
      <c r="B937" s="28" t="n"/>
      <c r="C937" s="28" t="n"/>
      <c r="D937" s="28" t="n"/>
      <c r="E937" s="28" t="n"/>
      <c r="F937" s="28" t="n"/>
      <c r="G937" s="28" t="n"/>
      <c r="H937" s="28" t="n"/>
      <c r="I937" s="28" t="n"/>
      <c r="J937" s="28" t="n"/>
      <c r="K937" s="28" t="n"/>
    </row>
    <row r="938" ht="12.75" customHeight="1">
      <c r="A938" s="28" t="n"/>
      <c r="B938" s="28" t="n"/>
      <c r="C938" s="28" t="n"/>
      <c r="D938" s="28" t="n"/>
      <c r="E938" s="28" t="n"/>
      <c r="F938" s="28" t="n"/>
      <c r="G938" s="28" t="n"/>
      <c r="H938" s="28" t="n"/>
      <c r="I938" s="28" t="n"/>
      <c r="J938" s="28" t="n"/>
      <c r="K938" s="28" t="n"/>
    </row>
    <row r="939" ht="12.75" customHeight="1">
      <c r="A939" s="28" t="n"/>
      <c r="B939" s="28" t="n"/>
      <c r="C939" s="28" t="n"/>
      <c r="D939" s="28" t="n"/>
      <c r="E939" s="28" t="n"/>
      <c r="F939" s="28" t="n"/>
      <c r="G939" s="28" t="n"/>
      <c r="H939" s="28" t="n"/>
      <c r="I939" s="28" t="n"/>
      <c r="J939" s="28" t="n"/>
      <c r="K939" s="28" t="n"/>
    </row>
    <row r="940" ht="12.75" customHeight="1">
      <c r="A940" s="28" t="n"/>
      <c r="B940" s="28" t="n"/>
      <c r="C940" s="28" t="n"/>
      <c r="D940" s="28" t="n"/>
      <c r="E940" s="28" t="n"/>
      <c r="F940" s="28" t="n"/>
      <c r="G940" s="28" t="n"/>
      <c r="H940" s="28" t="n"/>
      <c r="I940" s="28" t="n"/>
      <c r="J940" s="28" t="n"/>
      <c r="K940" s="28" t="n"/>
    </row>
    <row r="941" ht="12.75" customHeight="1">
      <c r="A941" s="28" t="n"/>
      <c r="B941" s="28" t="n"/>
      <c r="C941" s="28" t="n"/>
      <c r="D941" s="28" t="n"/>
      <c r="E941" s="28" t="n"/>
      <c r="F941" s="28" t="n"/>
      <c r="G941" s="28" t="n"/>
      <c r="H941" s="28" t="n"/>
      <c r="I941" s="28" t="n"/>
      <c r="J941" s="28" t="n"/>
      <c r="K941" s="28" t="n"/>
    </row>
    <row r="942" ht="12.75" customHeight="1">
      <c r="A942" s="28" t="n"/>
      <c r="B942" s="28" t="n"/>
      <c r="C942" s="28" t="n"/>
      <c r="D942" s="28" t="n"/>
      <c r="E942" s="28" t="n"/>
      <c r="F942" s="28" t="n"/>
      <c r="G942" s="28" t="n"/>
      <c r="H942" s="28" t="n"/>
      <c r="I942" s="28" t="n"/>
      <c r="J942" s="28" t="n"/>
      <c r="K942" s="28" t="n"/>
    </row>
    <row r="943" ht="12.75" customHeight="1">
      <c r="A943" s="28" t="n"/>
      <c r="B943" s="28" t="n"/>
      <c r="C943" s="28" t="n"/>
      <c r="D943" s="28" t="n"/>
      <c r="E943" s="28" t="n"/>
      <c r="F943" s="28" t="n"/>
      <c r="G943" s="28" t="n"/>
      <c r="H943" s="28" t="n"/>
      <c r="I943" s="28" t="n"/>
      <c r="J943" s="28" t="n"/>
      <c r="K943" s="28" t="n"/>
    </row>
    <row r="944" ht="12.75" customHeight="1">
      <c r="A944" s="28" t="n"/>
      <c r="B944" s="28" t="n"/>
      <c r="C944" s="28" t="n"/>
      <c r="D944" s="28" t="n"/>
      <c r="E944" s="28" t="n"/>
      <c r="F944" s="28" t="n"/>
      <c r="G944" s="28" t="n"/>
      <c r="H944" s="28" t="n"/>
      <c r="I944" s="28" t="n"/>
      <c r="J944" s="28" t="n"/>
      <c r="K944" s="28" t="n"/>
    </row>
    <row r="945" ht="12.75" customHeight="1">
      <c r="A945" s="28" t="n"/>
      <c r="B945" s="28" t="n"/>
      <c r="C945" s="28" t="n"/>
      <c r="D945" s="28" t="n"/>
      <c r="E945" s="28" t="n"/>
      <c r="F945" s="28" t="n"/>
      <c r="G945" s="28" t="n"/>
      <c r="H945" s="28" t="n"/>
      <c r="I945" s="28" t="n"/>
      <c r="J945" s="28" t="n"/>
      <c r="K945" s="28" t="n"/>
    </row>
    <row r="946" ht="12.75" customHeight="1">
      <c r="A946" s="28" t="n"/>
      <c r="B946" s="28" t="n"/>
      <c r="C946" s="28" t="n"/>
      <c r="D946" s="28" t="n"/>
      <c r="E946" s="28" t="n"/>
      <c r="F946" s="28" t="n"/>
      <c r="G946" s="28" t="n"/>
      <c r="H946" s="28" t="n"/>
      <c r="I946" s="28" t="n"/>
      <c r="J946" s="28" t="n"/>
      <c r="K946" s="28" t="n"/>
    </row>
    <row r="947" ht="12.75" customHeight="1">
      <c r="A947" s="28" t="n"/>
      <c r="B947" s="28" t="n"/>
      <c r="C947" s="28" t="n"/>
      <c r="D947" s="28" t="n"/>
      <c r="E947" s="28" t="n"/>
      <c r="F947" s="28" t="n"/>
      <c r="G947" s="28" t="n"/>
      <c r="H947" s="28" t="n"/>
      <c r="I947" s="28" t="n"/>
      <c r="J947" s="28" t="n"/>
      <c r="K947" s="28" t="n"/>
    </row>
    <row r="948" ht="12.75" customHeight="1">
      <c r="A948" s="28" t="n"/>
      <c r="B948" s="28" t="n"/>
      <c r="C948" s="28" t="n"/>
      <c r="D948" s="28" t="n"/>
      <c r="E948" s="28" t="n"/>
      <c r="F948" s="28" t="n"/>
      <c r="G948" s="28" t="n"/>
      <c r="H948" s="28" t="n"/>
      <c r="I948" s="28" t="n"/>
      <c r="J948" s="28" t="n"/>
      <c r="K948" s="28" t="n"/>
    </row>
    <row r="949" ht="12.75" customHeight="1">
      <c r="A949" s="28" t="n"/>
      <c r="B949" s="28" t="n"/>
      <c r="C949" s="28" t="n"/>
      <c r="D949" s="28" t="n"/>
      <c r="E949" s="28" t="n"/>
      <c r="F949" s="28" t="n"/>
      <c r="G949" s="28" t="n"/>
      <c r="H949" s="28" t="n"/>
      <c r="I949" s="28" t="n"/>
      <c r="J949" s="28" t="n"/>
      <c r="K949" s="28" t="n"/>
    </row>
    <row r="950" ht="12.75" customHeight="1">
      <c r="A950" s="28" t="n"/>
      <c r="B950" s="28" t="n"/>
      <c r="C950" s="28" t="n"/>
      <c r="D950" s="28" t="n"/>
      <c r="E950" s="28" t="n"/>
      <c r="F950" s="28" t="n"/>
      <c r="G950" s="28" t="n"/>
      <c r="H950" s="28" t="n"/>
      <c r="I950" s="28" t="n"/>
      <c r="J950" s="28" t="n"/>
      <c r="K950" s="28" t="n"/>
    </row>
    <row r="951" ht="12.75" customHeight="1">
      <c r="A951" s="28" t="n"/>
      <c r="B951" s="28" t="n"/>
      <c r="C951" s="28" t="n"/>
      <c r="D951" s="28" t="n"/>
      <c r="E951" s="28" t="n"/>
      <c r="F951" s="28" t="n"/>
      <c r="G951" s="28" t="n"/>
      <c r="H951" s="28" t="n"/>
      <c r="I951" s="28" t="n"/>
      <c r="J951" s="28" t="n"/>
      <c r="K951" s="28" t="n"/>
    </row>
    <row r="952" ht="12.75" customHeight="1">
      <c r="A952" s="28" t="n"/>
      <c r="B952" s="28" t="n"/>
      <c r="C952" s="28" t="n"/>
      <c r="D952" s="28" t="n"/>
      <c r="E952" s="28" t="n"/>
      <c r="F952" s="28" t="n"/>
      <c r="G952" s="28" t="n"/>
      <c r="H952" s="28" t="n"/>
      <c r="I952" s="28" t="n"/>
      <c r="J952" s="28" t="n"/>
      <c r="K952" s="28" t="n"/>
    </row>
    <row r="953" ht="12.75" customHeight="1">
      <c r="A953" s="28" t="n"/>
      <c r="B953" s="28" t="n"/>
      <c r="C953" s="28" t="n"/>
      <c r="D953" s="28" t="n"/>
      <c r="E953" s="28" t="n"/>
      <c r="F953" s="28" t="n"/>
      <c r="G953" s="28" t="n"/>
      <c r="H953" s="28" t="n"/>
      <c r="I953" s="28" t="n"/>
      <c r="J953" s="28" t="n"/>
      <c r="K953" s="28" t="n"/>
    </row>
    <row r="954" ht="12.75" customHeight="1">
      <c r="A954" s="28" t="n"/>
      <c r="B954" s="28" t="n"/>
      <c r="C954" s="28" t="n"/>
      <c r="D954" s="28" t="n"/>
      <c r="E954" s="28" t="n"/>
      <c r="F954" s="28" t="n"/>
      <c r="G954" s="28" t="n"/>
      <c r="H954" s="28" t="n"/>
      <c r="I954" s="28" t="n"/>
      <c r="J954" s="28" t="n"/>
      <c r="K954" s="28" t="n"/>
    </row>
    <row r="955" ht="12.75" customHeight="1">
      <c r="A955" s="28" t="n"/>
      <c r="B955" s="28" t="n"/>
      <c r="C955" s="28" t="n"/>
      <c r="D955" s="28" t="n"/>
      <c r="E955" s="28" t="n"/>
      <c r="F955" s="28" t="n"/>
      <c r="G955" s="28" t="n"/>
      <c r="H955" s="28" t="n"/>
      <c r="I955" s="28" t="n"/>
      <c r="J955" s="28" t="n"/>
      <c r="K955" s="28" t="n"/>
    </row>
    <row r="956" ht="12.75" customHeight="1">
      <c r="A956" s="28" t="n"/>
      <c r="B956" s="28" t="n"/>
      <c r="C956" s="28" t="n"/>
      <c r="D956" s="28" t="n"/>
      <c r="E956" s="28" t="n"/>
      <c r="F956" s="28" t="n"/>
      <c r="G956" s="28" t="n"/>
      <c r="H956" s="28" t="n"/>
      <c r="I956" s="28" t="n"/>
      <c r="J956" s="28" t="n"/>
      <c r="K956" s="28" t="n"/>
    </row>
    <row r="957" ht="12.75" customHeight="1">
      <c r="A957" s="28" t="n"/>
      <c r="B957" s="28" t="n"/>
      <c r="C957" s="28" t="n"/>
      <c r="D957" s="28" t="n"/>
      <c r="E957" s="28" t="n"/>
      <c r="F957" s="28" t="n"/>
      <c r="G957" s="28" t="n"/>
      <c r="H957" s="28" t="n"/>
      <c r="I957" s="28" t="n"/>
      <c r="J957" s="28" t="n"/>
      <c r="K957" s="28" t="n"/>
    </row>
    <row r="958" ht="12.75" customHeight="1">
      <c r="A958" s="28" t="n"/>
      <c r="B958" s="28" t="n"/>
      <c r="C958" s="28" t="n"/>
      <c r="D958" s="28" t="n"/>
      <c r="E958" s="28" t="n"/>
      <c r="F958" s="28" t="n"/>
      <c r="G958" s="28" t="n"/>
      <c r="H958" s="28" t="n"/>
      <c r="I958" s="28" t="n"/>
      <c r="J958" s="28" t="n"/>
      <c r="K958" s="28" t="n"/>
    </row>
    <row r="959" ht="12.75" customHeight="1">
      <c r="A959" s="28" t="n"/>
      <c r="B959" s="28" t="n"/>
      <c r="C959" s="28" t="n"/>
      <c r="D959" s="28" t="n"/>
      <c r="E959" s="28" t="n"/>
      <c r="F959" s="28" t="n"/>
      <c r="G959" s="28" t="n"/>
      <c r="H959" s="28" t="n"/>
      <c r="I959" s="28" t="n"/>
      <c r="J959" s="28" t="n"/>
      <c r="K959" s="28" t="n"/>
    </row>
    <row r="960" ht="12.75" customHeight="1">
      <c r="A960" s="28" t="n"/>
      <c r="B960" s="28" t="n"/>
      <c r="C960" s="28" t="n"/>
      <c r="D960" s="28" t="n"/>
      <c r="E960" s="28" t="n"/>
      <c r="F960" s="28" t="n"/>
      <c r="G960" s="28" t="n"/>
      <c r="H960" s="28" t="n"/>
      <c r="I960" s="28" t="n"/>
      <c r="J960" s="28" t="n"/>
      <c r="K960" s="28" t="n"/>
    </row>
    <row r="961" ht="12.75" customHeight="1">
      <c r="A961" s="28" t="n"/>
      <c r="B961" s="28" t="n"/>
      <c r="C961" s="28" t="n"/>
      <c r="D961" s="28" t="n"/>
      <c r="E961" s="28" t="n"/>
      <c r="F961" s="28" t="n"/>
      <c r="G961" s="28" t="n"/>
      <c r="H961" s="28" t="n"/>
      <c r="I961" s="28" t="n"/>
      <c r="J961" s="28" t="n"/>
      <c r="K961" s="28" t="n"/>
    </row>
    <row r="962" ht="12.75" customHeight="1">
      <c r="A962" s="28" t="n"/>
      <c r="B962" s="28" t="n"/>
      <c r="C962" s="28" t="n"/>
      <c r="D962" s="28" t="n"/>
      <c r="E962" s="28" t="n"/>
      <c r="F962" s="28" t="n"/>
      <c r="G962" s="28" t="n"/>
      <c r="H962" s="28" t="n"/>
      <c r="I962" s="28" t="n"/>
      <c r="J962" s="28" t="n"/>
      <c r="K962" s="28" t="n"/>
    </row>
    <row r="963" ht="12.75" customHeight="1">
      <c r="A963" s="28" t="n"/>
      <c r="B963" s="28" t="n"/>
      <c r="C963" s="28" t="n"/>
      <c r="D963" s="28" t="n"/>
      <c r="E963" s="28" t="n"/>
      <c r="F963" s="28" t="n"/>
      <c r="G963" s="28" t="n"/>
      <c r="H963" s="28" t="n"/>
      <c r="I963" s="28" t="n"/>
      <c r="J963" s="28" t="n"/>
      <c r="K963" s="28" t="n"/>
    </row>
    <row r="964" ht="12.75" customHeight="1">
      <c r="A964" s="28" t="n"/>
      <c r="B964" s="28" t="n"/>
      <c r="C964" s="28" t="n"/>
      <c r="D964" s="28" t="n"/>
      <c r="E964" s="28" t="n"/>
      <c r="F964" s="28" t="n"/>
      <c r="G964" s="28" t="n"/>
      <c r="H964" s="28" t="n"/>
      <c r="I964" s="28" t="n"/>
      <c r="J964" s="28" t="n"/>
      <c r="K964" s="28" t="n"/>
    </row>
    <row r="965" ht="12.75" customHeight="1">
      <c r="A965" s="28" t="n"/>
      <c r="B965" s="28" t="n"/>
      <c r="C965" s="28" t="n"/>
      <c r="D965" s="28" t="n"/>
      <c r="E965" s="28" t="n"/>
      <c r="F965" s="28" t="n"/>
      <c r="G965" s="28" t="n"/>
      <c r="H965" s="28" t="n"/>
      <c r="I965" s="28" t="n"/>
      <c r="J965" s="28" t="n"/>
      <c r="K965" s="28" t="n"/>
    </row>
    <row r="966" ht="12.75" customHeight="1">
      <c r="A966" s="28" t="n"/>
      <c r="B966" s="28" t="n"/>
      <c r="C966" s="28" t="n"/>
      <c r="D966" s="28" t="n"/>
      <c r="E966" s="28" t="n"/>
      <c r="F966" s="28" t="n"/>
      <c r="G966" s="28" t="n"/>
      <c r="H966" s="28" t="n"/>
      <c r="I966" s="28" t="n"/>
      <c r="J966" s="28" t="n"/>
      <c r="K966" s="28" t="n"/>
    </row>
    <row r="967" ht="12.75" customHeight="1">
      <c r="A967" s="28" t="n"/>
      <c r="B967" s="28" t="n"/>
      <c r="C967" s="28" t="n"/>
      <c r="D967" s="28" t="n"/>
      <c r="E967" s="28" t="n"/>
      <c r="F967" s="28" t="n"/>
      <c r="G967" s="28" t="n"/>
      <c r="H967" s="28" t="n"/>
      <c r="I967" s="28" t="n"/>
      <c r="J967" s="28" t="n"/>
      <c r="K967" s="28" t="n"/>
    </row>
    <row r="968" ht="12.75" customHeight="1">
      <c r="A968" s="28" t="n"/>
      <c r="B968" s="28" t="n"/>
      <c r="C968" s="28" t="n"/>
      <c r="D968" s="28" t="n"/>
      <c r="E968" s="28" t="n"/>
      <c r="F968" s="28" t="n"/>
      <c r="G968" s="28" t="n"/>
      <c r="H968" s="28" t="n"/>
      <c r="I968" s="28" t="n"/>
      <c r="J968" s="28" t="n"/>
      <c r="K968" s="28" t="n"/>
    </row>
    <row r="969" ht="12.75" customHeight="1">
      <c r="A969" s="28" t="n"/>
      <c r="B969" s="28" t="n"/>
      <c r="C969" s="28" t="n"/>
      <c r="D969" s="28" t="n"/>
      <c r="E969" s="28" t="n"/>
      <c r="F969" s="28" t="n"/>
      <c r="G969" s="28" t="n"/>
      <c r="H969" s="28" t="n"/>
      <c r="I969" s="28" t="n"/>
      <c r="J969" s="28" t="n"/>
      <c r="K969" s="28" t="n"/>
    </row>
    <row r="970" ht="12.75" customHeight="1">
      <c r="A970" s="28" t="n"/>
      <c r="B970" s="28" t="n"/>
      <c r="C970" s="28" t="n"/>
      <c r="D970" s="28" t="n"/>
      <c r="E970" s="28" t="n"/>
      <c r="F970" s="28" t="n"/>
      <c r="G970" s="28" t="n"/>
      <c r="H970" s="28" t="n"/>
      <c r="I970" s="28" t="n"/>
      <c r="J970" s="28" t="n"/>
      <c r="K970" s="28" t="n"/>
    </row>
    <row r="971" ht="12.75" customHeight="1">
      <c r="A971" s="28" t="n"/>
      <c r="B971" s="28" t="n"/>
      <c r="C971" s="28" t="n"/>
      <c r="D971" s="28" t="n"/>
      <c r="E971" s="28" t="n"/>
      <c r="F971" s="28" t="n"/>
      <c r="G971" s="28" t="n"/>
      <c r="H971" s="28" t="n"/>
      <c r="I971" s="28" t="n"/>
      <c r="J971" s="28" t="n"/>
      <c r="K971" s="28" t="n"/>
    </row>
    <row r="972" ht="12.75" customHeight="1">
      <c r="A972" s="28" t="n"/>
      <c r="B972" s="28" t="n"/>
      <c r="C972" s="28" t="n"/>
      <c r="D972" s="28" t="n"/>
      <c r="E972" s="28" t="n"/>
      <c r="F972" s="28" t="n"/>
      <c r="G972" s="28" t="n"/>
      <c r="H972" s="28" t="n"/>
      <c r="I972" s="28" t="n"/>
      <c r="J972" s="28" t="n"/>
      <c r="K972" s="28" t="n"/>
    </row>
    <row r="973" ht="12.75" customHeight="1">
      <c r="A973" s="28" t="n"/>
      <c r="B973" s="28" t="n"/>
      <c r="C973" s="28" t="n"/>
      <c r="D973" s="28" t="n"/>
      <c r="E973" s="28" t="n"/>
      <c r="F973" s="28" t="n"/>
      <c r="G973" s="28" t="n"/>
      <c r="H973" s="28" t="n"/>
      <c r="I973" s="28" t="n"/>
      <c r="J973" s="28" t="n"/>
      <c r="K973" s="28" t="n"/>
    </row>
    <row r="974" ht="12.75" customHeight="1">
      <c r="A974" s="28" t="n"/>
      <c r="B974" s="28" t="n"/>
      <c r="C974" s="28" t="n"/>
      <c r="D974" s="28" t="n"/>
      <c r="E974" s="28" t="n"/>
      <c r="F974" s="28" t="n"/>
      <c r="G974" s="28" t="n"/>
      <c r="H974" s="28" t="n"/>
      <c r="I974" s="28" t="n"/>
      <c r="J974" s="28" t="n"/>
      <c r="K974" s="28" t="n"/>
    </row>
    <row r="975" ht="12.75" customHeight="1">
      <c r="A975" s="28" t="n"/>
      <c r="B975" s="28" t="n"/>
      <c r="C975" s="28" t="n"/>
      <c r="D975" s="28" t="n"/>
      <c r="E975" s="28" t="n"/>
      <c r="F975" s="28" t="n"/>
      <c r="G975" s="28" t="n"/>
      <c r="H975" s="28" t="n"/>
      <c r="I975" s="28" t="n"/>
      <c r="J975" s="28" t="n"/>
      <c r="K975" s="28" t="n"/>
    </row>
    <row r="976" ht="12.75" customHeight="1">
      <c r="A976" s="28" t="n"/>
      <c r="B976" s="28" t="n"/>
      <c r="C976" s="28" t="n"/>
      <c r="D976" s="28" t="n"/>
      <c r="E976" s="28" t="n"/>
      <c r="F976" s="28" t="n"/>
      <c r="G976" s="28" t="n"/>
      <c r="H976" s="28" t="n"/>
      <c r="I976" s="28" t="n"/>
      <c r="J976" s="28" t="n"/>
      <c r="K976" s="28" t="n"/>
    </row>
    <row r="977" ht="12.75" customHeight="1">
      <c r="A977" s="28" t="n"/>
      <c r="B977" s="28" t="n"/>
      <c r="C977" s="28" t="n"/>
      <c r="D977" s="28" t="n"/>
      <c r="E977" s="28" t="n"/>
      <c r="F977" s="28" t="n"/>
      <c r="G977" s="28" t="n"/>
      <c r="H977" s="28" t="n"/>
      <c r="I977" s="28" t="n"/>
      <c r="J977" s="28" t="n"/>
      <c r="K977" s="28" t="n"/>
    </row>
    <row r="978" ht="12.75" customHeight="1">
      <c r="A978" s="28" t="n"/>
      <c r="B978" s="28" t="n"/>
      <c r="C978" s="28" t="n"/>
      <c r="D978" s="28" t="n"/>
      <c r="E978" s="28" t="n"/>
      <c r="F978" s="28" t="n"/>
      <c r="G978" s="28" t="n"/>
      <c r="H978" s="28" t="n"/>
      <c r="I978" s="28" t="n"/>
      <c r="J978" s="28" t="n"/>
      <c r="K978" s="28" t="n"/>
    </row>
    <row r="979" ht="12.75" customHeight="1">
      <c r="A979" s="28" t="n"/>
      <c r="B979" s="28" t="n"/>
      <c r="C979" s="28" t="n"/>
      <c r="D979" s="28" t="n"/>
      <c r="E979" s="28" t="n"/>
      <c r="F979" s="28" t="n"/>
      <c r="G979" s="28" t="n"/>
      <c r="H979" s="28" t="n"/>
      <c r="I979" s="28" t="n"/>
      <c r="J979" s="28" t="n"/>
      <c r="K979" s="28" t="n"/>
    </row>
    <row r="980" ht="12.75" customHeight="1">
      <c r="A980" s="28" t="n"/>
      <c r="B980" s="28" t="n"/>
      <c r="C980" s="28" t="n"/>
      <c r="D980" s="28" t="n"/>
      <c r="E980" s="28" t="n"/>
      <c r="F980" s="28" t="n"/>
      <c r="G980" s="28" t="n"/>
      <c r="H980" s="28" t="n"/>
      <c r="I980" s="28" t="n"/>
      <c r="J980" s="28" t="n"/>
      <c r="K980" s="28" t="n"/>
    </row>
    <row r="981" ht="12.75" customHeight="1">
      <c r="A981" s="28" t="n"/>
      <c r="B981" s="28" t="n"/>
      <c r="C981" s="28" t="n"/>
      <c r="D981" s="28" t="n"/>
      <c r="E981" s="28" t="n"/>
      <c r="F981" s="28" t="n"/>
      <c r="G981" s="28" t="n"/>
      <c r="H981" s="28" t="n"/>
      <c r="I981" s="28" t="n"/>
      <c r="J981" s="28" t="n"/>
      <c r="K981" s="28" t="n"/>
    </row>
    <row r="982" ht="12.75" customHeight="1">
      <c r="A982" s="28" t="n"/>
      <c r="B982" s="28" t="n"/>
      <c r="C982" s="28" t="n"/>
      <c r="D982" s="28" t="n"/>
      <c r="E982" s="28" t="n"/>
      <c r="F982" s="28" t="n"/>
      <c r="G982" s="28" t="n"/>
      <c r="H982" s="28" t="n"/>
      <c r="I982" s="28" t="n"/>
      <c r="J982" s="28" t="n"/>
      <c r="K982" s="28" t="n"/>
    </row>
    <row r="983" ht="12.75" customHeight="1">
      <c r="A983" s="28" t="n"/>
      <c r="B983" s="28" t="n"/>
      <c r="C983" s="28" t="n"/>
      <c r="D983" s="28" t="n"/>
      <c r="E983" s="28" t="n"/>
      <c r="F983" s="28" t="n"/>
      <c r="G983" s="28" t="n"/>
      <c r="H983" s="28" t="n"/>
      <c r="I983" s="28" t="n"/>
      <c r="J983" s="28" t="n"/>
      <c r="K983" s="28" t="n"/>
    </row>
    <row r="984" ht="12.75" customHeight="1">
      <c r="A984" s="28" t="n"/>
      <c r="B984" s="28" t="n"/>
      <c r="C984" s="28" t="n"/>
      <c r="D984" s="28" t="n"/>
      <c r="E984" s="28" t="n"/>
      <c r="F984" s="28" t="n"/>
      <c r="G984" s="28" t="n"/>
      <c r="H984" s="28" t="n"/>
      <c r="I984" s="28" t="n"/>
      <c r="J984" s="28" t="n"/>
      <c r="K984" s="28" t="n"/>
    </row>
    <row r="985" ht="12.75" customHeight="1">
      <c r="A985" s="28" t="n"/>
      <c r="B985" s="28" t="n"/>
      <c r="C985" s="28" t="n"/>
      <c r="D985" s="28" t="n"/>
      <c r="E985" s="28" t="n"/>
      <c r="F985" s="28" t="n"/>
      <c r="G985" s="28" t="n"/>
      <c r="H985" s="28" t="n"/>
      <c r="I985" s="28" t="n"/>
      <c r="J985" s="28" t="n"/>
      <c r="K985" s="28" t="n"/>
    </row>
    <row r="986" ht="12.75" customHeight="1">
      <c r="A986" s="28" t="n"/>
      <c r="B986" s="28" t="n"/>
      <c r="C986" s="28" t="n"/>
      <c r="D986" s="28" t="n"/>
      <c r="E986" s="28" t="n"/>
      <c r="F986" s="28" t="n"/>
      <c r="G986" s="28" t="n"/>
      <c r="H986" s="28" t="n"/>
      <c r="I986" s="28" t="n"/>
      <c r="J986" s="28" t="n"/>
      <c r="K986" s="28" t="n"/>
    </row>
    <row r="987" ht="12.75" customHeight="1">
      <c r="A987" s="28" t="n"/>
      <c r="B987" s="28" t="n"/>
      <c r="C987" s="28" t="n"/>
      <c r="D987" s="28" t="n"/>
      <c r="E987" s="28" t="n"/>
      <c r="F987" s="28" t="n"/>
      <c r="G987" s="28" t="n"/>
      <c r="H987" s="28" t="n"/>
      <c r="I987" s="28" t="n"/>
      <c r="J987" s="28" t="n"/>
      <c r="K987" s="28" t="n"/>
    </row>
    <row r="988" ht="12.75" customHeight="1">
      <c r="A988" s="28" t="n"/>
      <c r="B988" s="28" t="n"/>
      <c r="C988" s="28" t="n"/>
      <c r="D988" s="28" t="n"/>
      <c r="E988" s="28" t="n"/>
      <c r="F988" s="28" t="n"/>
      <c r="G988" s="28" t="n"/>
      <c r="H988" s="28" t="n"/>
      <c r="I988" s="28" t="n"/>
      <c r="J988" s="28" t="n"/>
      <c r="K988" s="28" t="n"/>
    </row>
    <row r="989" ht="12.75" customHeight="1">
      <c r="A989" s="28" t="n"/>
      <c r="B989" s="28" t="n"/>
      <c r="C989" s="28" t="n"/>
      <c r="D989" s="28" t="n"/>
      <c r="E989" s="28" t="n"/>
      <c r="F989" s="28" t="n"/>
      <c r="G989" s="28" t="n"/>
      <c r="H989" s="28" t="n"/>
      <c r="I989" s="28" t="n"/>
      <c r="J989" s="28" t="n"/>
      <c r="K989" s="28" t="n"/>
    </row>
    <row r="990" ht="12.75" customHeight="1">
      <c r="A990" s="28" t="n"/>
      <c r="B990" s="28" t="n"/>
      <c r="C990" s="28" t="n"/>
      <c r="D990" s="28" t="n"/>
      <c r="E990" s="28" t="n"/>
      <c r="F990" s="28" t="n"/>
      <c r="G990" s="28" t="n"/>
      <c r="H990" s="28" t="n"/>
      <c r="I990" s="28" t="n"/>
      <c r="J990" s="28" t="n"/>
      <c r="K990" s="28" t="n"/>
    </row>
    <row r="991" ht="12.75" customHeight="1">
      <c r="A991" s="28" t="n"/>
      <c r="B991" s="28" t="n"/>
      <c r="C991" s="28" t="n"/>
      <c r="D991" s="28" t="n"/>
      <c r="E991" s="28" t="n"/>
      <c r="F991" s="28" t="n"/>
      <c r="G991" s="28" t="n"/>
      <c r="H991" s="28" t="n"/>
      <c r="I991" s="28" t="n"/>
      <c r="J991" s="28" t="n"/>
      <c r="K991" s="28" t="n"/>
    </row>
    <row r="992" ht="12.75" customHeight="1">
      <c r="A992" s="28" t="n"/>
      <c r="B992" s="28" t="n"/>
      <c r="C992" s="28" t="n"/>
      <c r="D992" s="28" t="n"/>
      <c r="E992" s="28" t="n"/>
      <c r="F992" s="28" t="n"/>
      <c r="G992" s="28" t="n"/>
      <c r="H992" s="28" t="n"/>
      <c r="I992" s="28" t="n"/>
      <c r="J992" s="28" t="n"/>
      <c r="K992" s="28" t="n"/>
    </row>
    <row r="993" ht="12.75" customHeight="1">
      <c r="A993" s="28" t="n"/>
      <c r="B993" s="28" t="n"/>
      <c r="C993" s="28" t="n"/>
      <c r="D993" s="28" t="n"/>
      <c r="E993" s="28" t="n"/>
      <c r="F993" s="28" t="n"/>
      <c r="G993" s="28" t="n"/>
      <c r="H993" s="28" t="n"/>
      <c r="I993" s="28" t="n"/>
      <c r="J993" s="28" t="n"/>
      <c r="K993" s="28" t="n"/>
    </row>
    <row r="994" ht="12.75" customHeight="1">
      <c r="A994" s="28" t="n"/>
      <c r="B994" s="28" t="n"/>
      <c r="C994" s="28" t="n"/>
      <c r="D994" s="28" t="n"/>
      <c r="E994" s="28" t="n"/>
      <c r="F994" s="28" t="n"/>
      <c r="G994" s="28" t="n"/>
      <c r="H994" s="28" t="n"/>
      <c r="I994" s="28" t="n"/>
      <c r="J994" s="28" t="n"/>
      <c r="K994" s="28" t="n"/>
    </row>
    <row r="995" ht="12.75" customHeight="1">
      <c r="A995" s="28" t="n"/>
      <c r="B995" s="28" t="n"/>
      <c r="C995" s="28" t="n"/>
      <c r="D995" s="28" t="n"/>
      <c r="E995" s="28" t="n"/>
      <c r="F995" s="28" t="n"/>
      <c r="G995" s="28" t="n"/>
      <c r="H995" s="28" t="n"/>
      <c r="I995" s="28" t="n"/>
      <c r="J995" s="28" t="n"/>
      <c r="K995" s="28" t="n"/>
    </row>
    <row r="996" ht="12.75" customHeight="1">
      <c r="A996" s="28" t="n"/>
      <c r="B996" s="28" t="n"/>
      <c r="C996" s="28" t="n"/>
      <c r="D996" s="28" t="n"/>
      <c r="E996" s="28" t="n"/>
      <c r="F996" s="28" t="n"/>
      <c r="G996" s="28" t="n"/>
      <c r="H996" s="28" t="n"/>
      <c r="I996" s="28" t="n"/>
      <c r="J996" s="28" t="n"/>
      <c r="K996" s="28" t="n"/>
    </row>
    <row r="997" ht="12.75" customHeight="1">
      <c r="A997" s="28" t="n"/>
      <c r="B997" s="28" t="n"/>
      <c r="C997" s="28" t="n"/>
      <c r="D997" s="28" t="n"/>
      <c r="E997" s="28" t="n"/>
      <c r="F997" s="28" t="n"/>
      <c r="G997" s="28" t="n"/>
      <c r="H997" s="28" t="n"/>
      <c r="I997" s="28" t="n"/>
      <c r="J997" s="28" t="n"/>
      <c r="K997" s="28" t="n"/>
    </row>
  </sheetData>
  <autoFilter ref="A1:K73"/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6.xml><?xml version="1.0" encoding="utf-8"?>
<worksheet xmlns="http://schemas.openxmlformats.org/spreadsheetml/2006/main">
  <sheetPr>
    <outlinePr summaryBelow="0" summaryRight="0"/>
    <pageSetUpPr fitToPage="1"/>
  </sheetPr>
  <dimension ref="A1:K1000"/>
  <sheetViews>
    <sheetView topLeftCell="C1" workbookViewId="0">
      <pane ySplit="1" topLeftCell="A92" activePane="bottomLeft" state="frozen"/>
      <selection pane="bottomLeft" activeCell="G119" sqref="G119"/>
    </sheetView>
  </sheetViews>
  <sheetFormatPr baseColWidth="8" defaultColWidth="12.5703125" defaultRowHeight="15.75" customHeight="1"/>
  <cols>
    <col width="10.42578125" customWidth="1" min="1" max="1"/>
    <col width="22.85546875" customWidth="1" min="2" max="2"/>
    <col width="18.140625" customWidth="1" min="3" max="3"/>
    <col width="13.28515625" customWidth="1" min="4" max="4"/>
    <col width="57.140625" customWidth="1" min="5" max="5"/>
    <col width="18.140625" customWidth="1" min="6" max="6"/>
    <col width="61" customWidth="1" min="7" max="7"/>
    <col width="15.28515625" customWidth="1" min="8" max="8"/>
    <col width="31.42578125" customWidth="1" min="9" max="10"/>
    <col width="18.140625" customWidth="1" min="11" max="11"/>
  </cols>
  <sheetData>
    <row r="1" ht="28.5" customFormat="1" customHeight="1" s="33">
      <c r="A1" s="30" t="inlineStr">
        <is>
          <t>REGIÃO</t>
        </is>
      </c>
      <c r="B1" s="31" t="inlineStr">
        <is>
          <t>CIDADE</t>
        </is>
      </c>
      <c r="C1" s="31" t="inlineStr">
        <is>
          <t>NÚMERO DO TRECHO</t>
        </is>
      </c>
      <c r="D1" s="31" t="inlineStr">
        <is>
          <t>RODOVIA</t>
        </is>
      </c>
      <c r="E1" s="31" t="inlineStr">
        <is>
          <t>TRECHO</t>
        </is>
      </c>
      <c r="F1" s="31" t="inlineStr">
        <is>
          <t>SRE</t>
        </is>
      </c>
      <c r="G1" s="31" t="inlineStr">
        <is>
          <t>SEGMENTO</t>
        </is>
      </c>
      <c r="H1" s="31" t="inlineStr">
        <is>
          <t>SITUAÇÃO</t>
        </is>
      </c>
      <c r="I1" s="31" t="inlineStr">
        <is>
          <t>COORDENADA INICIAL</t>
        </is>
      </c>
      <c r="J1" s="31" t="inlineStr">
        <is>
          <t>COORDENADA FINAL</t>
        </is>
      </c>
      <c r="K1" s="32" t="inlineStr">
        <is>
          <t>EXTENSÃO REAL (km)</t>
        </is>
      </c>
    </row>
    <row r="2" ht="30" customHeight="1">
      <c r="A2" s="20" t="n">
        <v>13</v>
      </c>
      <c r="B2" s="21" t="inlineStr">
        <is>
          <t>DIANÓPOLIS</t>
        </is>
      </c>
      <c r="C2" s="22" t="n">
        <v>245</v>
      </c>
      <c r="D2" s="18" t="inlineStr">
        <is>
          <t>TO-040</t>
        </is>
      </c>
      <c r="E2" s="21" t="inlineStr">
        <is>
          <t>RODOVIA TO-040 - TRECHO ENTR. TO-369 - ENTR. TO-280 (ALMAS)</t>
        </is>
      </c>
      <c r="F2" s="18" t="inlineStr">
        <is>
          <t>040ETO0140</t>
        </is>
      </c>
      <c r="G2" s="21" t="inlineStr">
        <is>
          <t>ENTR. TO-369 - ENTR. TO-280(PU ALMAS)</t>
        </is>
      </c>
      <c r="H2" s="18" t="inlineStr">
        <is>
          <t>LEN</t>
        </is>
      </c>
      <c r="I2" s="18" t="inlineStr">
        <is>
          <t>-47.2994875886, -11.1638440072</t>
        </is>
      </c>
      <c r="J2" s="18" t="inlineStr">
        <is>
          <t>-47.1684449999, -11.560857</t>
        </is>
      </c>
      <c r="K2" s="19" t="n">
        <v>56.64110079</v>
      </c>
    </row>
    <row r="3" ht="30" customHeight="1">
      <c r="A3" s="20" t="n">
        <v>13</v>
      </c>
      <c r="B3" s="21" t="inlineStr">
        <is>
          <t>DIANÓPOLIS</t>
        </is>
      </c>
      <c r="C3" s="22" t="n">
        <v>246</v>
      </c>
      <c r="D3" s="18" t="inlineStr">
        <is>
          <t>TO-040</t>
        </is>
      </c>
      <c r="E3" s="21" t="inlineStr">
        <is>
          <t>RODOVIA TO-040 - TRECHO ALMAS - PORTO ALEGRE DO TOCANTINS</t>
        </is>
      </c>
      <c r="F3" s="18" t="inlineStr">
        <is>
          <t>040ETO0150</t>
        </is>
      </c>
      <c r="G3" s="21" t="inlineStr">
        <is>
          <t>ENTR. TO-280(PU ALMAS) - ENTR. TO-477(PU ALMAS)</t>
        </is>
      </c>
      <c r="H3" s="18" t="inlineStr">
        <is>
          <t>PSU</t>
        </is>
      </c>
      <c r="I3" s="18" t="inlineStr">
        <is>
          <t>-47.1684449999, -11.560857</t>
        </is>
      </c>
      <c r="J3" s="18" t="inlineStr">
        <is>
          <t>-47.1549759545, -11.5621995971</t>
        </is>
      </c>
      <c r="K3" s="19" t="n">
        <v>1.541265277</v>
      </c>
    </row>
    <row r="4" ht="30" customHeight="1">
      <c r="A4" s="20" t="n">
        <v>13</v>
      </c>
      <c r="B4" s="21" t="inlineStr">
        <is>
          <t>DIANÓPOLIS</t>
        </is>
      </c>
      <c r="C4" s="22" t="n">
        <v>246</v>
      </c>
      <c r="D4" s="18" t="inlineStr">
        <is>
          <t>TO-040</t>
        </is>
      </c>
      <c r="E4" s="21" t="inlineStr">
        <is>
          <t>RODOVIA TO-040 - TRECHO ALMAS - PORTO ALEGRE DO TOCANTINS</t>
        </is>
      </c>
      <c r="F4" s="18" t="inlineStr">
        <is>
          <t>040ETO0160</t>
        </is>
      </c>
      <c r="G4" s="21" t="inlineStr">
        <is>
          <t>ENTR. TO-477(PU ALMAS) - INÍCIO PU PORTO ALEGRE DO TOCANTINS</t>
        </is>
      </c>
      <c r="H4" s="18" t="inlineStr">
        <is>
          <t>PPS</t>
        </is>
      </c>
      <c r="I4" s="18" t="inlineStr">
        <is>
          <t>-47.1548380002, -11.5624670005</t>
        </is>
      </c>
      <c r="J4" s="18" t="inlineStr">
        <is>
          <t>-47.0554309998, -11.6109339998</t>
        </is>
      </c>
      <c r="K4" s="19" t="n">
        <v>12.78851424</v>
      </c>
    </row>
    <row r="5" ht="30" customHeight="1">
      <c r="A5" s="20" t="n">
        <v>13</v>
      </c>
      <c r="B5" s="21" t="inlineStr">
        <is>
          <t>DIANÓPOLIS</t>
        </is>
      </c>
      <c r="C5" s="22" t="n">
        <v>246</v>
      </c>
      <c r="D5" s="18" t="inlineStr">
        <is>
          <t>TO-040</t>
        </is>
      </c>
      <c r="E5" s="21" t="inlineStr">
        <is>
          <t>RODOVIA TO-040 - TRECHO ALMAS - PORTO ALEGRE DO TOCANTINS</t>
        </is>
      </c>
      <c r="F5" s="18" t="inlineStr">
        <is>
          <t>040ETO0162</t>
        </is>
      </c>
      <c r="G5" s="21" t="inlineStr">
        <is>
          <t>INÍCIO PU PORTO ALEGRE DO TOCANTINS - RIO MANUEL ALVES(FIM PU PORTO ALEGRE DO TOCANTINS)</t>
        </is>
      </c>
      <c r="H5" s="18" t="inlineStr">
        <is>
          <t>PSU</t>
        </is>
      </c>
      <c r="I5" s="18" t="inlineStr">
        <is>
          <t>-47.0554309998, -11.6109339998</t>
        </is>
      </c>
      <c r="J5" s="18" t="inlineStr">
        <is>
          <t>-47.0446269998, -11.612616</t>
        </is>
      </c>
      <c r="K5" s="19" t="n">
        <v>1.193373257</v>
      </c>
    </row>
    <row r="6" ht="30" customHeight="1">
      <c r="A6" s="20" t="n">
        <v>13</v>
      </c>
      <c r="B6" s="21" t="inlineStr">
        <is>
          <t>DIANÓPOLIS</t>
        </is>
      </c>
      <c r="C6" s="22" t="n">
        <v>247</v>
      </c>
      <c r="D6" s="18" t="inlineStr">
        <is>
          <t>TO-040</t>
        </is>
      </c>
      <c r="E6" s="21" t="inlineStr">
        <is>
          <t>RODOVIA TO-040 - TRECHO DIANÓPOLIS - NOVO JARDIM</t>
        </is>
      </c>
      <c r="F6" s="18" t="inlineStr">
        <is>
          <t>040ETO0187</t>
        </is>
      </c>
      <c r="G6" s="21" t="inlineStr">
        <is>
          <t>ENTR. TO-476(PU DIANÓPOLIS) - PU DIANÓPOLIS</t>
        </is>
      </c>
      <c r="H6" s="18" t="inlineStr">
        <is>
          <t>PPS</t>
        </is>
      </c>
      <c r="I6" s="18" t="inlineStr">
        <is>
          <t>-46.8320609999, -11.6135089998</t>
        </is>
      </c>
      <c r="J6" s="18" t="inlineStr">
        <is>
          <t>-46.8241100002, -11.6132460003</t>
        </is>
      </c>
      <c r="K6" s="19" t="n">
        <v>0.899412532</v>
      </c>
    </row>
    <row r="7" ht="30" customHeight="1">
      <c r="A7" s="20" t="n">
        <v>13</v>
      </c>
      <c r="B7" s="21" t="inlineStr">
        <is>
          <t>DIANÓPOLIS</t>
        </is>
      </c>
      <c r="C7" s="22" t="n">
        <v>247</v>
      </c>
      <c r="D7" s="18" t="inlineStr">
        <is>
          <t>TO-040</t>
        </is>
      </c>
      <c r="E7" s="21" t="inlineStr">
        <is>
          <t>RODOVIA TO-040 - TRECHO DIANÓPOLIS - NOVO JARDIM</t>
        </is>
      </c>
      <c r="F7" s="18" t="inlineStr">
        <is>
          <t>040ETO0190</t>
        </is>
      </c>
      <c r="G7" s="21" t="inlineStr">
        <is>
          <t>PU DIANÓPOLIS - ENTR. TO-110(A)/TO-387(A)</t>
        </is>
      </c>
      <c r="H7" s="18" t="inlineStr">
        <is>
          <t>PPS</t>
        </is>
      </c>
      <c r="I7" s="18" t="inlineStr">
        <is>
          <t>-46.8241100002, -11.6132460003</t>
        </is>
      </c>
      <c r="J7" s="18" t="inlineStr">
        <is>
          <t>-46.7781900005, -11.6278609998</t>
        </is>
      </c>
      <c r="K7" s="19" t="n">
        <v>5.382220751</v>
      </c>
    </row>
    <row r="8" ht="30" customHeight="1">
      <c r="A8" s="20" t="n">
        <v>13</v>
      </c>
      <c r="B8" s="21" t="inlineStr">
        <is>
          <t>DIANÓPOLIS</t>
        </is>
      </c>
      <c r="C8" s="22" t="n">
        <v>247</v>
      </c>
      <c r="D8" s="18" t="inlineStr">
        <is>
          <t>TO-040</t>
        </is>
      </c>
      <c r="E8" s="21" t="inlineStr">
        <is>
          <t>RODOVIA TO-040 - TRECHO DIANÓPOLIS - NOVO JARDIM</t>
        </is>
      </c>
      <c r="F8" s="18" t="inlineStr">
        <is>
          <t>040ETO0200</t>
        </is>
      </c>
      <c r="G8" s="21" t="inlineStr">
        <is>
          <t>ENTR. TO-110(A)/TO-387(A) - INÍCIO PU POV. AMARALINA</t>
        </is>
      </c>
      <c r="H8" s="18" t="inlineStr">
        <is>
          <t>PPS</t>
        </is>
      </c>
      <c r="I8" s="18" t="inlineStr">
        <is>
          <t>-46.7781900005, -11.6278609998</t>
        </is>
      </c>
      <c r="J8" s="18" t="inlineStr">
        <is>
          <t>-46.7417990004, -11.7105590003</t>
        </is>
      </c>
      <c r="K8" s="19" t="n">
        <v>10.72463289</v>
      </c>
    </row>
    <row r="9" ht="30" customHeight="1">
      <c r="A9" s="20" t="n">
        <v>13</v>
      </c>
      <c r="B9" s="21" t="inlineStr">
        <is>
          <t>DIANÓPOLIS</t>
        </is>
      </c>
      <c r="C9" s="22" t="n">
        <v>247</v>
      </c>
      <c r="D9" s="18" t="inlineStr">
        <is>
          <t>TO-040</t>
        </is>
      </c>
      <c r="E9" s="21" t="inlineStr">
        <is>
          <t>RODOVIA TO-040 - TRECHO DIANÓPOLIS - NOVO JARDIM</t>
        </is>
      </c>
      <c r="F9" s="18" t="inlineStr">
        <is>
          <t>040ETO0202</t>
        </is>
      </c>
      <c r="G9" s="21" t="inlineStr">
        <is>
          <t>INÍCIO PU POV. AMARALINA - FIM PU POV. AMARALINA</t>
        </is>
      </c>
      <c r="H9" s="18" t="inlineStr">
        <is>
          <t>PSU</t>
        </is>
      </c>
      <c r="I9" s="18" t="inlineStr">
        <is>
          <t>-46.7417990004, -11.7105590003</t>
        </is>
      </c>
      <c r="J9" s="18" t="inlineStr">
        <is>
          <t>-46.7410740003, -11.7201459999</t>
        </is>
      </c>
      <c r="K9" s="19" t="n">
        <v>1.066342958</v>
      </c>
    </row>
    <row r="10" ht="30" customHeight="1">
      <c r="A10" s="20" t="n">
        <v>13</v>
      </c>
      <c r="B10" s="21" t="inlineStr">
        <is>
          <t>DIANÓPOLIS</t>
        </is>
      </c>
      <c r="C10" s="22" t="n">
        <v>247</v>
      </c>
      <c r="D10" s="18" t="inlineStr">
        <is>
          <t>TO-040</t>
        </is>
      </c>
      <c r="E10" s="21" t="inlineStr">
        <is>
          <t>RODOVIA TO-040 - TRECHO DIANÓPOLIS - NOVO JARDIM</t>
        </is>
      </c>
      <c r="F10" s="18" t="inlineStr">
        <is>
          <t>040ETO0210</t>
        </is>
      </c>
      <c r="G10" s="21" t="inlineStr">
        <is>
          <t>FIM PU POV. AMARALINA - INÍCIO PU NOVO JARDIM</t>
        </is>
      </c>
      <c r="H10" s="18" t="inlineStr">
        <is>
          <t>PPS</t>
        </is>
      </c>
      <c r="I10" s="18" t="inlineStr">
        <is>
          <t>-46.7410740003, -11.7201459999</t>
        </is>
      </c>
      <c r="J10" s="18" t="inlineStr">
        <is>
          <t>-46.6261330003, -11.8176339999</t>
        </is>
      </c>
      <c r="K10" s="19" t="n">
        <v>17.74312009</v>
      </c>
    </row>
    <row r="11" ht="30" customHeight="1">
      <c r="A11" s="20" t="n">
        <v>13</v>
      </c>
      <c r="B11" s="21" t="inlineStr">
        <is>
          <t>DIANÓPOLIS</t>
        </is>
      </c>
      <c r="C11" s="22" t="n">
        <v>247</v>
      </c>
      <c r="D11" s="18" t="inlineStr">
        <is>
          <t>TO-040</t>
        </is>
      </c>
      <c r="E11" s="21" t="inlineStr">
        <is>
          <t>RODOVIA TO-040 - TRECHO DIANÓPOLIS - NOVO JARDIM</t>
        </is>
      </c>
      <c r="F11" s="18" t="inlineStr">
        <is>
          <t>040ETO0212</t>
        </is>
      </c>
      <c r="G11" s="21" t="inlineStr">
        <is>
          <t>INÍCIO PU NOVO JARDIM - FIM PU NOVO JARDIM</t>
        </is>
      </c>
      <c r="H11" s="18" t="inlineStr">
        <is>
          <t>PPS</t>
        </is>
      </c>
      <c r="I11" s="18" t="inlineStr">
        <is>
          <t>-46.6261330003, -11.8176339999</t>
        </is>
      </c>
      <c r="J11" s="18" t="inlineStr">
        <is>
          <t>-46.6210025886, -11.8210382258</t>
        </is>
      </c>
      <c r="K11" s="19" t="n">
        <v>0.695279493</v>
      </c>
    </row>
    <row r="12" ht="30" customHeight="1">
      <c r="A12" s="20" t="n">
        <v>13</v>
      </c>
      <c r="B12" s="21" t="inlineStr">
        <is>
          <t>DIANÓPOLIS</t>
        </is>
      </c>
      <c r="C12" s="22" t="n">
        <v>248</v>
      </c>
      <c r="D12" s="18" t="inlineStr">
        <is>
          <t>TO-040</t>
        </is>
      </c>
      <c r="E12" s="21" t="inlineStr">
        <is>
          <t>RODOVIA TO-040 - TRECHO NOVO JARDIM - DIVISA TO-BA</t>
        </is>
      </c>
      <c r="F12" s="18" t="inlineStr">
        <is>
          <t>040ETO0220</t>
        </is>
      </c>
      <c r="G12" s="21" t="inlineStr">
        <is>
          <t>FIM PU NOVO JARDIM - ENTR. TO-110(B)</t>
        </is>
      </c>
      <c r="H12" s="18" t="inlineStr">
        <is>
          <t>PPS</t>
        </is>
      </c>
      <c r="I12" s="18" t="inlineStr">
        <is>
          <t>-46.6210025886, -11.8210382258</t>
        </is>
      </c>
      <c r="J12" s="18" t="inlineStr">
        <is>
          <t>-46.5809680004, -11.8324660004</t>
        </is>
      </c>
      <c r="K12" s="19" t="n">
        <v>5.258321346</v>
      </c>
    </row>
    <row r="13" ht="30" customHeight="1">
      <c r="A13" s="20" t="n">
        <v>13</v>
      </c>
      <c r="B13" s="21" t="inlineStr">
        <is>
          <t>DIANÓPOLIS</t>
        </is>
      </c>
      <c r="C13" s="22" t="n">
        <v>248</v>
      </c>
      <c r="D13" s="18" t="inlineStr">
        <is>
          <t>TO-040</t>
        </is>
      </c>
      <c r="E13" s="21" t="inlineStr">
        <is>
          <t>RODOVIA TO-040 - TRECHO NOVO JARDIM - DIVISA TO-BA</t>
        </is>
      </c>
      <c r="F13" s="18" t="inlineStr">
        <is>
          <t>040ETO0230</t>
        </is>
      </c>
      <c r="G13" s="21" t="inlineStr">
        <is>
          <t>ENTR. TO-110(B) - DIV. TO/BA</t>
        </is>
      </c>
      <c r="H13" s="18" t="inlineStr">
        <is>
          <t>PPS</t>
        </is>
      </c>
      <c r="I13" s="18" t="inlineStr">
        <is>
          <t>-46.2977762913, -11.8337762425</t>
        </is>
      </c>
      <c r="J13" s="18" t="inlineStr">
        <is>
          <t>-46.5809680004, -11.8324660004</t>
        </is>
      </c>
      <c r="K13" s="19" t="n">
        <v>36.97812754</v>
      </c>
    </row>
    <row r="14" ht="30" customHeight="1">
      <c r="A14" s="20" t="n">
        <v>13</v>
      </c>
      <c r="B14" s="21" t="inlineStr">
        <is>
          <t>DIANÓPOLIS</t>
        </is>
      </c>
      <c r="C14" s="22" t="n">
        <v>249</v>
      </c>
      <c r="D14" s="18" t="inlineStr">
        <is>
          <t>TO-040</t>
        </is>
      </c>
      <c r="E14" s="21" t="inlineStr">
        <is>
          <t>RODOVIA TO-040 - TRECHO PORTO ALEGRE DO TOCANTINS - DIANÓPOLIS</t>
        </is>
      </c>
      <c r="F14" s="18" t="inlineStr">
        <is>
          <t>040ETO0165</t>
        </is>
      </c>
      <c r="G14" s="21" t="inlineStr">
        <is>
          <t>RIO MANUEL ALVES(FIM PU PORTO ALEGRE DO TOCANTINS) - ACESSO PROJETO MANOEL ALVES</t>
        </is>
      </c>
      <c r="H14" s="18" t="inlineStr">
        <is>
          <t>PPS</t>
        </is>
      </c>
      <c r="I14" s="18" t="inlineStr">
        <is>
          <t>-47.0446269998, -11.612616</t>
        </is>
      </c>
      <c r="J14" s="18" t="inlineStr">
        <is>
          <t>-47.0126910002, -11.6179860004</t>
        </is>
      </c>
      <c r="K14" s="19" t="n">
        <v>3.571843903</v>
      </c>
    </row>
    <row r="15" ht="30" customHeight="1">
      <c r="A15" s="20" t="n">
        <v>13</v>
      </c>
      <c r="B15" s="21" t="inlineStr">
        <is>
          <t>DIANÓPOLIS</t>
        </is>
      </c>
      <c r="C15" s="22" t="n">
        <v>249</v>
      </c>
      <c r="D15" s="18" t="inlineStr">
        <is>
          <t>TO-040</t>
        </is>
      </c>
      <c r="E15" s="21" t="inlineStr">
        <is>
          <t>RODOVIA TO-040 - TRECHO PORTO ALEGRE DO TOCANTINS - DIANÓPOLIS</t>
        </is>
      </c>
      <c r="F15" s="18" t="inlineStr">
        <is>
          <t>040ETO0170</t>
        </is>
      </c>
      <c r="G15" s="21" t="inlineStr">
        <is>
          <t>ACESSO PROJETO MANOEL ALVES - ENTR. TO-387(B)</t>
        </is>
      </c>
      <c r="H15" s="18" t="inlineStr">
        <is>
          <t>PPS</t>
        </is>
      </c>
      <c r="I15" s="18" t="inlineStr">
        <is>
          <t>-47.0126910002, -11.6179860004</t>
        </is>
      </c>
      <c r="J15" s="18" t="inlineStr">
        <is>
          <t>-46.9250920003, -11.6292060007</t>
        </is>
      </c>
      <c r="K15" s="19" t="n">
        <v>10.76761263</v>
      </c>
    </row>
    <row r="16" ht="30" customHeight="1">
      <c r="A16" s="20" t="n">
        <v>13</v>
      </c>
      <c r="B16" s="21" t="inlineStr">
        <is>
          <t>DIANÓPOLIS</t>
        </is>
      </c>
      <c r="C16" s="22" t="n">
        <v>249</v>
      </c>
      <c r="D16" s="18" t="inlineStr">
        <is>
          <t>TO-040</t>
        </is>
      </c>
      <c r="E16" s="21" t="inlineStr">
        <is>
          <t>RODOVIA TO-040 - TRECHO PORTO ALEGRE DO TOCANTINS - DIANÓPOLIS</t>
        </is>
      </c>
      <c r="F16" s="18" t="inlineStr">
        <is>
          <t>040ETO0180</t>
        </is>
      </c>
      <c r="G16" s="21" t="inlineStr">
        <is>
          <t>ENTR. TO-387(B) - INÍCIO PU DIANÓPOLIS</t>
        </is>
      </c>
      <c r="H16" s="18" t="inlineStr">
        <is>
          <t>PPS</t>
        </is>
      </c>
      <c r="I16" s="18" t="inlineStr">
        <is>
          <t>-46.9250920003, -11.6292060007</t>
        </is>
      </c>
      <c r="J16" s="18" t="inlineStr">
        <is>
          <t>-46.8336280002, -11.6132949999</t>
        </is>
      </c>
      <c r="K16" s="19" t="n">
        <v>11.01059446</v>
      </c>
    </row>
    <row r="17" ht="30" customHeight="1">
      <c r="A17" s="20" t="n">
        <v>13</v>
      </c>
      <c r="B17" s="21" t="inlineStr">
        <is>
          <t>DIANÓPOLIS</t>
        </is>
      </c>
      <c r="C17" s="22" t="n">
        <v>249</v>
      </c>
      <c r="D17" s="18" t="inlineStr">
        <is>
          <t>TO-040</t>
        </is>
      </c>
      <c r="E17" s="21" t="inlineStr">
        <is>
          <t>RODOVIA TO-040 - TRECHO PORTO ALEGRE DO TOCANTINS - DIANÓPOLIS</t>
        </is>
      </c>
      <c r="F17" s="18" t="inlineStr">
        <is>
          <t>040ETO0182</t>
        </is>
      </c>
      <c r="G17" s="21" t="inlineStr">
        <is>
          <t>INÍCIO PU DIANÓPOLIS - ENTR. TO-476(PU DIANÓPOLIS)</t>
        </is>
      </c>
      <c r="H17" s="18" t="inlineStr">
        <is>
          <t>PSU</t>
        </is>
      </c>
      <c r="I17" s="18" t="inlineStr">
        <is>
          <t>-46.8336280002, -11.6132949999</t>
        </is>
      </c>
      <c r="J17" s="18" t="inlineStr">
        <is>
          <t>-46.8320609999, -11.6135089998</t>
        </is>
      </c>
      <c r="K17" s="19" t="n">
        <v>0.172548406</v>
      </c>
    </row>
    <row r="18" ht="15" customHeight="1">
      <c r="A18" s="20" t="n">
        <v>13</v>
      </c>
      <c r="B18" s="21" t="inlineStr">
        <is>
          <t>DIANÓPOLIS</t>
        </is>
      </c>
      <c r="C18" s="22" t="n">
        <v>249</v>
      </c>
      <c r="D18" s="18" t="inlineStr">
        <is>
          <t>ACESSO</t>
        </is>
      </c>
      <c r="E18" s="21" t="inlineStr">
        <is>
          <t>ACESSO</t>
        </is>
      </c>
      <c r="F18" s="18" t="inlineStr">
        <is>
          <t>ACESSO01</t>
        </is>
      </c>
      <c r="G18" s="21" t="inlineStr">
        <is>
          <t>ENTR. TO-040 - PROJETO MANOEL ALVES</t>
        </is>
      </c>
      <c r="H18" s="18" t="inlineStr">
        <is>
          <t>PPS</t>
        </is>
      </c>
      <c r="I18" s="18" t="inlineStr">
        <is>
          <t>-46.987098074, -11.5525479564</t>
        </is>
      </c>
      <c r="J18" s="18" t="inlineStr">
        <is>
          <t>-47.0127860834, -11.6179656285</t>
        </is>
      </c>
      <c r="K18" s="19" t="n">
        <v>8.656973975</v>
      </c>
    </row>
    <row r="19" ht="15" customHeight="1">
      <c r="A19" s="20" t="n">
        <v>13</v>
      </c>
      <c r="B19" s="21" t="inlineStr">
        <is>
          <t>DIANÓPOLIS</t>
        </is>
      </c>
      <c r="C19" s="22" t="n">
        <v>250</v>
      </c>
      <c r="D19" s="18" t="inlineStr">
        <is>
          <t>TO-050</t>
        </is>
      </c>
      <c r="E19" s="21" t="inlineStr">
        <is>
          <t>RODOVIA TO-050 - TRECHO ARRAIAS - DIVISA TO-GO</t>
        </is>
      </c>
      <c r="F19" s="18" t="inlineStr">
        <is>
          <t>050ETO0270</t>
        </is>
      </c>
      <c r="G19" s="21" t="inlineStr">
        <is>
          <t>FIM PU ARRAIAS(ACESSO SUL) - ENTR. TO-499</t>
        </is>
      </c>
      <c r="H19" s="18" t="inlineStr">
        <is>
          <t>PPS</t>
        </is>
      </c>
      <c r="I19" s="18" t="inlineStr">
        <is>
          <t>-46.9023530003, -12.9722459999</t>
        </is>
      </c>
      <c r="J19" s="18" t="inlineStr">
        <is>
          <t>-46.9329219999, -12.9419799999</t>
        </is>
      </c>
      <c r="K19" s="19" t="n">
        <v>5.004459669</v>
      </c>
    </row>
    <row r="20" ht="15" customHeight="1">
      <c r="A20" s="20" t="n">
        <v>13</v>
      </c>
      <c r="B20" s="21" t="inlineStr">
        <is>
          <t>DIANÓPOLIS</t>
        </is>
      </c>
      <c r="C20" s="22" t="n">
        <v>250</v>
      </c>
      <c r="D20" s="18" t="inlineStr">
        <is>
          <t>TO-050</t>
        </is>
      </c>
      <c r="E20" s="21" t="inlineStr">
        <is>
          <t>RODOVIA TO-050 - TRECHO ARRAIAS - DIVISA TO-GO</t>
        </is>
      </c>
      <c r="F20" s="18" t="inlineStr">
        <is>
          <t>050ETO0280</t>
        </is>
      </c>
      <c r="G20" s="21" t="inlineStr">
        <is>
          <t>ENTR. TO-499 - ENTR. TO-296(B)</t>
        </is>
      </c>
      <c r="H20" s="18" t="inlineStr">
        <is>
          <t>PPS</t>
        </is>
      </c>
      <c r="I20" s="18" t="inlineStr">
        <is>
          <t>-46.8858639998, -12.9747720003</t>
        </is>
      </c>
      <c r="J20" s="18" t="inlineStr">
        <is>
          <t>-46.9023530003, -12.9722459999</t>
        </is>
      </c>
      <c r="K20" s="19" t="n">
        <v>1.85326737</v>
      </c>
    </row>
    <row r="21" ht="15" customHeight="1">
      <c r="A21" s="20" t="n">
        <v>13</v>
      </c>
      <c r="B21" s="21" t="inlineStr">
        <is>
          <t>DIANÓPOLIS</t>
        </is>
      </c>
      <c r="C21" s="22" t="n">
        <v>250</v>
      </c>
      <c r="D21" s="18" t="inlineStr">
        <is>
          <t>TO-050</t>
        </is>
      </c>
      <c r="E21" s="21" t="inlineStr">
        <is>
          <t>RODOVIA TO-050 - TRECHO ARRAIAS - DIVISA TO-GO</t>
        </is>
      </c>
      <c r="F21" s="18" t="inlineStr">
        <is>
          <t>050ETO0290</t>
        </is>
      </c>
      <c r="G21" s="21" t="inlineStr">
        <is>
          <t>ENTR. TO-296(B) - DIV. TO/GO</t>
        </is>
      </c>
      <c r="H21" s="18" t="inlineStr">
        <is>
          <t>PPS</t>
        </is>
      </c>
      <c r="I21" s="18" t="inlineStr">
        <is>
          <t>-46.8289920005, -13.0179260002</t>
        </is>
      </c>
      <c r="J21" s="18" t="inlineStr">
        <is>
          <t>-46.8858639998, -12.9747720003</t>
        </is>
      </c>
      <c r="K21" s="19" t="n">
        <v>8.530657629</v>
      </c>
    </row>
    <row r="22" ht="30" customHeight="1">
      <c r="A22" s="20" t="n">
        <v>13</v>
      </c>
      <c r="B22" s="21" t="inlineStr">
        <is>
          <t>DIANÓPOLIS</t>
        </is>
      </c>
      <c r="C22" s="22" t="n">
        <v>251</v>
      </c>
      <c r="D22" s="18" t="inlineStr">
        <is>
          <t>TO-050</t>
        </is>
      </c>
      <c r="E22" s="21" t="inlineStr">
        <is>
          <t>RODOVIA TO-050 - TRECHO CONCEIÇÃO DO TOCANTINS - ARRAIAS</t>
        </is>
      </c>
      <c r="F22" s="18" t="inlineStr">
        <is>
          <t>050ETO0227</t>
        </is>
      </c>
      <c r="G22" s="21" t="inlineStr">
        <is>
          <t>ENTR. TO-387(B)(PU CONCEIÇÃO DO TOCANTINS) - FIM PU CONCEIÇÃO DO TOCANTINS</t>
        </is>
      </c>
      <c r="H22" s="18" t="inlineStr">
        <is>
          <t>PSU</t>
        </is>
      </c>
      <c r="I22" s="18" t="inlineStr">
        <is>
          <t>-47.2961760006, -12.2295530002</t>
        </is>
      </c>
      <c r="J22" s="18" t="inlineStr">
        <is>
          <t>-47.2986520006, -12.2246780002</t>
        </is>
      </c>
      <c r="K22" s="19" t="n">
        <v>0.603110306</v>
      </c>
    </row>
    <row r="23" ht="30" customHeight="1">
      <c r="A23" s="20" t="n">
        <v>13</v>
      </c>
      <c r="B23" s="21" t="inlineStr">
        <is>
          <t>DIANÓPOLIS</t>
        </is>
      </c>
      <c r="C23" s="22" t="n">
        <v>251</v>
      </c>
      <c r="D23" s="18" t="inlineStr">
        <is>
          <t>TO-050</t>
        </is>
      </c>
      <c r="E23" s="21" t="inlineStr">
        <is>
          <t>RODOVIA TO-050 - TRECHO CONCEIÇÃO DO TOCANTINS - ARRAIAS</t>
        </is>
      </c>
      <c r="F23" s="18" t="inlineStr">
        <is>
          <t>050ETO0230</t>
        </is>
      </c>
      <c r="G23" s="21" t="inlineStr">
        <is>
          <t>FIM PU CONCEIÇÃO DO TOCANTINS - ENTR. BR-242</t>
        </is>
      </c>
      <c r="H23" s="18" t="inlineStr">
        <is>
          <t>PPS</t>
        </is>
      </c>
      <c r="I23" s="18" t="inlineStr">
        <is>
          <t>-47.2037619999, -12.4997209998</t>
        </is>
      </c>
      <c r="J23" s="18" t="inlineStr">
        <is>
          <t>-47.2961760006, -12.2295530002</t>
        </is>
      </c>
      <c r="K23" s="19" t="n">
        <v>33.30487262</v>
      </c>
    </row>
    <row r="24" ht="30" customHeight="1">
      <c r="A24" s="20" t="n">
        <v>13</v>
      </c>
      <c r="B24" s="21" t="inlineStr">
        <is>
          <t>DIANÓPOLIS</t>
        </is>
      </c>
      <c r="C24" s="22" t="n">
        <v>251</v>
      </c>
      <c r="D24" s="18" t="inlineStr">
        <is>
          <t>TO-050</t>
        </is>
      </c>
      <c r="E24" s="21" t="inlineStr">
        <is>
          <t>RODOVIA TO-050 - TRECHO CONCEIÇÃO DO TOCANTINS - ARRAIAS</t>
        </is>
      </c>
      <c r="F24" s="18" t="inlineStr">
        <is>
          <t>050ETO0240</t>
        </is>
      </c>
      <c r="G24" s="21" t="inlineStr">
        <is>
          <t>ENTR. BR-242 - ENTR. TO-296(A)</t>
        </is>
      </c>
      <c r="H24" s="18" t="inlineStr">
        <is>
          <t>PPS</t>
        </is>
      </c>
      <c r="I24" s="18" t="inlineStr">
        <is>
          <t>-47.2037160005, -12.4998140005</t>
        </is>
      </c>
      <c r="J24" s="18" t="inlineStr">
        <is>
          <t>-47.2035079999, -12.500232</t>
        </is>
      </c>
      <c r="K24" s="19" t="n">
        <v>47.87514296</v>
      </c>
    </row>
    <row r="25" ht="30" customHeight="1">
      <c r="A25" s="20" t="n">
        <v>13</v>
      </c>
      <c r="B25" s="21" t="inlineStr">
        <is>
          <t>DIANÓPOLIS</t>
        </is>
      </c>
      <c r="C25" s="22" t="n">
        <v>251</v>
      </c>
      <c r="D25" s="18" t="inlineStr">
        <is>
          <t>TO-050</t>
        </is>
      </c>
      <c r="E25" s="21" t="inlineStr">
        <is>
          <t>RODOVIA TO-050 - TRECHO CONCEIÇÃO DO TOCANTINS - ARRAIAS</t>
        </is>
      </c>
      <c r="F25" s="18" t="inlineStr">
        <is>
          <t>050ETO0250</t>
        </is>
      </c>
      <c r="G25" s="21" t="inlineStr">
        <is>
          <t>ENTR. TO-296(A) - INÍCIO PU ARRAIAS(ACESSO NORTE)</t>
        </is>
      </c>
      <c r="H25" s="18" t="inlineStr">
        <is>
          <t>PPS</t>
        </is>
      </c>
      <c r="I25" s="18" t="inlineStr">
        <is>
          <t>-46.9533780007, -12.9178159998</t>
        </is>
      </c>
      <c r="J25" s="18" t="inlineStr">
        <is>
          <t>-47.0882650004, -12.8438040006</t>
        </is>
      </c>
      <c r="K25" s="19" t="n">
        <v>18.92641469</v>
      </c>
    </row>
    <row r="26" ht="30" customHeight="1">
      <c r="A26" s="20" t="n">
        <v>13</v>
      </c>
      <c r="B26" s="21" t="inlineStr">
        <is>
          <t>DIANÓPOLIS</t>
        </is>
      </c>
      <c r="C26" s="22" t="n">
        <v>251</v>
      </c>
      <c r="D26" s="18" t="inlineStr">
        <is>
          <t>TO-050</t>
        </is>
      </c>
      <c r="E26" s="21" t="inlineStr">
        <is>
          <t>RODOVIA TO-050 - TRECHO CONCEIÇÃO DO TOCANTINS - ARRAIAS</t>
        </is>
      </c>
      <c r="F26" s="18" t="inlineStr">
        <is>
          <t>050ETO0260</t>
        </is>
      </c>
      <c r="G26" s="21" t="inlineStr">
        <is>
          <t>INÍCIO PU ARRAIAS(ACESSO NORTE) - FIM PU ARRAIAS(ACESSO SUL)</t>
        </is>
      </c>
      <c r="H26" s="18" t="inlineStr">
        <is>
          <t>PSU</t>
        </is>
      </c>
      <c r="I26" s="18" t="inlineStr">
        <is>
          <t>-46.9329219999, -12.9419799999</t>
        </is>
      </c>
      <c r="J26" s="18" t="inlineStr">
        <is>
          <t>-46.9533780007, -12.9178159998</t>
        </is>
      </c>
      <c r="K26" s="19" t="n">
        <v>3.642206296</v>
      </c>
    </row>
    <row r="27" ht="30" customHeight="1">
      <c r="A27" s="20" t="n">
        <v>13</v>
      </c>
      <c r="B27" s="21" t="inlineStr">
        <is>
          <t>DIANÓPOLIS</t>
        </is>
      </c>
      <c r="C27" s="22" t="n">
        <v>252</v>
      </c>
      <c r="D27" s="18" t="inlineStr">
        <is>
          <t>TO-050</t>
        </is>
      </c>
      <c r="E27" s="21" t="inlineStr">
        <is>
          <t>RODOVIA TO-050 - TRECHO ENTR. BR-010 (POVOADO PRÍNCIPE) - CONCEIÇÃO DO TOCANTINS</t>
        </is>
      </c>
      <c r="F27" s="18" t="inlineStr">
        <is>
          <t>050ETO0210</t>
        </is>
      </c>
      <c r="G27" s="21" t="inlineStr">
        <is>
          <t>ENTR. BR-010(POV. PRÍNCIPE) - ENTR. TO-387(A)</t>
        </is>
      </c>
      <c r="H27" s="18" t="inlineStr">
        <is>
          <t>PPS</t>
        </is>
      </c>
      <c r="I27" s="18" t="inlineStr">
        <is>
          <t>-47.3483059998, -12.230213</t>
        </is>
      </c>
      <c r="J27" s="18" t="inlineStr">
        <is>
          <t>-47.6098743154, -11.9421837415</t>
        </is>
      </c>
      <c r="K27" s="19" t="n">
        <v>45.74941107</v>
      </c>
    </row>
    <row r="28" ht="30" customHeight="1">
      <c r="A28" s="20" t="n">
        <v>13</v>
      </c>
      <c r="B28" s="21" t="inlineStr">
        <is>
          <t>DIANÓPOLIS</t>
        </is>
      </c>
      <c r="C28" s="22" t="n">
        <v>252</v>
      </c>
      <c r="D28" s="18" t="inlineStr">
        <is>
          <t>TO-050</t>
        </is>
      </c>
      <c r="E28" s="21" t="inlineStr">
        <is>
          <t>RODOVIA TO-050 - TRECHO ENTR. BR-010 (POVOADO PRÍNCIPE) - CONCEIÇÃO DO TOCANTINS</t>
        </is>
      </c>
      <c r="F28" s="18" t="inlineStr">
        <is>
          <t>050ETO0220</t>
        </is>
      </c>
      <c r="G28" s="21" t="inlineStr">
        <is>
          <t>ENTR. TO-387(A) - INÍCIO PU CONCEIÇÃO DO TOCANTINS</t>
        </is>
      </c>
      <c r="H28" s="18" t="inlineStr">
        <is>
          <t>PPS</t>
        </is>
      </c>
      <c r="I28" s="18" t="inlineStr">
        <is>
          <t>-47.3010739999, -12.2252260003</t>
        </is>
      </c>
      <c r="J28" s="18" t="inlineStr">
        <is>
          <t>-47.3483059998, -12.230213</t>
        </is>
      </c>
      <c r="K28" s="19" t="n">
        <v>5.240903836</v>
      </c>
    </row>
    <row r="29" ht="30" customHeight="1">
      <c r="A29" s="20" t="n">
        <v>13</v>
      </c>
      <c r="B29" s="21" t="inlineStr">
        <is>
          <t>DIANÓPOLIS</t>
        </is>
      </c>
      <c r="C29" s="22" t="n">
        <v>252</v>
      </c>
      <c r="D29" s="18" t="inlineStr">
        <is>
          <t>TO-050</t>
        </is>
      </c>
      <c r="E29" s="21" t="inlineStr">
        <is>
          <t>RODOVIA TO-050 - TRECHO ENTR. BR-010 (POVOADO PRÍNCIPE) - CONCEIÇÃO DO TOCANTINS</t>
        </is>
      </c>
      <c r="F29" s="18" t="inlineStr">
        <is>
          <t>050ETO0222</t>
        </is>
      </c>
      <c r="G29" s="21" t="inlineStr">
        <is>
          <t>INÍCIO PU CONCEIÇÃO DO TOCANTINS - ENTR. TO-387(B)(PU CONCEIÇÃO DO TOCANTINS)</t>
        </is>
      </c>
      <c r="H29" s="18" t="inlineStr">
        <is>
          <t>PSU</t>
        </is>
      </c>
      <c r="I29" s="18" t="inlineStr">
        <is>
          <t>-47.2986520006, -12.2246780002</t>
        </is>
      </c>
      <c r="J29" s="18" t="inlineStr">
        <is>
          <t>-47.3010739999, -12.2252260003</t>
        </is>
      </c>
      <c r="K29" s="19" t="n">
        <v>0.270536615</v>
      </c>
    </row>
    <row r="30" ht="30" customHeight="1">
      <c r="A30" s="20" t="n">
        <v>13</v>
      </c>
      <c r="B30" s="21" t="inlineStr">
        <is>
          <t>DIANÓPOLIS</t>
        </is>
      </c>
      <c r="C30" s="22" t="n">
        <v>253</v>
      </c>
      <c r="D30" s="18" t="inlineStr">
        <is>
          <t>TO-110</t>
        </is>
      </c>
      <c r="E30" s="21" t="inlineStr">
        <is>
          <t>RODOVIA TO-110 - TRECHO AURORA DO TOCANTINS - LAVANDEIRA</t>
        </is>
      </c>
      <c r="F30" s="18" t="inlineStr">
        <is>
          <t>110ETO0330</t>
        </is>
      </c>
      <c r="G30" s="21" t="inlineStr">
        <is>
          <t>FIM PU AURORA DO TOCANTINS - PU LAVANDEIRA</t>
        </is>
      </c>
      <c r="H30" s="18" t="inlineStr">
        <is>
          <t>PPS</t>
        </is>
      </c>
      <c r="I30" s="18" t="inlineStr">
        <is>
          <t>-46.414397, -12.7135060002</t>
        </is>
      </c>
      <c r="J30" s="18" t="inlineStr">
        <is>
          <t>-46.5102570005, -12.786731</t>
        </is>
      </c>
      <c r="K30" s="19" t="n">
        <v>15.51910554</v>
      </c>
    </row>
    <row r="31" ht="30" customHeight="1">
      <c r="A31" s="20" t="n">
        <v>13</v>
      </c>
      <c r="B31" s="21" t="inlineStr">
        <is>
          <t>DIANÓPOLIS</t>
        </is>
      </c>
      <c r="C31" s="22" t="n">
        <v>254</v>
      </c>
      <c r="D31" s="18" t="inlineStr">
        <is>
          <t>TO-110</t>
        </is>
      </c>
      <c r="E31" s="21" t="inlineStr">
        <is>
          <t>RODOVIA TO-110 - TRECHO COMBINADO - NOVO ALEGRE - DIVISA TO-GO</t>
        </is>
      </c>
      <c r="F31" s="18" t="inlineStr">
        <is>
          <t>110ETO0341</t>
        </is>
      </c>
      <c r="G31" s="21" t="inlineStr">
        <is>
          <t>INÍCIO PU COMBINADO - INÍCIO DUPLICAÇÃO(PU COMBINADO)</t>
        </is>
      </c>
      <c r="H31" s="18" t="inlineStr">
        <is>
          <t>PSU</t>
        </is>
      </c>
      <c r="I31" s="18" t="inlineStr">
        <is>
          <t>-46.5458250403, -12.8107486068</t>
        </is>
      </c>
      <c r="J31" s="18" t="inlineStr">
        <is>
          <t>-46.5441300004, -12.8048590005</t>
        </is>
      </c>
      <c r="K31" s="19" t="n">
        <v>0.677014735</v>
      </c>
    </row>
    <row r="32" ht="30" customHeight="1">
      <c r="A32" s="20" t="n">
        <v>13</v>
      </c>
      <c r="B32" s="21" t="inlineStr">
        <is>
          <t>DIANÓPOLIS</t>
        </is>
      </c>
      <c r="C32" s="22" t="n">
        <v>254</v>
      </c>
      <c r="D32" s="18" t="inlineStr">
        <is>
          <t>TO-110</t>
        </is>
      </c>
      <c r="E32" s="21" t="inlineStr">
        <is>
          <t>RODOVIA TO-110 - TRECHO COMBINADO - NOVO ALEGRE - DIVISA TO-GO</t>
        </is>
      </c>
      <c r="F32" s="18" t="inlineStr">
        <is>
          <t>110ETO0342D</t>
        </is>
      </c>
      <c r="G32" s="21" t="inlineStr">
        <is>
          <t>INÍCIO DUPLICAÇÃO(PU COMBINADO) - ENTR. TO-296(PU COMBINADO)</t>
        </is>
      </c>
      <c r="H32" s="18" t="inlineStr">
        <is>
          <t>PDU</t>
        </is>
      </c>
      <c r="I32" s="18" t="inlineStr">
        <is>
          <t>-46.5458250403, -12.8107486068</t>
        </is>
      </c>
      <c r="J32" s="18" t="inlineStr">
        <is>
          <t>-46.5469977203, -12.814382644</t>
        </is>
      </c>
      <c r="K32" s="19" t="n">
        <v>0.424536633</v>
      </c>
    </row>
    <row r="33" ht="30" customHeight="1">
      <c r="A33" s="20" t="n">
        <v>13</v>
      </c>
      <c r="B33" s="21" t="inlineStr">
        <is>
          <t>DIANÓPOLIS</t>
        </is>
      </c>
      <c r="C33" s="22" t="n">
        <v>254</v>
      </c>
      <c r="D33" s="18" t="inlineStr">
        <is>
          <t>TO-110</t>
        </is>
      </c>
      <c r="E33" s="21" t="inlineStr">
        <is>
          <t>RODOVIA TO-110 - TRECHO COMBINADO - NOVO ALEGRE - DIVISA TO-GO</t>
        </is>
      </c>
      <c r="F33" s="18" t="inlineStr">
        <is>
          <t>110ETO0342E</t>
        </is>
      </c>
      <c r="G33" s="21" t="inlineStr">
        <is>
          <t>INÍCIO DUPLICAÇÃO(PU COMBINADO) - ENTR. TO-296(PU COMBINADO)</t>
        </is>
      </c>
      <c r="H33" s="18" t="inlineStr">
        <is>
          <t>PDU</t>
        </is>
      </c>
      <c r="I33" s="18" t="inlineStr">
        <is>
          <t>-46.5468912681, -12.8143933663</t>
        </is>
      </c>
      <c r="J33" s="18" t="inlineStr">
        <is>
          <t>-46.5458250403, -12.8107486068</t>
        </is>
      </c>
      <c r="K33" s="19" t="n">
        <v>0.419524382</v>
      </c>
    </row>
    <row r="34" ht="30" customHeight="1">
      <c r="A34" s="20" t="n">
        <v>13</v>
      </c>
      <c r="B34" s="21" t="inlineStr">
        <is>
          <t>DIANÓPOLIS</t>
        </is>
      </c>
      <c r="C34" s="22" t="n">
        <v>254</v>
      </c>
      <c r="D34" s="18" t="inlineStr">
        <is>
          <t>TO-110</t>
        </is>
      </c>
      <c r="E34" s="21" t="inlineStr">
        <is>
          <t>RODOVIA TO-110 - TRECHO COMBINADO - NOVO ALEGRE - DIVISA TO-GO</t>
        </is>
      </c>
      <c r="F34" s="18" t="inlineStr">
        <is>
          <t>110ETO0343D</t>
        </is>
      </c>
      <c r="G34" s="21" t="inlineStr">
        <is>
          <t>ENTR. TO-296(PU COMBINADO) - FIM DUPLICAÇÃO(PU COMBINADO)</t>
        </is>
      </c>
      <c r="H34" s="18" t="inlineStr">
        <is>
          <t>PDU</t>
        </is>
      </c>
      <c r="I34" s="18" t="inlineStr">
        <is>
          <t>-46.5469977203, -12.814382644</t>
        </is>
      </c>
      <c r="J34" s="18" t="inlineStr">
        <is>
          <t>-46.548763, -12.8206870002</t>
        </is>
      </c>
      <c r="K34" s="19" t="n">
        <v>0.723693203</v>
      </c>
    </row>
    <row r="35" ht="30" customHeight="1">
      <c r="A35" s="20" t="n">
        <v>13</v>
      </c>
      <c r="B35" s="21" t="inlineStr">
        <is>
          <t>DIANÓPOLIS</t>
        </is>
      </c>
      <c r="C35" s="22" t="n">
        <v>254</v>
      </c>
      <c r="D35" s="18" t="inlineStr">
        <is>
          <t>TO-110</t>
        </is>
      </c>
      <c r="E35" s="21" t="inlineStr">
        <is>
          <t>RODOVIA TO-110 - TRECHO COMBINADO - NOVO ALEGRE - DIVISA TO-GO</t>
        </is>
      </c>
      <c r="F35" s="18" t="inlineStr">
        <is>
          <t>110ETO0343E</t>
        </is>
      </c>
      <c r="G35" s="21" t="inlineStr">
        <is>
          <t>ENTR. TO-296(PU COMBINADO) - FIM DUPLICAÇÃO(PU COMBINADO)</t>
        </is>
      </c>
      <c r="H35" s="18" t="inlineStr">
        <is>
          <t>PDU</t>
        </is>
      </c>
      <c r="I35" s="18" t="inlineStr">
        <is>
          <t>-46.548763, -12.8206870002</t>
        </is>
      </c>
      <c r="J35" s="18" t="inlineStr">
        <is>
          <t>-46.5468912681, -12.8143933663</t>
        </is>
      </c>
      <c r="K35" s="19" t="n">
        <v>0.725343022</v>
      </c>
    </row>
    <row r="36" ht="30" customHeight="1">
      <c r="A36" s="20" t="n">
        <v>13</v>
      </c>
      <c r="B36" s="21" t="inlineStr">
        <is>
          <t>DIANÓPOLIS</t>
        </is>
      </c>
      <c r="C36" s="22" t="n">
        <v>254</v>
      </c>
      <c r="D36" s="18" t="inlineStr">
        <is>
          <t>TO-110</t>
        </is>
      </c>
      <c r="E36" s="21" t="inlineStr">
        <is>
          <t>RODOVIA TO-110 - TRECHO COMBINADO - NOVO ALEGRE - DIVISA TO-GO</t>
        </is>
      </c>
      <c r="F36" s="18" t="inlineStr">
        <is>
          <t>110ETO0344</t>
        </is>
      </c>
      <c r="G36" s="21" t="inlineStr">
        <is>
          <t>FIM DUPLICAÇÃO(PU COMBINADO) - FIM PU COMBINADO</t>
        </is>
      </c>
      <c r="H36" s="18" t="inlineStr">
        <is>
          <t>PPS</t>
        </is>
      </c>
      <c r="I36" s="18" t="inlineStr">
        <is>
          <t>-46.548763, -12.8206870002</t>
        </is>
      </c>
      <c r="J36" s="18" t="inlineStr">
        <is>
          <t>-46.5497159999, -12.8238290003</t>
        </is>
      </c>
      <c r="K36" s="19" t="n">
        <v>0.36270769</v>
      </c>
    </row>
    <row r="37" ht="30" customHeight="1">
      <c r="A37" s="20" t="n">
        <v>13</v>
      </c>
      <c r="B37" s="21" t="inlineStr">
        <is>
          <t>DIANÓPOLIS</t>
        </is>
      </c>
      <c r="C37" s="22" t="n">
        <v>254</v>
      </c>
      <c r="D37" s="18" t="inlineStr">
        <is>
          <t>TO-110</t>
        </is>
      </c>
      <c r="E37" s="21" t="inlineStr">
        <is>
          <t>RODOVIA TO-110 - TRECHO COMBINADO - NOVO ALEGRE - DIVISA TO-GO</t>
        </is>
      </c>
      <c r="F37" s="18" t="inlineStr">
        <is>
          <t>110ETO0370</t>
        </is>
      </c>
      <c r="G37" s="21" t="inlineStr">
        <is>
          <t>FIM PU COMBINADO - INÍCIO DUPLICAÇÃO</t>
        </is>
      </c>
      <c r="H37" s="18" t="inlineStr">
        <is>
          <t>PPS</t>
        </is>
      </c>
      <c r="I37" s="18" t="inlineStr">
        <is>
          <t>-46.5497159999, -12.8238290003</t>
        </is>
      </c>
      <c r="J37" s="18" t="inlineStr">
        <is>
          <t>-46.5759790456, -12.9040850206</t>
        </is>
      </c>
      <c r="K37" s="19" t="n">
        <v>9.985965964</v>
      </c>
    </row>
    <row r="38" ht="30" customHeight="1">
      <c r="A38" s="20" t="n">
        <v>13</v>
      </c>
      <c r="B38" s="21" t="inlineStr">
        <is>
          <t>DIANÓPOLIS</t>
        </is>
      </c>
      <c r="C38" s="22" t="n">
        <v>254</v>
      </c>
      <c r="D38" s="18" t="inlineStr">
        <is>
          <t>TO-110</t>
        </is>
      </c>
      <c r="E38" s="21" t="inlineStr">
        <is>
          <t>RODOVIA TO-110 - TRECHO COMBINADO - NOVO ALEGRE - DIVISA TO-GO</t>
        </is>
      </c>
      <c r="F38" s="18" t="inlineStr">
        <is>
          <t>110ETO0372D</t>
        </is>
      </c>
      <c r="G38" s="21" t="inlineStr">
        <is>
          <t>INÍCIO DUPLICAÇÃO - INÍCIO PU NOVO ALEGRE</t>
        </is>
      </c>
      <c r="H38" s="18" t="inlineStr">
        <is>
          <t>DUP</t>
        </is>
      </c>
      <c r="I38" s="18" t="inlineStr">
        <is>
          <t>-46.5759790456, -12.9040850206</t>
        </is>
      </c>
      <c r="J38" s="18" t="inlineStr">
        <is>
          <t>-46.5755429047, -12.9111831533</t>
        </is>
      </c>
      <c r="K38" s="19" t="n">
        <v>0.802988242</v>
      </c>
    </row>
    <row r="39" ht="30" customHeight="1">
      <c r="A39" s="20" t="n">
        <v>13</v>
      </c>
      <c r="B39" s="21" t="inlineStr">
        <is>
          <t>DIANÓPOLIS</t>
        </is>
      </c>
      <c r="C39" s="22" t="n">
        <v>254</v>
      </c>
      <c r="D39" s="18" t="inlineStr">
        <is>
          <t>TO-110</t>
        </is>
      </c>
      <c r="E39" s="21" t="inlineStr">
        <is>
          <t>RODOVIA TO-110 - TRECHO COMBINADO - NOVO ALEGRE - DIVISA TO-GO</t>
        </is>
      </c>
      <c r="F39" s="18" t="inlineStr">
        <is>
          <t>110ETO0372E</t>
        </is>
      </c>
      <c r="G39" s="21" t="inlineStr">
        <is>
          <t>INÍCIO DUPLICAÇÃO - INÍCIO PU NOVO ALEGRE</t>
        </is>
      </c>
      <c r="H39" s="18" t="inlineStr">
        <is>
          <t>DUP</t>
        </is>
      </c>
      <c r="I39" s="18" t="inlineStr">
        <is>
          <t>-46.5754283257, -12.911139231</t>
        </is>
      </c>
      <c r="J39" s="18" t="inlineStr">
        <is>
          <t>-46.5759790456, -12.9040850206</t>
        </is>
      </c>
      <c r="K39" s="19" t="n">
        <v>0.805450355</v>
      </c>
    </row>
    <row r="40" ht="30" customHeight="1">
      <c r="A40" s="20" t="n">
        <v>13</v>
      </c>
      <c r="B40" s="21" t="inlineStr">
        <is>
          <t>DIANÓPOLIS</t>
        </is>
      </c>
      <c r="C40" s="22" t="n">
        <v>254</v>
      </c>
      <c r="D40" s="18" t="inlineStr">
        <is>
          <t>TO-110</t>
        </is>
      </c>
      <c r="E40" s="21" t="inlineStr">
        <is>
          <t>RODOVIA TO-110 - TRECHO COMBINADO - NOVO ALEGRE - DIVISA TO-GO</t>
        </is>
      </c>
      <c r="F40" s="18" t="inlineStr">
        <is>
          <t>110ETO0373D</t>
        </is>
      </c>
      <c r="G40" s="21" t="inlineStr">
        <is>
          <t>INÍCIO PU NOVO ALEGRE - FIM DUPLICAÇÃO(PU NOVO ALEGRE)</t>
        </is>
      </c>
      <c r="H40" s="18" t="inlineStr">
        <is>
          <t>PDU</t>
        </is>
      </c>
      <c r="I40" s="18" t="inlineStr">
        <is>
          <t>-46.5738560007, -12.9175580005</t>
        </is>
      </c>
      <c r="J40" s="18" t="inlineStr">
        <is>
          <t>-46.5754283257, -12.911139231</t>
        </is>
      </c>
      <c r="K40" s="19" t="n">
        <v>0.739975021</v>
      </c>
    </row>
    <row r="41" ht="30" customHeight="1">
      <c r="A41" s="20" t="n">
        <v>13</v>
      </c>
      <c r="B41" s="21" t="inlineStr">
        <is>
          <t>DIANÓPOLIS</t>
        </is>
      </c>
      <c r="C41" s="22" t="n">
        <v>254</v>
      </c>
      <c r="D41" s="18" t="inlineStr">
        <is>
          <t>TO-110</t>
        </is>
      </c>
      <c r="E41" s="21" t="inlineStr">
        <is>
          <t>RODOVIA TO-110 - TRECHO COMBINADO - NOVO ALEGRE - DIVISA TO-GO</t>
        </is>
      </c>
      <c r="F41" s="18" t="inlineStr">
        <is>
          <t>110ETO0373E</t>
        </is>
      </c>
      <c r="G41" s="21" t="inlineStr">
        <is>
          <t>INÍCIO PU NOVO ALEGRE - FIM DUPLICAÇÃO(PU NOVO ALEGRE)</t>
        </is>
      </c>
      <c r="H41" s="18" t="inlineStr">
        <is>
          <t>PDU</t>
        </is>
      </c>
      <c r="I41" s="18" t="inlineStr">
        <is>
          <t>-46.5755429047, -12.9111831533</t>
        </is>
      </c>
      <c r="J41" s="18" t="inlineStr">
        <is>
          <t>-46.5738560007, -12.9175580005</t>
        </is>
      </c>
      <c r="K41" s="19" t="n">
        <v>0.747480642</v>
      </c>
    </row>
    <row r="42" ht="30" customHeight="1">
      <c r="A42" s="20" t="n">
        <v>13</v>
      </c>
      <c r="B42" s="21" t="inlineStr">
        <is>
          <t>DIANÓPOLIS</t>
        </is>
      </c>
      <c r="C42" s="22" t="n">
        <v>254</v>
      </c>
      <c r="D42" s="18" t="inlineStr">
        <is>
          <t>TO-110</t>
        </is>
      </c>
      <c r="E42" s="21" t="inlineStr">
        <is>
          <t>RODOVIA TO-110 - TRECHO COMBINADO - NOVO ALEGRE - DIVISA TO-GO</t>
        </is>
      </c>
      <c r="F42" s="18" t="inlineStr">
        <is>
          <t>110ETO0374</t>
        </is>
      </c>
      <c r="G42" s="21" t="inlineStr">
        <is>
          <t>FIM DUPLICAÇÃO(PU NOVO ALEGRE) - FIM PU NOVO ALEGRE</t>
        </is>
      </c>
      <c r="H42" s="18" t="inlineStr">
        <is>
          <t>PSU</t>
        </is>
      </c>
      <c r="I42" s="18" t="inlineStr">
        <is>
          <t>-46.5738560007, -12.9175580005</t>
        </is>
      </c>
      <c r="J42" s="18" t="inlineStr">
        <is>
          <t>-46.5722740005, -12.917976</t>
        </is>
      </c>
      <c r="K42" s="19" t="n">
        <v>0.177868735</v>
      </c>
    </row>
    <row r="43" ht="30" customHeight="1">
      <c r="A43" s="20" t="n">
        <v>13</v>
      </c>
      <c r="B43" s="21" t="inlineStr">
        <is>
          <t>DIANÓPOLIS</t>
        </is>
      </c>
      <c r="C43" s="22" t="n">
        <v>254</v>
      </c>
      <c r="D43" s="18" t="inlineStr">
        <is>
          <t>TO-110</t>
        </is>
      </c>
      <c r="E43" s="21" t="inlineStr">
        <is>
          <t>RODOVIA TO-110 - TRECHO COMBINADO - NOVO ALEGRE - DIVISA TO-GO</t>
        </is>
      </c>
      <c r="F43" s="18" t="inlineStr">
        <is>
          <t>110ETO0390</t>
        </is>
      </c>
      <c r="G43" s="21" t="inlineStr">
        <is>
          <t>FIM PU NOVO ALEGRE - DIV. TO/GO</t>
        </is>
      </c>
      <c r="H43" s="18" t="inlineStr">
        <is>
          <t>PPS</t>
        </is>
      </c>
      <c r="I43" s="18" t="inlineStr">
        <is>
          <t>-46.5722740005, -12.917976</t>
        </is>
      </c>
      <c r="J43" s="18" t="inlineStr">
        <is>
          <t>-46.573706, -12.9667530002</t>
        </is>
      </c>
      <c r="K43" s="19" t="n">
        <v>5.933882452</v>
      </c>
    </row>
    <row r="44" ht="30" customHeight="1">
      <c r="A44" s="20" t="n">
        <v>13</v>
      </c>
      <c r="B44" s="21" t="inlineStr">
        <is>
          <t>DIANÓPOLIS</t>
        </is>
      </c>
      <c r="C44" s="22" t="n">
        <v>255</v>
      </c>
      <c r="D44" s="18" t="inlineStr">
        <is>
          <t>TO-110</t>
        </is>
      </c>
      <c r="E44" s="21" t="inlineStr">
        <is>
          <t>RODOVIA TO-110 - TRECHO ENTR. TO-040 (DIANÓPOLIS) - DIVISA TO-BA (GARGANTA)</t>
        </is>
      </c>
      <c r="F44" s="18" t="inlineStr">
        <is>
          <t>110ETO0110</t>
        </is>
      </c>
      <c r="G44" s="21" t="inlineStr">
        <is>
          <t>DIV. TO/BA(GARGANTA) - ENTR. TO-040(A)/TO-280(A)</t>
        </is>
      </c>
      <c r="H44" s="18" t="inlineStr">
        <is>
          <t>PPS</t>
        </is>
      </c>
      <c r="I44" s="18" t="inlineStr">
        <is>
          <t>-46.7781900005, -11.6278609998</t>
        </is>
      </c>
      <c r="J44" s="18" t="inlineStr">
        <is>
          <t>-46.5715044747, -11.3679056373</t>
        </is>
      </c>
      <c r="K44" s="19" t="n">
        <v>57.50273197</v>
      </c>
    </row>
    <row r="45" ht="30" customHeight="1">
      <c r="A45" s="20" t="n">
        <v>13</v>
      </c>
      <c r="B45" s="21" t="inlineStr">
        <is>
          <t>DIANÓPOLIS</t>
        </is>
      </c>
      <c r="C45" s="22" t="n">
        <v>256</v>
      </c>
      <c r="D45" s="18" t="inlineStr">
        <is>
          <t>TO-110</t>
        </is>
      </c>
      <c r="E45" s="21" t="inlineStr">
        <is>
          <t>RODOVIA TO-110 - TRECHO ENTR. TO-040 - PONTE ALTA DO BOM JESUS</t>
        </is>
      </c>
      <c r="F45" s="18" t="inlineStr">
        <is>
          <t>110ETO0150</t>
        </is>
      </c>
      <c r="G45" s="21" t="inlineStr">
        <is>
          <t>ENTR. TO-040(B) - CABECEIRINHA</t>
        </is>
      </c>
      <c r="H45" s="18" t="inlineStr">
        <is>
          <t>PPS</t>
        </is>
      </c>
      <c r="I45" s="18" t="inlineStr">
        <is>
          <t>-46.5809680004, -11.8324660004</t>
        </is>
      </c>
      <c r="J45" s="18" t="inlineStr">
        <is>
          <t>-46.5525870001, -11.8645440003</t>
        </is>
      </c>
      <c r="K45" s="19" t="n">
        <v>5.069830618</v>
      </c>
    </row>
    <row r="46" ht="30" customHeight="1">
      <c r="A46" s="20" t="n">
        <v>13</v>
      </c>
      <c r="B46" s="21" t="inlineStr">
        <is>
          <t>DIANÓPOLIS</t>
        </is>
      </c>
      <c r="C46" s="22" t="n">
        <v>256</v>
      </c>
      <c r="D46" s="18" t="inlineStr">
        <is>
          <t>TO-110</t>
        </is>
      </c>
      <c r="E46" s="21" t="inlineStr">
        <is>
          <t>RODOVIA TO-110 - TRECHO ENTR. TO-040 - PONTE ALTA DO BOM JESUS</t>
        </is>
      </c>
      <c r="F46" s="18" t="inlineStr">
        <is>
          <t>110ETO0160</t>
        </is>
      </c>
      <c r="G46" s="21" t="inlineStr">
        <is>
          <t>CABECEIRINHA - IPANEMA</t>
        </is>
      </c>
      <c r="H46" s="18" t="inlineStr">
        <is>
          <t>PPS</t>
        </is>
      </c>
      <c r="I46" s="18" t="inlineStr">
        <is>
          <t>-46.5525870001, -11.8645440003</t>
        </is>
      </c>
      <c r="J46" s="18" t="inlineStr">
        <is>
          <t>-46.5408120003, -11.8912909999</t>
        </is>
      </c>
      <c r="K46" s="19" t="n">
        <v>3.757758205</v>
      </c>
    </row>
    <row r="47" ht="30" customHeight="1">
      <c r="A47" s="20" t="n">
        <v>13</v>
      </c>
      <c r="B47" s="21" t="inlineStr">
        <is>
          <t>DIANÓPOLIS</t>
        </is>
      </c>
      <c r="C47" s="22" t="n">
        <v>256</v>
      </c>
      <c r="D47" s="18" t="inlineStr">
        <is>
          <t>TO-110</t>
        </is>
      </c>
      <c r="E47" s="21" t="inlineStr">
        <is>
          <t>RODOVIA TO-110 - TRECHO ENTR. TO-040 - PONTE ALTA DO BOM JESUS</t>
        </is>
      </c>
      <c r="F47" s="18" t="inlineStr">
        <is>
          <t>110ETO0170</t>
        </is>
      </c>
      <c r="G47" s="21" t="inlineStr">
        <is>
          <t>IPANEMA - INÍCIO PU POV. BOA VISTA DE BELÉM</t>
        </is>
      </c>
      <c r="H47" s="18" t="inlineStr">
        <is>
          <t>PPS</t>
        </is>
      </c>
      <c r="I47" s="18" t="inlineStr">
        <is>
          <t>-46.5408120003, -11.8912909999</t>
        </is>
      </c>
      <c r="J47" s="18" t="inlineStr">
        <is>
          <t>-46.5059190001, -11.9140040005</t>
        </is>
      </c>
      <c r="K47" s="19" t="n">
        <v>4.755953894</v>
      </c>
    </row>
    <row r="48" ht="30" customHeight="1">
      <c r="A48" s="20" t="n">
        <v>13</v>
      </c>
      <c r="B48" s="21" t="inlineStr">
        <is>
          <t>DIANÓPOLIS</t>
        </is>
      </c>
      <c r="C48" s="22" t="n">
        <v>256</v>
      </c>
      <c r="D48" s="18" t="inlineStr">
        <is>
          <t>TO-110</t>
        </is>
      </c>
      <c r="E48" s="21" t="inlineStr">
        <is>
          <t>RODOVIA TO-110 - TRECHO ENTR. TO-040 - PONTE ALTA DO BOM JESUS</t>
        </is>
      </c>
      <c r="F48" s="18" t="inlineStr">
        <is>
          <t>110ETO0172</t>
        </is>
      </c>
      <c r="G48" s="21" t="inlineStr">
        <is>
          <t>INÍCIO PU POV. BOA VISTA DE BELÉM - FIM PU POV. BOA VISTA DE BELÉM</t>
        </is>
      </c>
      <c r="H48" s="18" t="inlineStr">
        <is>
          <t>PSU</t>
        </is>
      </c>
      <c r="I48" s="18" t="inlineStr">
        <is>
          <t>-46.5059190001, -11.9140040005</t>
        </is>
      </c>
      <c r="J48" s="18" t="inlineStr">
        <is>
          <t>-46.4926000001, -11.9191530005</t>
        </is>
      </c>
      <c r="K48" s="19" t="n">
        <v>1.567250215</v>
      </c>
    </row>
    <row r="49" ht="30" customHeight="1">
      <c r="A49" s="20" t="n">
        <v>13</v>
      </c>
      <c r="B49" s="21" t="inlineStr">
        <is>
          <t>DIANÓPOLIS</t>
        </is>
      </c>
      <c r="C49" s="22" t="n">
        <v>256</v>
      </c>
      <c r="D49" s="18" t="inlineStr">
        <is>
          <t>TO-110</t>
        </is>
      </c>
      <c r="E49" s="21" t="inlineStr">
        <is>
          <t>RODOVIA TO-110 - TRECHO ENTR. TO-040 - PONTE ALTA DO BOM JESUS</t>
        </is>
      </c>
      <c r="F49" s="18" t="inlineStr">
        <is>
          <t>110ETO0180</t>
        </is>
      </c>
      <c r="G49" s="21" t="inlineStr">
        <is>
          <t>FIM PU POV. BOA VISTA DE BELÉM - ENTR. TO-485</t>
        </is>
      </c>
      <c r="H49" s="18" t="inlineStr">
        <is>
          <t>PPS</t>
        </is>
      </c>
      <c r="I49" s="18" t="inlineStr">
        <is>
          <t>-46.4926000001, -11.9191530005</t>
        </is>
      </c>
      <c r="J49" s="18" t="inlineStr">
        <is>
          <t>-46.5015940003, -12.0598360004</t>
        </is>
      </c>
      <c r="K49" s="19" t="n">
        <v>18.84584092</v>
      </c>
    </row>
    <row r="50" ht="30" customHeight="1">
      <c r="A50" s="20" t="n">
        <v>13</v>
      </c>
      <c r="B50" s="21" t="inlineStr">
        <is>
          <t>DIANÓPOLIS</t>
        </is>
      </c>
      <c r="C50" s="22" t="n">
        <v>256</v>
      </c>
      <c r="D50" s="18" t="inlineStr">
        <is>
          <t>TO-110</t>
        </is>
      </c>
      <c r="E50" s="21" t="inlineStr">
        <is>
          <t>RODOVIA TO-110 - TRECHO ENTR. TO-040 - PONTE ALTA DO BOM JESUS</t>
        </is>
      </c>
      <c r="F50" s="18" t="inlineStr">
        <is>
          <t>110ETO0190</t>
        </is>
      </c>
      <c r="G50" s="21" t="inlineStr">
        <is>
          <t>ENTR. TO-485 - INÍCIO DUPLICAÇÃO(PU PONTE ALTA DO TOCANTINS)</t>
        </is>
      </c>
      <c r="H50" s="18" t="inlineStr">
        <is>
          <t>PPS</t>
        </is>
      </c>
      <c r="I50" s="18" t="inlineStr">
        <is>
          <t>-46.5015940003, -12.0598360004</t>
        </is>
      </c>
      <c r="J50" s="18" t="inlineStr">
        <is>
          <t>-46.4757789546, -12.0836159086</t>
        </is>
      </c>
      <c r="K50" s="19" t="n">
        <v>3.887046404</v>
      </c>
    </row>
    <row r="51" ht="45" customHeight="1">
      <c r="A51" s="20" t="n">
        <v>13</v>
      </c>
      <c r="B51" s="21" t="inlineStr">
        <is>
          <t>DIANÓPOLIS</t>
        </is>
      </c>
      <c r="C51" s="22" t="n">
        <v>256</v>
      </c>
      <c r="D51" s="18" t="inlineStr">
        <is>
          <t>TO-110</t>
        </is>
      </c>
      <c r="E51" s="21" t="inlineStr">
        <is>
          <t>RODOVIA TO-110 - TRECHO ENTR. TO-040 - PONTE ALTA DO BOM JESUS</t>
        </is>
      </c>
      <c r="F51" s="18" t="inlineStr">
        <is>
          <t>110ETO0192D</t>
        </is>
      </c>
      <c r="G51" s="21" t="inlineStr">
        <is>
          <t>INÍCIO DUPLICAÇÃO(PU PONTE ALTA DO BOM JESUS) - FIM DUPLICAÇÃO(PU PONTE ALTA DO BOM JESUS TOCANTINS)</t>
        </is>
      </c>
      <c r="H51" s="18" t="inlineStr">
        <is>
          <t>PDU</t>
        </is>
      </c>
      <c r="I51" s="18" t="inlineStr">
        <is>
          <t>-46.4757789546, -12.0836159086</t>
        </is>
      </c>
      <c r="J51" s="18" t="inlineStr">
        <is>
          <t>-46.4783370007, -12.093681</t>
        </is>
      </c>
      <c r="K51" s="19" t="n">
        <v>1.172610149</v>
      </c>
    </row>
    <row r="52" ht="45" customHeight="1">
      <c r="A52" s="20" t="n">
        <v>13</v>
      </c>
      <c r="B52" s="21" t="inlineStr">
        <is>
          <t>DIANÓPOLIS</t>
        </is>
      </c>
      <c r="C52" s="22" t="n">
        <v>256</v>
      </c>
      <c r="D52" s="18" t="inlineStr">
        <is>
          <t>TO-110</t>
        </is>
      </c>
      <c r="E52" s="21" t="inlineStr">
        <is>
          <t>RODOVIA TO-110 - TRECHO ENTR. TO-040 - PONTE ALTA DO BOM JESUS</t>
        </is>
      </c>
      <c r="F52" s="18" t="inlineStr">
        <is>
          <t>110ETO0192E</t>
        </is>
      </c>
      <c r="G52" s="21" t="inlineStr">
        <is>
          <t>INÍCIO DUPLICAÇÃO(PU PONTE ALTA DO BOM JESUS) - FIM DUPLICAÇÃO(PU PONTE ALTA DO BOM JESUS TOCANTINS)</t>
        </is>
      </c>
      <c r="H52" s="18" t="inlineStr">
        <is>
          <t>PDU</t>
        </is>
      </c>
      <c r="I52" s="18" t="inlineStr">
        <is>
          <t>-46.4783370007, -12.093681</t>
        </is>
      </c>
      <c r="J52" s="18" t="inlineStr">
        <is>
          <t>-46.4757789546, -12.0836159086</t>
        </is>
      </c>
      <c r="K52" s="19" t="n">
        <v>1.167622172</v>
      </c>
    </row>
    <row r="53" ht="30" customHeight="1">
      <c r="A53" s="20" t="n">
        <v>13</v>
      </c>
      <c r="B53" s="21" t="inlineStr">
        <is>
          <t>DIANÓPOLIS</t>
        </is>
      </c>
      <c r="C53" s="22" t="n">
        <v>257</v>
      </c>
      <c r="D53" s="18" t="inlineStr">
        <is>
          <t>TO-110</t>
        </is>
      </c>
      <c r="E53" s="21" t="inlineStr">
        <is>
          <t>RODOVIA TO-110 - TRECHO LAVANDEIRA - COMBINADO</t>
        </is>
      </c>
      <c r="F53" s="18" t="inlineStr">
        <is>
          <t>110ETO0340</t>
        </is>
      </c>
      <c r="G53" s="21" t="inlineStr">
        <is>
          <t>PU LAVANDEIRA - INÍCIO PU COMBINADO</t>
        </is>
      </c>
      <c r="H53" s="18" t="inlineStr">
        <is>
          <t>PPS</t>
        </is>
      </c>
      <c r="I53" s="18" t="inlineStr">
        <is>
          <t>-46.5102570005, -12.786731</t>
        </is>
      </c>
      <c r="J53" s="18" t="inlineStr">
        <is>
          <t>-46.5441300004, -12.8048590005</t>
        </is>
      </c>
      <c r="K53" s="19" t="n">
        <v>5.707660943</v>
      </c>
    </row>
    <row r="54" ht="30" customHeight="1">
      <c r="A54" s="20" t="n">
        <v>13</v>
      </c>
      <c r="B54" s="21" t="inlineStr">
        <is>
          <t>DIANÓPOLIS</t>
        </is>
      </c>
      <c r="C54" s="22" t="n">
        <v>258</v>
      </c>
      <c r="D54" s="18" t="inlineStr">
        <is>
          <t>TO-110</t>
        </is>
      </c>
      <c r="E54" s="21" t="inlineStr">
        <is>
          <t>RODOVIA TO-110 - TRECHO PONTE ALTA DO BOM JESUS - ENTR. BR-242(TAGUATINGA)</t>
        </is>
      </c>
      <c r="F54" s="18" t="inlineStr">
        <is>
          <t>110ETO0210</t>
        </is>
      </c>
      <c r="G54" s="21" t="inlineStr">
        <is>
          <t>FIM DUPLICAÇÃO(PU PONTE ALTA DO TOCANTINS) - ACESSO POV. ALTAMIRA</t>
        </is>
      </c>
      <c r="H54" s="18" t="inlineStr">
        <is>
          <t>PPS</t>
        </is>
      </c>
      <c r="I54" s="18" t="inlineStr">
        <is>
          <t>-46.4575840005, -12.1551910001</t>
        </is>
      </c>
      <c r="J54" s="18" t="inlineStr">
        <is>
          <t>-46.4783370007, -12.093681</t>
        </is>
      </c>
      <c r="K54" s="19" t="n">
        <v>7.287598094</v>
      </c>
    </row>
    <row r="55" ht="30" customHeight="1">
      <c r="A55" s="20" t="n">
        <v>13</v>
      </c>
      <c r="B55" s="21" t="inlineStr">
        <is>
          <t>DIANÓPOLIS</t>
        </is>
      </c>
      <c r="C55" s="22" t="n">
        <v>258</v>
      </c>
      <c r="D55" s="18" t="inlineStr">
        <is>
          <t>TO-110</t>
        </is>
      </c>
      <c r="E55" s="21" t="inlineStr">
        <is>
          <t>RODOVIA TO-110 - TRECHO PONTE ALTA DO BOM JESUS - ENTR. BR-242(TAGUATINGA)</t>
        </is>
      </c>
      <c r="F55" s="18" t="inlineStr">
        <is>
          <t>110ETO0220</t>
        </is>
      </c>
      <c r="G55" s="21" t="inlineStr">
        <is>
          <t>ACESSO POV. ALTAMIRA - SÃO GONÇALO</t>
        </is>
      </c>
      <c r="H55" s="18" t="inlineStr">
        <is>
          <t>PPS</t>
        </is>
      </c>
      <c r="I55" s="18" t="inlineStr">
        <is>
          <t>-46.4523570005, -12.2326780004</t>
        </is>
      </c>
      <c r="J55" s="18" t="inlineStr">
        <is>
          <t>-46.4575840005, -12.1551910001</t>
        </is>
      </c>
      <c r="K55" s="19" t="n">
        <v>9.146589999</v>
      </c>
    </row>
    <row r="56" ht="30" customHeight="1">
      <c r="A56" s="20" t="n">
        <v>13</v>
      </c>
      <c r="B56" s="21" t="inlineStr">
        <is>
          <t>DIANÓPOLIS</t>
        </is>
      </c>
      <c r="C56" s="22" t="n">
        <v>258</v>
      </c>
      <c r="D56" s="18" t="inlineStr">
        <is>
          <t>TO-110</t>
        </is>
      </c>
      <c r="E56" s="21" t="inlineStr">
        <is>
          <t>RODOVIA TO-110 - TRECHO PONTE ALTA DO BOM JESUS - ENTR. BR-242(TAGUATINGA)</t>
        </is>
      </c>
      <c r="F56" s="18" t="inlineStr">
        <is>
          <t>110ETO0230</t>
        </is>
      </c>
      <c r="G56" s="21" t="inlineStr">
        <is>
          <t>SÃO GONÇALO - ENTR. BR-242(A)</t>
        </is>
      </c>
      <c r="H56" s="18" t="inlineStr">
        <is>
          <t>PPS</t>
        </is>
      </c>
      <c r="I56" s="18" t="inlineStr">
        <is>
          <t>-46.40843, -12.3849790001</t>
        </is>
      </c>
      <c r="J56" s="18" t="inlineStr">
        <is>
          <t>-46.4523570005, -12.2326780004</t>
        </is>
      </c>
      <c r="K56" s="19" t="n">
        <v>18.96559214</v>
      </c>
    </row>
    <row r="57" ht="30" customHeight="1">
      <c r="A57" s="20" t="n">
        <v>13</v>
      </c>
      <c r="B57" s="21" t="inlineStr">
        <is>
          <t>DIANÓPOLIS</t>
        </is>
      </c>
      <c r="C57" s="22" t="n">
        <v>259</v>
      </c>
      <c r="D57" s="18" t="inlineStr">
        <is>
          <t>TO-110</t>
        </is>
      </c>
      <c r="E57" s="21" t="inlineStr">
        <is>
          <t>RODOVIA TO-110 - TRECHO TAGUATINGA - AURORA DO TOCANTINS</t>
        </is>
      </c>
      <c r="F57" s="18" t="inlineStr">
        <is>
          <t>110ETO0232</t>
        </is>
      </c>
      <c r="G57" s="21" t="inlineStr">
        <is>
          <t>ENTR. BR-242(A) - INÍCIO DUPLICAÇÃO(PU TAGUATINGA)</t>
        </is>
      </c>
      <c r="H57" s="18" t="inlineStr">
        <is>
          <t>PPS</t>
        </is>
      </c>
      <c r="I57" s="18" t="inlineStr">
        <is>
          <t>-46.4175301381, -12.3922709993</t>
        </is>
      </c>
      <c r="J57" s="18" t="inlineStr">
        <is>
          <t>-46.4130276681, -12.388534239</t>
        </is>
      </c>
      <c r="K57" s="19" t="n">
        <v>0.64071636</v>
      </c>
    </row>
    <row r="58" ht="30" customHeight="1">
      <c r="A58" s="20" t="n">
        <v>13</v>
      </c>
      <c r="B58" s="21" t="inlineStr">
        <is>
          <t>DIANÓPOLIS</t>
        </is>
      </c>
      <c r="C58" s="22" t="n">
        <v>259</v>
      </c>
      <c r="D58" s="18" t="inlineStr">
        <is>
          <t>TO-110</t>
        </is>
      </c>
      <c r="E58" s="21" t="inlineStr">
        <is>
          <t>RODOVIA TO-110 - TRECHO TAGUATINGA - AURORA DO TOCANTINS</t>
        </is>
      </c>
      <c r="F58" s="18" t="inlineStr">
        <is>
          <t>110ETO0241D</t>
        </is>
      </c>
      <c r="G58" s="21" t="inlineStr">
        <is>
          <t>INÍCIO DUPLICAÇÃO(PU TAGUATINGA) - FIM DUPLICAÇÃO(PU TAGUATINGA)</t>
        </is>
      </c>
      <c r="H58" s="18" t="inlineStr">
        <is>
          <t>PDU</t>
        </is>
      </c>
      <c r="I58" s="18" t="inlineStr">
        <is>
          <t>-46.4175301381, -12.3922709993</t>
        </is>
      </c>
      <c r="J58" s="18" t="inlineStr">
        <is>
          <t>-46.4253919998, -12.4123610002</t>
        </is>
      </c>
      <c r="K58" s="19" t="n">
        <v>3.080850646</v>
      </c>
    </row>
    <row r="59" ht="30" customHeight="1">
      <c r="A59" s="20" t="n">
        <v>13</v>
      </c>
      <c r="B59" s="21" t="inlineStr">
        <is>
          <t>DIANÓPOLIS</t>
        </is>
      </c>
      <c r="C59" s="22" t="n">
        <v>259</v>
      </c>
      <c r="D59" s="18" t="inlineStr">
        <is>
          <t>TO-110</t>
        </is>
      </c>
      <c r="E59" s="21" t="inlineStr">
        <is>
          <t>RODOVIA TO-110 - TRECHO TAGUATINGA - AURORA DO TOCANTINS</t>
        </is>
      </c>
      <c r="F59" s="18" t="inlineStr">
        <is>
          <t>110ETO0241E</t>
        </is>
      </c>
      <c r="G59" s="21" t="inlineStr">
        <is>
          <t>INÍCIO DUPLICAÇÃO(PU TAGUATINGA) - FIM DUPLICAÇÃO(PU TAGUATINGA)</t>
        </is>
      </c>
      <c r="H59" s="18" t="inlineStr">
        <is>
          <t>PDU</t>
        </is>
      </c>
      <c r="I59" s="18" t="inlineStr">
        <is>
          <t>-46.4253919998, -12.4123610002</t>
        </is>
      </c>
      <c r="J59" s="18" t="inlineStr">
        <is>
          <t>-46.4175301381, -12.3922709993</t>
        </is>
      </c>
      <c r="K59" s="19" t="n">
        <v>3.028521297</v>
      </c>
    </row>
    <row r="60" ht="30" customHeight="1">
      <c r="A60" s="20" t="n">
        <v>13</v>
      </c>
      <c r="B60" s="21" t="inlineStr">
        <is>
          <t>DIANÓPOLIS</t>
        </is>
      </c>
      <c r="C60" s="22" t="n">
        <v>259</v>
      </c>
      <c r="D60" s="18" t="inlineStr">
        <is>
          <t>TO-110</t>
        </is>
      </c>
      <c r="E60" s="21" t="inlineStr">
        <is>
          <t>RODOVIA TO-110 - TRECHO TAGUATINGA - AURORA DO TOCANTINS</t>
        </is>
      </c>
      <c r="F60" s="18" t="inlineStr">
        <is>
          <t>110ETO0270</t>
        </is>
      </c>
      <c r="G60" s="21" t="inlineStr">
        <is>
          <t>FIM DUPLICAÇÃO(PU TAGUATINGA) - POV. SAPATEIRO</t>
        </is>
      </c>
      <c r="H60" s="18" t="inlineStr">
        <is>
          <t>PPS</t>
        </is>
      </c>
      <c r="I60" s="18" t="inlineStr">
        <is>
          <t>-46.4253919998, -12.4123610002</t>
        </is>
      </c>
      <c r="J60" s="18" t="inlineStr">
        <is>
          <t>-46.4090090007, -12.5462180001</t>
        </is>
      </c>
      <c r="K60" s="19" t="n">
        <v>18.95480611</v>
      </c>
    </row>
    <row r="61" ht="30" customHeight="1">
      <c r="A61" s="20" t="n">
        <v>13</v>
      </c>
      <c r="B61" s="21" t="inlineStr">
        <is>
          <t>DIANÓPOLIS</t>
        </is>
      </c>
      <c r="C61" s="22" t="n">
        <v>259</v>
      </c>
      <c r="D61" s="18" t="inlineStr">
        <is>
          <t>TO-110</t>
        </is>
      </c>
      <c r="E61" s="21" t="inlineStr">
        <is>
          <t>RODOVIA TO-110 - TRECHO TAGUATINGA - AURORA DO TOCANTINS</t>
        </is>
      </c>
      <c r="F61" s="18" t="inlineStr">
        <is>
          <t>110ETO0280</t>
        </is>
      </c>
      <c r="G61" s="21" t="inlineStr">
        <is>
          <t>POV. SAPATEIRO - ENTR. ACESSO POV. AZUIS</t>
        </is>
      </c>
      <c r="H61" s="18" t="inlineStr">
        <is>
          <t>PPS</t>
        </is>
      </c>
      <c r="I61" s="18" t="inlineStr">
        <is>
          <t>-46.4090090007, -12.5462180001</t>
        </is>
      </c>
      <c r="J61" s="18" t="inlineStr">
        <is>
          <t>-46.4132580006, -12.5863450006</t>
        </is>
      </c>
      <c r="K61" s="19" t="n">
        <v>5.388275652</v>
      </c>
    </row>
    <row r="62" ht="30" customHeight="1">
      <c r="A62" s="20" t="n">
        <v>13</v>
      </c>
      <c r="B62" s="21" t="inlineStr">
        <is>
          <t>DIANÓPOLIS</t>
        </is>
      </c>
      <c r="C62" s="22" t="n">
        <v>259</v>
      </c>
      <c r="D62" s="18" t="inlineStr">
        <is>
          <t>TO-110</t>
        </is>
      </c>
      <c r="E62" s="21" t="inlineStr">
        <is>
          <t>RODOVIA TO-110 - TRECHO TAGUATINGA - AURORA DO TOCANTINS</t>
        </is>
      </c>
      <c r="F62" s="18" t="inlineStr">
        <is>
          <t>110ETO0290</t>
        </is>
      </c>
      <c r="G62" s="21" t="inlineStr">
        <is>
          <t>ENTR. ACESSO POV. AZUIS - INÍCIO DUPLICAÇÃO(PU AURORA DO TOCANTINS)</t>
        </is>
      </c>
      <c r="H62" s="18" t="inlineStr">
        <is>
          <t>PPS</t>
        </is>
      </c>
      <c r="I62" s="18" t="inlineStr">
        <is>
          <t>-46.4132580006, -12.5863450006</t>
        </is>
      </c>
      <c r="J62" s="18" t="inlineStr">
        <is>
          <t>-46.3997630006, -12.708099</t>
        </is>
      </c>
      <c r="K62" s="19" t="n">
        <v>19.17960713</v>
      </c>
    </row>
    <row r="63" ht="30" customHeight="1">
      <c r="A63" s="20" t="n">
        <v>13</v>
      </c>
      <c r="B63" s="21" t="inlineStr">
        <is>
          <t>DIANÓPOLIS</t>
        </is>
      </c>
      <c r="C63" s="22" t="n">
        <v>259</v>
      </c>
      <c r="D63" s="18" t="inlineStr">
        <is>
          <t>TO-110</t>
        </is>
      </c>
      <c r="E63" s="21" t="inlineStr">
        <is>
          <t>RODOVIA TO-110 - TRECHO TAGUATINGA - AURORA DO TOCANTINS</t>
        </is>
      </c>
      <c r="F63" s="18" t="inlineStr">
        <is>
          <t>110ETO0292D</t>
        </is>
      </c>
      <c r="G63" s="21" t="inlineStr">
        <is>
          <t>INÍCIO DUPLICAÇÃO(PU AURORA DO TOCANTINS) - FIM DUPLICAÇÃO(PU AURORA DO TOCANTINS)</t>
        </is>
      </c>
      <c r="H63" s="18" t="inlineStr">
        <is>
          <t>PDU</t>
        </is>
      </c>
      <c r="I63" s="18" t="inlineStr">
        <is>
          <t>-46.4022554904, -12.7090550927</t>
        </is>
      </c>
      <c r="J63" s="18" t="inlineStr">
        <is>
          <t>-46.3997630006, -12.708099</t>
        </is>
      </c>
      <c r="K63" s="19" t="n">
        <v>0.293518981</v>
      </c>
    </row>
    <row r="64" ht="30" customHeight="1">
      <c r="A64" s="20" t="n">
        <v>13</v>
      </c>
      <c r="B64" s="21" t="inlineStr">
        <is>
          <t>DIANÓPOLIS</t>
        </is>
      </c>
      <c r="C64" s="22" t="n">
        <v>259</v>
      </c>
      <c r="D64" s="18" t="inlineStr">
        <is>
          <t>TO-110</t>
        </is>
      </c>
      <c r="E64" s="21" t="inlineStr">
        <is>
          <t>RODOVIA TO-110 - TRECHO TAGUATINGA - AURORA DO TOCANTINS</t>
        </is>
      </c>
      <c r="F64" s="18" t="inlineStr">
        <is>
          <t>110ETO0292E</t>
        </is>
      </c>
      <c r="G64" s="21" t="inlineStr">
        <is>
          <t>INÍCIO DUPLICAÇÃO(PU AURORA DO TOCANTINS) - FIM DUPLICAÇÃO(PU AURORA DO TOCANTINS)</t>
        </is>
      </c>
      <c r="H64" s="18" t="inlineStr">
        <is>
          <t>PDU</t>
        </is>
      </c>
      <c r="I64" s="18" t="inlineStr">
        <is>
          <t>-46.4022554904, -12.7090550927</t>
        </is>
      </c>
      <c r="J64" s="18" t="inlineStr">
        <is>
          <t>-46.3997630006, -12.708099</t>
        </is>
      </c>
      <c r="K64" s="19" t="n">
        <v>0.291042051</v>
      </c>
    </row>
    <row r="65" ht="30" customHeight="1">
      <c r="A65" s="20" t="n">
        <v>13</v>
      </c>
      <c r="B65" s="21" t="inlineStr">
        <is>
          <t>DIANÓPOLIS</t>
        </is>
      </c>
      <c r="C65" s="22" t="n">
        <v>259</v>
      </c>
      <c r="D65" s="18" t="inlineStr">
        <is>
          <t>TO-110</t>
        </is>
      </c>
      <c r="E65" s="21" t="inlineStr">
        <is>
          <t>RODOVIA TO-110 - TRECHO TAGUATINGA - AURORA DO TOCANTINS</t>
        </is>
      </c>
      <c r="F65" s="18" t="inlineStr">
        <is>
          <t>110ETO0293</t>
        </is>
      </c>
      <c r="G65" s="21" t="inlineStr">
        <is>
          <t>FIM DUPLICAÇÃO(PU AURORA DO TOCANTINS) - FIM PU AURORA DO TOCANTINS</t>
        </is>
      </c>
      <c r="H65" s="18" t="inlineStr">
        <is>
          <t>PSU</t>
        </is>
      </c>
      <c r="I65" s="18" t="inlineStr">
        <is>
          <t>-46.4022554904, -12.7090550927</t>
        </is>
      </c>
      <c r="J65" s="18" t="inlineStr">
        <is>
          <t>-46.414397, -12.7135060002</t>
        </is>
      </c>
      <c r="K65" s="19" t="n">
        <v>1.468424392</v>
      </c>
    </row>
    <row r="66" ht="15" customHeight="1">
      <c r="A66" s="20" t="n">
        <v>13</v>
      </c>
      <c r="B66" s="21" t="inlineStr">
        <is>
          <t>DIANÓPOLIS</t>
        </is>
      </c>
      <c r="C66" s="22" t="n">
        <v>259</v>
      </c>
      <c r="D66" s="18" t="inlineStr">
        <is>
          <t>ACESSO</t>
        </is>
      </c>
      <c r="E66" s="21" t="inlineStr">
        <is>
          <t>ACESSO</t>
        </is>
      </c>
      <c r="F66" s="18" t="inlineStr">
        <is>
          <t>ACESSO02</t>
        </is>
      </c>
      <c r="G66" s="21" t="inlineStr">
        <is>
          <t>ENTR. TO-110 - RIO AZUIS</t>
        </is>
      </c>
      <c r="H66" s="18" t="inlineStr">
        <is>
          <t>PPS</t>
        </is>
      </c>
      <c r="I66" s="18" t="inlineStr">
        <is>
          <t>-46.4132580006, -12.5863450006</t>
        </is>
      </c>
      <c r="J66" s="18" t="inlineStr">
        <is>
          <t>-46.4076340002, -12.5815390002</t>
        </is>
      </c>
      <c r="K66" s="19" t="n">
        <v>0.914422851</v>
      </c>
    </row>
    <row r="67" ht="30" customHeight="1">
      <c r="A67" s="20" t="n">
        <v>13</v>
      </c>
      <c r="B67" s="21" t="inlineStr">
        <is>
          <t>DIANÓPOLIS</t>
        </is>
      </c>
      <c r="C67" s="22" t="n">
        <v>260</v>
      </c>
      <c r="D67" s="18" t="inlineStr">
        <is>
          <t>TO-296</t>
        </is>
      </c>
      <c r="E67" s="21" t="inlineStr">
        <is>
          <t>RODOVIA TO-296 - TRECHO ENTR. TO-050 - ENTR. TO-110 (COMBINADO)</t>
        </is>
      </c>
      <c r="F67" s="18" t="inlineStr">
        <is>
          <t>296ETO0106D</t>
        </is>
      </c>
      <c r="G67" s="21" t="inlineStr">
        <is>
          <t>ENTR. TO-110(PU COMBINADO) - FIM DUPLICAÇÃO(PU COMBINADO)</t>
        </is>
      </c>
      <c r="H67" s="18" t="inlineStr">
        <is>
          <t>PDU</t>
        </is>
      </c>
      <c r="I67" s="18" t="inlineStr">
        <is>
          <t>-46.5497021232, -12.8143238204</t>
        </is>
      </c>
      <c r="J67" s="18" t="inlineStr">
        <is>
          <t>-46.5469977203, -12.814382644</t>
        </is>
      </c>
      <c r="K67" s="19" t="n">
        <v>0.293764772</v>
      </c>
    </row>
    <row r="68" ht="30" customHeight="1">
      <c r="A68" s="20" t="n">
        <v>13</v>
      </c>
      <c r="B68" s="21" t="inlineStr">
        <is>
          <t>DIANÓPOLIS</t>
        </is>
      </c>
      <c r="C68" s="22" t="n">
        <v>260</v>
      </c>
      <c r="D68" s="18" t="inlineStr">
        <is>
          <t>TO-296</t>
        </is>
      </c>
      <c r="E68" s="21" t="inlineStr">
        <is>
          <t>RODOVIA TO-296 - TRECHO ENTR. TO-050 - ENTR. TO-110 (COMBINADO)</t>
        </is>
      </c>
      <c r="F68" s="18" t="inlineStr">
        <is>
          <t>296ETO0106E</t>
        </is>
      </c>
      <c r="G68" s="21" t="inlineStr">
        <is>
          <t>ENTR. TO-110(PU COMBINADO) - FIM DUPLICAÇÃO(PU COMBINADO)</t>
        </is>
      </c>
      <c r="H68" s="18" t="inlineStr">
        <is>
          <t>PDU</t>
        </is>
      </c>
      <c r="I68" s="18" t="inlineStr">
        <is>
          <t>-46.5497021232, -12.8143238204</t>
        </is>
      </c>
      <c r="J68" s="18" t="inlineStr">
        <is>
          <t>-46.547026991, -12.8144911308</t>
        </is>
      </c>
      <c r="K68" s="19" t="n">
        <v>0.293070903</v>
      </c>
    </row>
    <row r="69" ht="30" customHeight="1">
      <c r="A69" s="20" t="n">
        <v>13</v>
      </c>
      <c r="B69" s="21" t="inlineStr">
        <is>
          <t>DIANÓPOLIS</t>
        </is>
      </c>
      <c r="C69" s="22" t="n">
        <v>260</v>
      </c>
      <c r="D69" s="18" t="inlineStr">
        <is>
          <t>TO-296</t>
        </is>
      </c>
      <c r="E69" s="21" t="inlineStr">
        <is>
          <t>RODOVIA TO-296 - TRECHO ENTR. TO-050 - ENTR. TO-110 (COMBINADO)</t>
        </is>
      </c>
      <c r="F69" s="18" t="inlineStr">
        <is>
          <t>296ETO0107</t>
        </is>
      </c>
      <c r="G69" s="21" t="inlineStr">
        <is>
          <t>FIM DUPLICAÇÃO(PU COMBINADO) - FIM PAVIMENTAÇÃO(PU COMBINADO)</t>
        </is>
      </c>
      <c r="H69" s="18" t="inlineStr">
        <is>
          <t>PSU</t>
        </is>
      </c>
      <c r="I69" s="18" t="inlineStr">
        <is>
          <t>-46.5546483107, -12.8132900962</t>
        </is>
      </c>
      <c r="J69" s="18" t="inlineStr">
        <is>
          <t>-46.5497021232, -12.8143238204</t>
        </is>
      </c>
      <c r="K69" s="19" t="n">
        <v>0.549824707</v>
      </c>
    </row>
    <row r="70" ht="30" customHeight="1">
      <c r="A70" s="20" t="n">
        <v>13</v>
      </c>
      <c r="B70" s="21" t="inlineStr">
        <is>
          <t>DIANÓPOLIS</t>
        </is>
      </c>
      <c r="C70" s="22" t="n">
        <v>260</v>
      </c>
      <c r="D70" s="18" t="inlineStr">
        <is>
          <t>TO-296</t>
        </is>
      </c>
      <c r="E70" s="21" t="inlineStr">
        <is>
          <t>RODOVIA TO-296 - TRECHO ENTR. TO-050 - ENTR. TO-110 (COMBINADO)</t>
        </is>
      </c>
      <c r="F70" s="18" t="inlineStr">
        <is>
          <t>296ETO0110</t>
        </is>
      </c>
      <c r="G70" s="21" t="inlineStr">
        <is>
          <t>FIM PAVIMENTAÇÃO(PU COMBINADO) - ENTR. TO-497</t>
        </is>
      </c>
      <c r="H70" s="18" t="inlineStr">
        <is>
          <t>LEN</t>
        </is>
      </c>
      <c r="I70" s="18" t="inlineStr">
        <is>
          <t>-46.5546483107, -12.8132900962</t>
        </is>
      </c>
      <c r="J70" s="18" t="inlineStr">
        <is>
          <t>-46.7895220005, -12.8475860005</t>
        </is>
      </c>
      <c r="K70" s="19" t="n">
        <v>30.29200444</v>
      </c>
    </row>
    <row r="71" ht="30" customHeight="1">
      <c r="A71" s="20" t="n">
        <v>13</v>
      </c>
      <c r="B71" s="21" t="inlineStr">
        <is>
          <t>DIANÓPOLIS</t>
        </is>
      </c>
      <c r="C71" s="22" t="n">
        <v>260</v>
      </c>
      <c r="D71" s="18" t="inlineStr">
        <is>
          <t>TO-296</t>
        </is>
      </c>
      <c r="E71" s="21" t="inlineStr">
        <is>
          <t>RODOVIA TO-296 - TRECHO ENTR. TO-050 - ENTR. TO-110 (COMBINADO)</t>
        </is>
      </c>
      <c r="F71" s="18" t="inlineStr">
        <is>
          <t>296ETO0120</t>
        </is>
      </c>
      <c r="G71" s="21" t="inlineStr">
        <is>
          <t>ENTR. TO-497 - ENTR. TO-050(B)</t>
        </is>
      </c>
      <c r="H71" s="18" t="inlineStr">
        <is>
          <t>LEN</t>
        </is>
      </c>
      <c r="I71" s="18" t="inlineStr">
        <is>
          <t>-46.7895220005, -12.8475860005</t>
        </is>
      </c>
      <c r="J71" s="18" t="inlineStr">
        <is>
          <t>-46.8858639998, -12.9747720003</t>
        </is>
      </c>
      <c r="K71" s="19" t="n">
        <v>21.79502572</v>
      </c>
    </row>
    <row r="72" ht="30" customHeight="1">
      <c r="A72" s="20" t="n">
        <v>13</v>
      </c>
      <c r="B72" s="21" t="inlineStr">
        <is>
          <t>DIANÓPOLIS</t>
        </is>
      </c>
      <c r="C72" s="22" t="n">
        <v>261</v>
      </c>
      <c r="D72" s="18" t="inlineStr">
        <is>
          <t>TO-296</t>
        </is>
      </c>
      <c r="E72" s="21" t="inlineStr">
        <is>
          <t>RODOVIA TO-296 - TRECHO ENTR. BR-242 (POVOADO SÃO BOM JESUS DAS PALMAS) - ENTR. TO-050</t>
        </is>
      </c>
      <c r="F72" s="18" t="inlineStr">
        <is>
          <t>296ETO0170</t>
        </is>
      </c>
      <c r="G72" s="21" t="inlineStr">
        <is>
          <t>ENTR. TO-050(A) - ENTR. BR-242</t>
        </is>
      </c>
      <c r="H72" s="18" t="inlineStr">
        <is>
          <t>LEN</t>
        </is>
      </c>
      <c r="I72" s="18" t="inlineStr">
        <is>
          <t>-47.0882650004, -12.8438040006</t>
        </is>
      </c>
      <c r="J72" s="18" t="inlineStr">
        <is>
          <t>-47.4591149876, -12.6116995338</t>
        </is>
      </c>
      <c r="K72" s="19" t="n">
        <v>50.50616591</v>
      </c>
    </row>
    <row r="73" ht="30" customHeight="1">
      <c r="A73" s="20" t="n">
        <v>13</v>
      </c>
      <c r="B73" s="21" t="inlineStr">
        <is>
          <t>DIANÓPOLIS</t>
        </is>
      </c>
      <c r="C73" s="22" t="n">
        <v>262</v>
      </c>
      <c r="D73" s="18" t="inlineStr">
        <is>
          <t>TO-369</t>
        </is>
      </c>
      <c r="E73" s="21" t="inlineStr">
        <is>
          <t>RODOVIA TO-369 - TRECHO ENTR. TO-040 - ENTR. TO-476 (FUNIL - RIO SONINHO)</t>
        </is>
      </c>
      <c r="F73" s="18" t="inlineStr">
        <is>
          <t>369ETO0100</t>
        </is>
      </c>
      <c r="G73" s="21" t="inlineStr">
        <is>
          <t>ENTR. TO-476 - ENTR. TO-040</t>
        </is>
      </c>
      <c r="H73" s="18" t="inlineStr">
        <is>
          <t>LEN</t>
        </is>
      </c>
      <c r="I73" s="18" t="inlineStr">
        <is>
          <t>-47.2288972222, -10.9898100018</t>
        </is>
      </c>
      <c r="J73" s="18" t="inlineStr">
        <is>
          <t>-47.2994875886, -11.1638440072</t>
        </is>
      </c>
      <c r="K73" s="19" t="n">
        <v>23.97842274</v>
      </c>
    </row>
    <row r="74" ht="30" customHeight="1">
      <c r="A74" s="20" t="n">
        <v>13</v>
      </c>
      <c r="B74" s="21" t="inlineStr">
        <is>
          <t>DIANÓPOLIS</t>
        </is>
      </c>
      <c r="C74" s="22" t="n">
        <v>263</v>
      </c>
      <c r="D74" s="18" t="inlineStr">
        <is>
          <t>TO-387</t>
        </is>
      </c>
      <c r="E74" s="21" t="inlineStr">
        <is>
          <t>RODOVIA TO-387 - TRECHO CONCEIÇÃO DO TOCANTINS - TAIPAS DO TOCANTINS</t>
        </is>
      </c>
      <c r="F74" s="18" t="inlineStr">
        <is>
          <t>387ETO0070</t>
        </is>
      </c>
      <c r="G74" s="21" t="inlineStr">
        <is>
          <t>FIM DUPLICAÇÃO(PU TAIPAS) - INÍCIO PU CONCEIÇÃO DO TOCANTINS</t>
        </is>
      </c>
      <c r="H74" s="18" t="inlineStr">
        <is>
          <t>EOP</t>
        </is>
      </c>
      <c r="I74" s="18" t="inlineStr">
        <is>
          <t>-46.9909710004, -12.2053540003</t>
        </is>
      </c>
      <c r="J74" s="18" t="inlineStr">
        <is>
          <t>-47.2904920002, -12.2149710004</t>
        </is>
      </c>
      <c r="K74" s="19" t="n">
        <v>38.2171649</v>
      </c>
    </row>
    <row r="75" ht="30" customHeight="1">
      <c r="A75" s="20" t="n">
        <v>13</v>
      </c>
      <c r="B75" s="21" t="inlineStr">
        <is>
          <t>DIANÓPOLIS</t>
        </is>
      </c>
      <c r="C75" s="22" t="n">
        <v>263</v>
      </c>
      <c r="D75" s="18" t="inlineStr">
        <is>
          <t>TO-387</t>
        </is>
      </c>
      <c r="E75" s="21" t="inlineStr">
        <is>
          <t>RODOVIA TO-387 - TRECHO CONCEIÇÃO DO TOCANTINS - TAIPAS DO TOCANTINS</t>
        </is>
      </c>
      <c r="F75" s="18" t="inlineStr">
        <is>
          <t>387ETO0071</t>
        </is>
      </c>
      <c r="G75" s="21" t="inlineStr">
        <is>
          <t>INÍCIO PU CONCEIÇÃO DO TOCANTINS - INÍCIO DUPLICAÇÃO(PU CONCEIÇÃO DO TOCANTINS)</t>
        </is>
      </c>
      <c r="H75" s="18" t="inlineStr">
        <is>
          <t>PSU</t>
        </is>
      </c>
      <c r="I75" s="18" t="inlineStr">
        <is>
          <t>-47.2939953324, -12.2177500713</t>
        </is>
      </c>
      <c r="J75" s="18" t="inlineStr">
        <is>
          <t>-47.2904920002, -12.2149710004</t>
        </is>
      </c>
      <c r="K75" s="19" t="n">
        <v>0.490090305</v>
      </c>
    </row>
    <row r="76" ht="30" customHeight="1">
      <c r="A76" s="20" t="n">
        <v>13</v>
      </c>
      <c r="B76" s="21" t="inlineStr">
        <is>
          <t>DIANÓPOLIS</t>
        </is>
      </c>
      <c r="C76" s="22" t="n">
        <v>263</v>
      </c>
      <c r="D76" s="18" t="inlineStr">
        <is>
          <t>TO-387</t>
        </is>
      </c>
      <c r="E76" s="21" t="inlineStr">
        <is>
          <t>RODOVIA TO-387 - TRECHO CONCEIÇÃO DO TOCANTINS - TAIPAS DO TOCANTINS</t>
        </is>
      </c>
      <c r="F76" s="18" t="inlineStr">
        <is>
          <t>387ETO0072D</t>
        </is>
      </c>
      <c r="G76" s="21" t="inlineStr">
        <is>
          <t>INÍCIO DUPLICAÇÃO(PU CONCEIÇÃO DO TOCANTINS) - FIM DUPLICAÇÃO(PU CONCEIÇÃO DO TOCANTINS)</t>
        </is>
      </c>
      <c r="H76" s="18" t="inlineStr">
        <is>
          <t>PDU</t>
        </is>
      </c>
      <c r="I76" s="18" t="inlineStr">
        <is>
          <t>-47.2939953324, -12.2177500713</t>
        </is>
      </c>
      <c r="J76" s="18" t="inlineStr">
        <is>
          <t>-47.2935531583, -12.2228512414</t>
        </is>
      </c>
      <c r="K76" s="19" t="n">
        <v>0.567594513</v>
      </c>
    </row>
    <row r="77" ht="30" customHeight="1">
      <c r="A77" s="20" t="n">
        <v>13</v>
      </c>
      <c r="B77" s="21" t="inlineStr">
        <is>
          <t>DIANÓPOLIS</t>
        </is>
      </c>
      <c r="C77" s="22" t="n">
        <v>263</v>
      </c>
      <c r="D77" s="18" t="inlineStr">
        <is>
          <t>TO-387</t>
        </is>
      </c>
      <c r="E77" s="21" t="inlineStr">
        <is>
          <t>RODOVIA TO-387 - TRECHO CONCEIÇÃO DO TOCANTINS - TAIPAS DO TOCANTINS</t>
        </is>
      </c>
      <c r="F77" s="18" t="inlineStr">
        <is>
          <t>387ETO0072E</t>
        </is>
      </c>
      <c r="G77" s="21" t="inlineStr">
        <is>
          <t>INÍCIO DUPLICAÇÃO(PU CONCEIÇÃO DO TOCANTINS) - FIM DUPLICAÇÃO(PU CONCEIÇÃO DO TOCANTINS)</t>
        </is>
      </c>
      <c r="H77" s="18" t="inlineStr">
        <is>
          <t>PDU</t>
        </is>
      </c>
      <c r="I77" s="18" t="inlineStr">
        <is>
          <t>-47.2938963555, -12.217664684</t>
        </is>
      </c>
      <c r="J77" s="18" t="inlineStr">
        <is>
          <t>-47.2935531583, -12.2228512414</t>
        </is>
      </c>
      <c r="K77" s="19" t="n">
        <v>0.58074758</v>
      </c>
    </row>
    <row r="78" ht="30" customHeight="1">
      <c r="A78" s="20" t="n">
        <v>13</v>
      </c>
      <c r="B78" s="21" t="inlineStr">
        <is>
          <t>DIANÓPOLIS</t>
        </is>
      </c>
      <c r="C78" s="22" t="n">
        <v>263</v>
      </c>
      <c r="D78" s="18" t="inlineStr">
        <is>
          <t>TO-387</t>
        </is>
      </c>
      <c r="E78" s="21" t="inlineStr">
        <is>
          <t>RODOVIA TO-387 - TRECHO CONCEIÇÃO DO TOCANTINS - TAIPAS DO TOCANTINS</t>
        </is>
      </c>
      <c r="F78" s="18" t="inlineStr">
        <is>
          <t>387ETO0073</t>
        </is>
      </c>
      <c r="G78" s="21" t="inlineStr">
        <is>
          <t>FIM DUPLICAÇÃO(PU CONCEIÇÃO DO TOCANTINS) - TO-050(B)(PU CONCEIÇÃO DO TOCANTINS)</t>
        </is>
      </c>
      <c r="H78" s="18" t="inlineStr">
        <is>
          <t>PSU</t>
        </is>
      </c>
      <c r="I78" s="18" t="inlineStr">
        <is>
          <t>-47.2986520006, -12.2246780002</t>
        </is>
      </c>
      <c r="J78" s="18" t="inlineStr">
        <is>
          <t>-47.2935531583, -12.2228512414</t>
        </is>
      </c>
      <c r="K78" s="19" t="n">
        <v>0.618470991</v>
      </c>
    </row>
    <row r="79" ht="30" customHeight="1">
      <c r="A79" s="20" t="n">
        <v>13</v>
      </c>
      <c r="B79" s="21" t="inlineStr">
        <is>
          <t>DIANÓPOLIS</t>
        </is>
      </c>
      <c r="C79" s="22" t="n">
        <v>264</v>
      </c>
      <c r="D79" s="18" t="inlineStr">
        <is>
          <t>TO-387</t>
        </is>
      </c>
      <c r="E79" s="21" t="inlineStr">
        <is>
          <t>RODOVIA TO-387 - TRECHO ENTR. BR-010 - ENTR. TO-050 (CONCEIÇÃO DO TOCANTINS)</t>
        </is>
      </c>
      <c r="F79" s="18" t="inlineStr">
        <is>
          <t>387ETO0100</t>
        </is>
      </c>
      <c r="G79" s="21" t="inlineStr">
        <is>
          <t>ENTR. TO-050(A) - ENTR. BR-010</t>
        </is>
      </c>
      <c r="H79" s="18" t="inlineStr">
        <is>
          <t>LEN</t>
        </is>
      </c>
      <c r="I79" s="18" t="inlineStr">
        <is>
          <t>-47.3483059998, -12.230213</t>
        </is>
      </c>
      <c r="J79" s="18" t="inlineStr">
        <is>
          <t>-47.7131229998, -12.2766710003</t>
        </is>
      </c>
      <c r="K79" s="19" t="n">
        <v>42.42960798</v>
      </c>
    </row>
    <row r="80" ht="30" customHeight="1">
      <c r="A80" s="20" t="n">
        <v>13</v>
      </c>
      <c r="B80" s="21" t="inlineStr">
        <is>
          <t>DIANÓPOLIS</t>
        </is>
      </c>
      <c r="C80" s="22" t="n">
        <v>265</v>
      </c>
      <c r="D80" s="18" t="inlineStr">
        <is>
          <t>TO-387</t>
        </is>
      </c>
      <c r="E80" s="21" t="inlineStr">
        <is>
          <t>RODOVIA TO-387 - TRECHO ENTR. TO-040 - TAIPAS DO TOCANTINS</t>
        </is>
      </c>
      <c r="F80" s="18" t="inlineStr">
        <is>
          <t>387ETO0040</t>
        </is>
      </c>
      <c r="G80" s="21" t="inlineStr">
        <is>
          <t>ENTR. TO-040/TO-280 - INÍCIO DUPLICAÇÃO(PU TAIPAS)</t>
        </is>
      </c>
      <c r="H80" s="18" t="inlineStr">
        <is>
          <t>LEN</t>
        </is>
      </c>
      <c r="I80" s="18" t="inlineStr">
        <is>
          <t>-46.9250920003, -11.6292060007</t>
        </is>
      </c>
      <c r="J80" s="18" t="inlineStr">
        <is>
          <t>-46.9873090006, -12.1874310002</t>
        </is>
      </c>
      <c r="K80" s="19" t="n">
        <v>67.29929001000001</v>
      </c>
    </row>
    <row r="81" ht="30" customHeight="1">
      <c r="A81" s="20" t="n">
        <v>13</v>
      </c>
      <c r="B81" s="21" t="inlineStr">
        <is>
          <t>DIANÓPOLIS</t>
        </is>
      </c>
      <c r="C81" s="22" t="n">
        <v>265</v>
      </c>
      <c r="D81" s="18" t="inlineStr">
        <is>
          <t>TO-387</t>
        </is>
      </c>
      <c r="E81" s="21" t="inlineStr">
        <is>
          <t>RODOVIA TO-387 - TRECHO ENTR. TO-040 - TAIPAS DO TOCANTINS</t>
        </is>
      </c>
      <c r="F81" s="18" t="inlineStr">
        <is>
          <t>387ETO0041D</t>
        </is>
      </c>
      <c r="G81" s="21" t="inlineStr">
        <is>
          <t>INÍCIO DUPLICAÇÃO(PU TAIPAS) - ENTR. TO-485(PU TAIPAS)</t>
        </is>
      </c>
      <c r="H81" s="18" t="inlineStr">
        <is>
          <t>PDU</t>
        </is>
      </c>
      <c r="I81" s="18" t="inlineStr">
        <is>
          <t>-46.992178402, -12.1969811137</t>
        </is>
      </c>
      <c r="J81" s="18" t="inlineStr">
        <is>
          <t>-46.9873090006, -12.1874310002</t>
        </is>
      </c>
      <c r="K81" s="19" t="n">
        <v>1.570214278</v>
      </c>
    </row>
    <row r="82" ht="30" customHeight="1">
      <c r="A82" s="20" t="n">
        <v>13</v>
      </c>
      <c r="B82" s="21" t="inlineStr">
        <is>
          <t>DIANÓPOLIS</t>
        </is>
      </c>
      <c r="C82" s="22" t="n">
        <v>265</v>
      </c>
      <c r="D82" s="18" t="inlineStr">
        <is>
          <t>TO-387</t>
        </is>
      </c>
      <c r="E82" s="21" t="inlineStr">
        <is>
          <t>RODOVIA TO-387 - TRECHO ENTR. TO-040 - TAIPAS DO TOCANTINS</t>
        </is>
      </c>
      <c r="F82" s="18" t="inlineStr">
        <is>
          <t>387ETO0041E</t>
        </is>
      </c>
      <c r="G82" s="21" t="inlineStr">
        <is>
          <t>INÍCIO DUPLICAÇÃO(PU TAIPAS) - ENTR. TO-485(PU TAIPAS)</t>
        </is>
      </c>
      <c r="H82" s="18" t="inlineStr">
        <is>
          <t>PDU</t>
        </is>
      </c>
      <c r="I82" s="18" t="inlineStr">
        <is>
          <t>-46.9873090006, -12.1874310002</t>
        </is>
      </c>
      <c r="J82" s="18" t="inlineStr">
        <is>
          <t>-46.9919328765, -12.1968974821</t>
        </is>
      </c>
      <c r="K82" s="19" t="n">
        <v>1.493127722</v>
      </c>
    </row>
    <row r="83" ht="30" customHeight="1">
      <c r="A83" s="20" t="n">
        <v>13</v>
      </c>
      <c r="B83" s="21" t="inlineStr">
        <is>
          <t>DIANÓPOLIS</t>
        </is>
      </c>
      <c r="C83" s="22" t="n">
        <v>265</v>
      </c>
      <c r="D83" s="18" t="inlineStr">
        <is>
          <t>TO-387</t>
        </is>
      </c>
      <c r="E83" s="21" t="inlineStr">
        <is>
          <t>RODOVIA TO-387 - TRECHO ENTR. TO-040 - TAIPAS DO TOCANTINS</t>
        </is>
      </c>
      <c r="F83" s="18" t="inlineStr">
        <is>
          <t>387ETO0042D</t>
        </is>
      </c>
      <c r="G83" s="21" t="inlineStr">
        <is>
          <t>ENTR. TO-485(PU TAIPAS) - FIM DUPLICAÇÃO(PU TAIPAS)</t>
        </is>
      </c>
      <c r="H83" s="18" t="inlineStr">
        <is>
          <t>DUP</t>
        </is>
      </c>
      <c r="I83" s="18" t="inlineStr">
        <is>
          <t>-46.9909710004, -12.2053540003</t>
        </is>
      </c>
      <c r="J83" s="18" t="inlineStr">
        <is>
          <t>-46.9919328765, -12.1968974821</t>
        </is>
      </c>
      <c r="K83" s="19" t="n">
        <v>0.945489577</v>
      </c>
    </row>
    <row r="84" ht="30" customHeight="1">
      <c r="A84" s="20" t="n">
        <v>13</v>
      </c>
      <c r="B84" s="21" t="inlineStr">
        <is>
          <t>DIANÓPOLIS</t>
        </is>
      </c>
      <c r="C84" s="22" t="n">
        <v>265</v>
      </c>
      <c r="D84" s="18" t="inlineStr">
        <is>
          <t>TO-387</t>
        </is>
      </c>
      <c r="E84" s="21" t="inlineStr">
        <is>
          <t>RODOVIA TO-387 - TRECHO ENTR. TO-040 - TAIPAS DO TOCANTINS</t>
        </is>
      </c>
      <c r="F84" s="18" t="inlineStr">
        <is>
          <t>387ETO0042E</t>
        </is>
      </c>
      <c r="G84" s="21" t="inlineStr">
        <is>
          <t>ENTR. TO-485(PU TAIPAS) - FIM DUPLICAÇÃO(PU TAIPAS)</t>
        </is>
      </c>
      <c r="H84" s="18" t="inlineStr">
        <is>
          <t>DUP</t>
        </is>
      </c>
      <c r="I84" s="18" t="inlineStr">
        <is>
          <t>-46.992178402, -12.1969811137</t>
        </is>
      </c>
      <c r="J84" s="18" t="inlineStr">
        <is>
          <t>-46.9909710004, -12.2053540003</t>
        </is>
      </c>
      <c r="K84" s="19" t="n">
        <v>0.935896371</v>
      </c>
    </row>
    <row r="85" ht="30" customHeight="1">
      <c r="A85" s="20" t="n">
        <v>13</v>
      </c>
      <c r="B85" s="21" t="inlineStr">
        <is>
          <t>DIANÓPOLIS</t>
        </is>
      </c>
      <c r="C85" s="22" t="n">
        <v>266</v>
      </c>
      <c r="D85" s="18" t="inlineStr">
        <is>
          <t>TO-476</t>
        </is>
      </c>
      <c r="E85" s="21" t="inlineStr">
        <is>
          <t>RODOVIA TO-476 - TRECHO RIO DA CONCEIÇÃO - DIANÓPOLIS</t>
        </is>
      </c>
      <c r="F85" s="18" t="inlineStr">
        <is>
          <t>476ETO0033</t>
        </is>
      </c>
      <c r="G85" s="21" t="inlineStr">
        <is>
          <t>FIM DUPLICAÇÃO(PU RIO DA CONCEIÇÃO) - FIM PU RIO DA CONCEIÇÃO</t>
        </is>
      </c>
      <c r="H85" s="18" t="inlineStr">
        <is>
          <t>PSU</t>
        </is>
      </c>
      <c r="I85" s="18" t="inlineStr">
        <is>
          <t>-46.8795730002, -11.4049579998</t>
        </is>
      </c>
      <c r="J85" s="18" t="inlineStr">
        <is>
          <t>-46.8821305024, -11.4029554313</t>
        </is>
      </c>
      <c r="K85" s="19" t="n">
        <v>0.360222152</v>
      </c>
    </row>
    <row r="86" ht="30" customHeight="1">
      <c r="A86" s="20" t="n">
        <v>13</v>
      </c>
      <c r="B86" s="21" t="inlineStr">
        <is>
          <t>DIANÓPOLIS</t>
        </is>
      </c>
      <c r="C86" s="22" t="n">
        <v>266</v>
      </c>
      <c r="D86" s="18" t="inlineStr">
        <is>
          <t>TO-476</t>
        </is>
      </c>
      <c r="E86" s="21" t="inlineStr">
        <is>
          <t>RODOVIA TO-476 - TRECHO RIO DA CONCEIÇÃO - DIANÓPOLIS</t>
        </is>
      </c>
      <c r="F86" s="18" t="inlineStr">
        <is>
          <t>476ETO0060</t>
        </is>
      </c>
      <c r="G86" s="21" t="inlineStr">
        <is>
          <t>FIM PU RIO DA CONCEIÇÃO - POV. CATIGUEIRO</t>
        </is>
      </c>
      <c r="H86" s="18" t="inlineStr">
        <is>
          <t>PPS</t>
        </is>
      </c>
      <c r="I86" s="18" t="inlineStr">
        <is>
          <t>-46.8795730002, -11.4049579998</t>
        </is>
      </c>
      <c r="J86" s="18" t="inlineStr">
        <is>
          <t>-46.8478470003, -11.4513860005</t>
        </is>
      </c>
      <c r="K86" s="19" t="n">
        <v>6.479193666</v>
      </c>
    </row>
    <row r="87" ht="30" customHeight="1">
      <c r="A87" s="20" t="n">
        <v>13</v>
      </c>
      <c r="B87" s="21" t="inlineStr">
        <is>
          <t>DIANÓPOLIS</t>
        </is>
      </c>
      <c r="C87" s="22" t="n">
        <v>266</v>
      </c>
      <c r="D87" s="18" t="inlineStr">
        <is>
          <t>TO-476</t>
        </is>
      </c>
      <c r="E87" s="21" t="inlineStr">
        <is>
          <t>RODOVIA TO-476 - TRECHO RIO DA CONCEIÇÃO - DIANÓPOLIS</t>
        </is>
      </c>
      <c r="F87" s="18" t="inlineStr">
        <is>
          <t>476ETO0070</t>
        </is>
      </c>
      <c r="G87" s="21" t="inlineStr">
        <is>
          <t>POV. CATIGUEIRO - INÍCIO PU DIANÓPOLIS</t>
        </is>
      </c>
      <c r="H87" s="18" t="inlineStr">
        <is>
          <t>PPS</t>
        </is>
      </c>
      <c r="I87" s="18" t="inlineStr">
        <is>
          <t>-46.8478470003, -11.4513860005</t>
        </is>
      </c>
      <c r="J87" s="18" t="inlineStr">
        <is>
          <t>-46.8342980006, -11.602474</t>
        </is>
      </c>
      <c r="K87" s="19" t="n">
        <v>18.45949922</v>
      </c>
    </row>
    <row r="88" ht="30" customHeight="1">
      <c r="A88" s="20" t="n">
        <v>13</v>
      </c>
      <c r="B88" s="21" t="inlineStr">
        <is>
          <t>DIANÓPOLIS</t>
        </is>
      </c>
      <c r="C88" s="22" t="n">
        <v>266</v>
      </c>
      <c r="D88" s="18" t="inlineStr">
        <is>
          <t>TO-476</t>
        </is>
      </c>
      <c r="E88" s="21" t="inlineStr">
        <is>
          <t>RODOVIA TO-476 - TRECHO RIO DA CONCEIÇÃO - DIANÓPOLIS</t>
        </is>
      </c>
      <c r="F88" s="18" t="inlineStr">
        <is>
          <t>476ETO0072</t>
        </is>
      </c>
      <c r="G88" s="21" t="inlineStr">
        <is>
          <t>INÍCIO PU DIANÓPOLIS - ENTR. TO-040/TO-280/TO-387(PU DIANÓPOLIS)</t>
        </is>
      </c>
      <c r="H88" s="18" t="inlineStr">
        <is>
          <t>PSU</t>
        </is>
      </c>
      <c r="I88" s="18" t="inlineStr">
        <is>
          <t>-46.8342980006, -11.602474</t>
        </is>
      </c>
      <c r="J88" s="18" t="inlineStr">
        <is>
          <t>-46.8320609999, -11.6135089998</t>
        </is>
      </c>
      <c r="K88" s="19" t="n">
        <v>1.261255597</v>
      </c>
    </row>
    <row r="89" ht="30" customHeight="1">
      <c r="A89" s="20" t="n">
        <v>13</v>
      </c>
      <c r="B89" s="21" t="inlineStr">
        <is>
          <t>DIANÓPOLIS</t>
        </is>
      </c>
      <c r="C89" s="22" t="n">
        <v>267</v>
      </c>
      <c r="D89" s="18" t="inlineStr">
        <is>
          <t>TO-476</t>
        </is>
      </c>
      <c r="E89" s="21" t="inlineStr">
        <is>
          <t>RODOVIA TO-476 - TRECHO RIO DA CONCEIÇÃO - ENTR. TO-477</t>
        </is>
      </c>
      <c r="F89" s="18" t="inlineStr">
        <is>
          <t>476ETO0030</t>
        </is>
      </c>
      <c r="G89" s="21" t="inlineStr">
        <is>
          <t>ENTR. TO-477 - INÍCIO PAVIMENTAÇÃO(PU RIO DA CONCEIÇÃO)</t>
        </is>
      </c>
      <c r="H89" s="18" t="inlineStr">
        <is>
          <t>LEN</t>
        </is>
      </c>
      <c r="I89" s="18" t="inlineStr">
        <is>
          <t>-46.8903658594, -11.3943099905</t>
        </is>
      </c>
      <c r="J89" s="18" t="inlineStr">
        <is>
          <t>-46.9944990349, -11.3714580697</t>
        </is>
      </c>
      <c r="K89" s="19" t="n">
        <v>14.32758118</v>
      </c>
    </row>
    <row r="90" ht="30" customHeight="1">
      <c r="A90" s="20" t="n">
        <v>13</v>
      </c>
      <c r="B90" s="21" t="inlineStr">
        <is>
          <t>DIANÓPOLIS</t>
        </is>
      </c>
      <c r="C90" s="22" t="n">
        <v>267</v>
      </c>
      <c r="D90" s="18" t="inlineStr">
        <is>
          <t>TO-476</t>
        </is>
      </c>
      <c r="E90" s="21" t="inlineStr">
        <is>
          <t>RODOVIA TO-476 - TRECHO RIO DA CONCEIÇÃO - ENTR. TO-477</t>
        </is>
      </c>
      <c r="F90" s="18" t="inlineStr">
        <is>
          <t>476ETO0031</t>
        </is>
      </c>
      <c r="G90" s="21" t="inlineStr">
        <is>
          <t>INÍCIO PAVIMENTAÇÃO(PU RIO DA CONCEIÇÃO) - INÍCIO DUPLICAÇÃO(PU RIO DA CONCEIÇÃO)</t>
        </is>
      </c>
      <c r="H90" s="18" t="inlineStr">
        <is>
          <t>PSU</t>
        </is>
      </c>
      <c r="I90" s="18" t="inlineStr">
        <is>
          <t>-46.8903658594, -11.3943099905</t>
        </is>
      </c>
      <c r="J90" s="18" t="inlineStr">
        <is>
          <t>-46.8857567489, -11.3983736539</t>
        </is>
      </c>
      <c r="K90" s="19" t="n">
        <v>0.920995439</v>
      </c>
    </row>
    <row r="91" ht="30" customHeight="1">
      <c r="A91" s="20" t="n">
        <v>13</v>
      </c>
      <c r="B91" s="21" t="inlineStr">
        <is>
          <t>DIANÓPOLIS</t>
        </is>
      </c>
      <c r="C91" s="22" t="n">
        <v>267</v>
      </c>
      <c r="D91" s="18" t="inlineStr">
        <is>
          <t>TO-476</t>
        </is>
      </c>
      <c r="E91" s="21" t="inlineStr">
        <is>
          <t>RODOVIA TO-476 - TRECHO RIO DA CONCEIÇÃO - ENTR. TO-477</t>
        </is>
      </c>
      <c r="F91" s="18" t="inlineStr">
        <is>
          <t>476ETO0032D</t>
        </is>
      </c>
      <c r="G91" s="21" t="inlineStr">
        <is>
          <t>INÍCIO DUPLICAÇÃO(PU RIO DA CONCEIÇÃO) - FIM DUPLICAÇÃO(PU RIO DA CONCEIÇÃO)</t>
        </is>
      </c>
      <c r="H91" s="18" t="inlineStr">
        <is>
          <t>PDU</t>
        </is>
      </c>
      <c r="I91" s="18" t="inlineStr">
        <is>
          <t>-46.8821305024, -11.4029554313</t>
        </is>
      </c>
      <c r="J91" s="18" t="inlineStr">
        <is>
          <t>-46.8857567489, -11.3983736539</t>
        </is>
      </c>
      <c r="K91" s="19" t="n">
        <v>0.676946544</v>
      </c>
    </row>
    <row r="92" ht="30" customHeight="1">
      <c r="A92" s="20" t="n">
        <v>13</v>
      </c>
      <c r="B92" s="21" t="inlineStr">
        <is>
          <t>DIANÓPOLIS</t>
        </is>
      </c>
      <c r="C92" s="22" t="n">
        <v>267</v>
      </c>
      <c r="D92" s="18" t="inlineStr">
        <is>
          <t>TO-476</t>
        </is>
      </c>
      <c r="E92" s="21" t="inlineStr">
        <is>
          <t>RODOVIA TO-476 - TRECHO RIO DA CONCEIÇÃO - ENTR. TO-477</t>
        </is>
      </c>
      <c r="F92" s="18" t="inlineStr">
        <is>
          <t>476ETO0032E</t>
        </is>
      </c>
      <c r="G92" s="21" t="inlineStr">
        <is>
          <t>INÍCIO DUPLICAÇÃO(PU RIO DA CONCEIÇÃO) - FIM DUPLICAÇÃO(PU RIO DA CONCEIÇÃO)</t>
        </is>
      </c>
      <c r="H92" s="18" t="inlineStr">
        <is>
          <t>PDU</t>
        </is>
      </c>
      <c r="I92" s="18" t="inlineStr">
        <is>
          <t>-46.8857567489, -11.3983736539</t>
        </is>
      </c>
      <c r="J92" s="18" t="inlineStr">
        <is>
          <t>-46.8821305024, -11.4029554313</t>
        </is>
      </c>
      <c r="K92" s="19" t="n">
        <v>0.681111165</v>
      </c>
    </row>
    <row r="93" ht="15" customHeight="1">
      <c r="A93" s="20" t="n">
        <v>13</v>
      </c>
      <c r="B93" s="21" t="inlineStr">
        <is>
          <t>DIANÓPOLIS</t>
        </is>
      </c>
      <c r="C93" s="22" t="n">
        <v>268</v>
      </c>
      <c r="D93" s="18" t="inlineStr">
        <is>
          <t>TO-477</t>
        </is>
      </c>
      <c r="E93" s="21" t="inlineStr">
        <is>
          <t>RODOVIA TO-477 - TRECHO ALMAS - ENTR. TO-476</t>
        </is>
      </c>
      <c r="F93" s="18" t="inlineStr">
        <is>
          <t>477ETO0020</t>
        </is>
      </c>
      <c r="G93" s="21" t="inlineStr">
        <is>
          <t>ENTR. TO-476 - ENTR. TO-040/TO-280(PU ALMAS)</t>
        </is>
      </c>
      <c r="H93" s="18" t="inlineStr">
        <is>
          <t>LEN</t>
        </is>
      </c>
      <c r="I93" s="18" t="inlineStr">
        <is>
          <t>-47.1549759545, -11.5621995971</t>
        </is>
      </c>
      <c r="J93" s="18" t="inlineStr">
        <is>
          <t>-46.9944990349, -11.3714580697</t>
        </is>
      </c>
      <c r="K93" s="19" t="n">
        <v>34.70103637</v>
      </c>
    </row>
    <row r="94" ht="30" customHeight="1">
      <c r="A94" s="20" t="n">
        <v>13</v>
      </c>
      <c r="B94" s="21" t="inlineStr">
        <is>
          <t>DIANÓPOLIS</t>
        </is>
      </c>
      <c r="C94" s="22" t="n">
        <v>269</v>
      </c>
      <c r="D94" s="18" t="inlineStr">
        <is>
          <t>TO-477</t>
        </is>
      </c>
      <c r="E94" s="21" t="inlineStr">
        <is>
          <t>RODOVIA TO-477 - TRECHO ENTR. BR-010 (POVOADO BONFIM) - ALMAS</t>
        </is>
      </c>
      <c r="F94" s="18" t="inlineStr">
        <is>
          <t>477ETO0032D</t>
        </is>
      </c>
      <c r="G94" s="21" t="inlineStr">
        <is>
          <t>ENTR. TO-040/TO-280(PU ALMAS) - FIM DUPLICAÇÃO(PU ALMAS)</t>
        </is>
      </c>
      <c r="H94" s="18" t="inlineStr">
        <is>
          <t>PDU</t>
        </is>
      </c>
      <c r="I94" s="18" t="inlineStr">
        <is>
          <t>-47.1549759545, -11.5621995971</t>
        </is>
      </c>
      <c r="J94" s="18" t="inlineStr">
        <is>
          <t>-47.1770904722, -11.5793082726</t>
        </is>
      </c>
      <c r="K94" s="19" t="n">
        <v>3.533057115</v>
      </c>
    </row>
    <row r="95" ht="30" customHeight="1">
      <c r="A95" s="20" t="n">
        <v>13</v>
      </c>
      <c r="B95" s="21" t="inlineStr">
        <is>
          <t>DIANÓPOLIS</t>
        </is>
      </c>
      <c r="C95" s="22" t="n">
        <v>269</v>
      </c>
      <c r="D95" s="18" t="inlineStr">
        <is>
          <t>TO-477</t>
        </is>
      </c>
      <c r="E95" s="21" t="inlineStr">
        <is>
          <t>RODOVIA TO-477 - TRECHO ENTR. BR-010 (POVOADO BONFIM) - ALMAS</t>
        </is>
      </c>
      <c r="F95" s="18" t="inlineStr">
        <is>
          <t>477ETO0032E</t>
        </is>
      </c>
      <c r="G95" s="21" t="inlineStr">
        <is>
          <t>ENTR. TO-040/TO-280(PU ALMAS) - FIM DUPLICAÇÃO(PU ALMAS)</t>
        </is>
      </c>
      <c r="H95" s="18" t="inlineStr">
        <is>
          <t>PDU</t>
        </is>
      </c>
      <c r="I95" s="18" t="inlineStr">
        <is>
          <t>-47.1770904722, -11.5793082726</t>
        </is>
      </c>
      <c r="J95" s="18" t="inlineStr">
        <is>
          <t>-47.1548380002, -11.5624670005</t>
        </is>
      </c>
      <c r="K95" s="19" t="n">
        <v>3.501004595</v>
      </c>
    </row>
    <row r="96" ht="30" customHeight="1">
      <c r="A96" s="20" t="n">
        <v>13</v>
      </c>
      <c r="B96" s="21" t="inlineStr">
        <is>
          <t>DIANÓPOLIS</t>
        </is>
      </c>
      <c r="C96" s="22" t="n">
        <v>269</v>
      </c>
      <c r="D96" s="18" t="inlineStr">
        <is>
          <t>TO-477</t>
        </is>
      </c>
      <c r="E96" s="21" t="inlineStr">
        <is>
          <t>RODOVIA TO-477 - TRECHO ENTR. BR-010 (POVOADO BONFIM) - ALMAS</t>
        </is>
      </c>
      <c r="F96" s="18" t="inlineStr">
        <is>
          <t>477ETO0040</t>
        </is>
      </c>
      <c r="G96" s="21" t="inlineStr">
        <is>
          <t>FIM DUPLICAÇÃO(PU ALMAS) - FIM PU ALMAS</t>
        </is>
      </c>
      <c r="H96" s="18" t="inlineStr">
        <is>
          <t>PSU</t>
        </is>
      </c>
      <c r="I96" s="18" t="inlineStr">
        <is>
          <t>-47.1763570006, -11.5827890005</t>
        </is>
      </c>
      <c r="J96" s="18" t="inlineStr">
        <is>
          <t>-47.1770904722, -11.5793082726</t>
        </is>
      </c>
      <c r="K96" s="19" t="n">
        <v>0.418024558</v>
      </c>
    </row>
    <row r="97" ht="30" customHeight="1">
      <c r="A97" s="20" t="n">
        <v>13</v>
      </c>
      <c r="B97" s="21" t="inlineStr">
        <is>
          <t>DIANÓPOLIS</t>
        </is>
      </c>
      <c r="C97" s="22" t="n">
        <v>269</v>
      </c>
      <c r="D97" s="18" t="inlineStr">
        <is>
          <t>TO-477</t>
        </is>
      </c>
      <c r="E97" s="21" t="inlineStr">
        <is>
          <t>RODOVIA TO-477 - TRECHO ENTR. BR-010 (POVOADO BONFIM) - ALMAS</t>
        </is>
      </c>
      <c r="F97" s="18" t="inlineStr">
        <is>
          <t>477ETO0060</t>
        </is>
      </c>
      <c r="G97" s="21" t="inlineStr">
        <is>
          <t>FIM PU ALMAS - BARRA NOVA</t>
        </is>
      </c>
      <c r="H97" s="18" t="inlineStr">
        <is>
          <t>LEN</t>
        </is>
      </c>
      <c r="I97" s="18" t="inlineStr">
        <is>
          <t>-47.5394158805, -11.8842821326</t>
        </is>
      </c>
      <c r="J97" s="18" t="inlineStr">
        <is>
          <t>-47.1763570006, -11.5827890005</t>
        </is>
      </c>
      <c r="K97" s="19" t="n">
        <v>62.77590903</v>
      </c>
    </row>
    <row r="98" ht="30" customHeight="1">
      <c r="A98" s="20" t="n">
        <v>13</v>
      </c>
      <c r="B98" s="21" t="inlineStr">
        <is>
          <t>DIANÓPOLIS</t>
        </is>
      </c>
      <c r="C98" s="22" t="n">
        <v>269</v>
      </c>
      <c r="D98" s="18" t="inlineStr">
        <is>
          <t>TO-477</t>
        </is>
      </c>
      <c r="E98" s="21" t="inlineStr">
        <is>
          <t>RODOVIA TO-477 - TRECHO ENTR. BR-010 (POVOADO BONFIM) - ALMAS</t>
        </is>
      </c>
      <c r="F98" s="18" t="inlineStr">
        <is>
          <t>477ETO0070</t>
        </is>
      </c>
      <c r="G98" s="21" t="inlineStr">
        <is>
          <t>BARRA NOVA - ENTR. TO-050/BR-010</t>
        </is>
      </c>
      <c r="H98" s="18" t="inlineStr">
        <is>
          <t>LEN</t>
        </is>
      </c>
      <c r="I98" s="18" t="inlineStr">
        <is>
          <t>-47.5394158805, -11.8842821326</t>
        </is>
      </c>
      <c r="J98" s="18" t="inlineStr">
        <is>
          <t>-47.5983300004, -11.8552060005</t>
        </is>
      </c>
      <c r="K98" s="19" t="n">
        <v>9.917250718</v>
      </c>
    </row>
    <row r="99" ht="30" customHeight="1">
      <c r="A99" s="20" t="n">
        <v>13</v>
      </c>
      <c r="B99" s="21" t="inlineStr">
        <is>
          <t>DIANÓPOLIS</t>
        </is>
      </c>
      <c r="C99" s="22" t="n">
        <v>270</v>
      </c>
      <c r="D99" s="18" t="inlineStr">
        <is>
          <t>TO-485</t>
        </is>
      </c>
      <c r="E99" s="21" t="inlineStr">
        <is>
          <t>RODOVIA TO-485 - TRECHO TAIPAS DO TOCANTINS - ENTR. TO-110</t>
        </is>
      </c>
      <c r="F99" s="18" t="inlineStr">
        <is>
          <t>485ETO0010</t>
        </is>
      </c>
      <c r="G99" s="21" t="inlineStr">
        <is>
          <t>ENTR. TO-110 - POV. CARAÍBA</t>
        </is>
      </c>
      <c r="H99" s="18" t="inlineStr">
        <is>
          <t>LEN</t>
        </is>
      </c>
      <c r="I99" s="18" t="inlineStr">
        <is>
          <t>-46.5015940003, -12.0598360004</t>
        </is>
      </c>
      <c r="J99" s="18" t="inlineStr">
        <is>
          <t>-46.6580530001, -12.0569420001</t>
        </is>
      </c>
      <c r="K99" s="19" t="n">
        <v>21.27065518</v>
      </c>
    </row>
    <row r="100" ht="30" customHeight="1">
      <c r="A100" s="20" t="n">
        <v>13</v>
      </c>
      <c r="B100" s="21" t="inlineStr">
        <is>
          <t>DIANÓPOLIS</t>
        </is>
      </c>
      <c r="C100" s="22" t="n">
        <v>270</v>
      </c>
      <c r="D100" s="18" t="inlineStr">
        <is>
          <t>TO-485</t>
        </is>
      </c>
      <c r="E100" s="21" t="inlineStr">
        <is>
          <t>RODOVIA TO-485 - TRECHO TAIPAS DO TOCANTINS - ENTR. TO-110</t>
        </is>
      </c>
      <c r="F100" s="18" t="inlineStr">
        <is>
          <t>485ETO0020</t>
        </is>
      </c>
      <c r="G100" s="21" t="inlineStr">
        <is>
          <t>POV. CARAÍBA - POV. BURITI</t>
        </is>
      </c>
      <c r="H100" s="18" t="inlineStr">
        <is>
          <t>LEN</t>
        </is>
      </c>
      <c r="I100" s="18" t="inlineStr">
        <is>
          <t>-46.6580530001, -12.0569420001</t>
        </is>
      </c>
      <c r="J100" s="18" t="inlineStr">
        <is>
          <t>-46.6165810005, -12.1242540006</t>
        </is>
      </c>
      <c r="K100" s="19" t="n">
        <v>10.46332573</v>
      </c>
    </row>
    <row r="101" ht="30" customHeight="1">
      <c r="A101" s="20" t="n">
        <v>13</v>
      </c>
      <c r="B101" s="21" t="inlineStr">
        <is>
          <t>DIANÓPOLIS</t>
        </is>
      </c>
      <c r="C101" s="22" t="n">
        <v>270</v>
      </c>
      <c r="D101" s="18" t="inlineStr">
        <is>
          <t>TO-485</t>
        </is>
      </c>
      <c r="E101" s="21" t="inlineStr">
        <is>
          <t>RODOVIA TO-485 - TRECHO TAIPAS DO TOCANTINS - ENTR. TO-110</t>
        </is>
      </c>
      <c r="F101" s="18" t="inlineStr">
        <is>
          <t>485ETO0030</t>
        </is>
      </c>
      <c r="G101" s="21" t="inlineStr">
        <is>
          <t>POV. BURITI - ENTR. TO-487(MIMOSA DOS MARINS)</t>
        </is>
      </c>
      <c r="H101" s="18" t="inlineStr">
        <is>
          <t>LEN</t>
        </is>
      </c>
      <c r="I101" s="18" t="inlineStr">
        <is>
          <t>-46.6165810005, -12.1242540006</t>
        </is>
      </c>
      <c r="J101" s="18" t="inlineStr">
        <is>
          <t>-46.6649680007, -12.250709</t>
        </is>
      </c>
      <c r="K101" s="19" t="n">
        <v>18.07557474</v>
      </c>
    </row>
    <row r="102" ht="30" customHeight="1">
      <c r="A102" s="20" t="n">
        <v>13</v>
      </c>
      <c r="B102" s="21" t="inlineStr">
        <is>
          <t>DIANÓPOLIS</t>
        </is>
      </c>
      <c r="C102" s="22" t="n">
        <v>270</v>
      </c>
      <c r="D102" s="18" t="inlineStr">
        <is>
          <t>TO-485</t>
        </is>
      </c>
      <c r="E102" s="21" t="inlineStr">
        <is>
          <t>RODOVIA TO-485 - TRECHO TAIPAS DO TOCANTINS - ENTR. TO-110</t>
        </is>
      </c>
      <c r="F102" s="18" t="inlineStr">
        <is>
          <t>485ETO0040</t>
        </is>
      </c>
      <c r="G102" s="21" t="inlineStr">
        <is>
          <t>ENTR. TO-487(MIMOSA DOS MARINS) - LIMOEIRO</t>
        </is>
      </c>
      <c r="H102" s="18" t="inlineStr">
        <is>
          <t>LEN</t>
        </is>
      </c>
      <c r="I102" s="18" t="inlineStr">
        <is>
          <t>-46.6649680007, -12.250709</t>
        </is>
      </c>
      <c r="J102" s="18" t="inlineStr">
        <is>
          <t>-46.847801, -12.3099899998</t>
        </is>
      </c>
      <c r="K102" s="19" t="n">
        <v>23.95385513</v>
      </c>
    </row>
    <row r="103" ht="30" customHeight="1">
      <c r="A103" s="20" t="n">
        <v>13</v>
      </c>
      <c r="B103" s="21" t="inlineStr">
        <is>
          <t>DIANÓPOLIS</t>
        </is>
      </c>
      <c r="C103" s="22" t="n">
        <v>270</v>
      </c>
      <c r="D103" s="18" t="inlineStr">
        <is>
          <t>TO-485</t>
        </is>
      </c>
      <c r="E103" s="21" t="inlineStr">
        <is>
          <t>RODOVIA TO-485 - TRECHO TAIPAS DO TOCANTINS - ENTR. TO-110</t>
        </is>
      </c>
      <c r="F103" s="18" t="inlineStr">
        <is>
          <t>485ETO0050</t>
        </is>
      </c>
      <c r="G103" s="21" t="inlineStr">
        <is>
          <t>LIMOEIRO - INÍCIO PAVIMENTAÇÃO(PU TAIPAS DO TOCANTINS)</t>
        </is>
      </c>
      <c r="H103" s="18" t="inlineStr">
        <is>
          <t>LEN</t>
        </is>
      </c>
      <c r="I103" s="18" t="inlineStr">
        <is>
          <t>-46.847801, -12.3099899998</t>
        </is>
      </c>
      <c r="J103" s="18" t="inlineStr">
        <is>
          <t>-46.9884720003, -12.1981869998</t>
        </is>
      </c>
      <c r="K103" s="19" t="n">
        <v>24.22442419</v>
      </c>
    </row>
    <row r="104" ht="30" customHeight="1">
      <c r="A104" s="20" t="n">
        <v>13</v>
      </c>
      <c r="B104" s="21" t="inlineStr">
        <is>
          <t>DIANÓPOLIS</t>
        </is>
      </c>
      <c r="C104" s="22" t="n">
        <v>270</v>
      </c>
      <c r="D104" s="18" t="inlineStr">
        <is>
          <t>TO-485</t>
        </is>
      </c>
      <c r="E104" s="21" t="inlineStr">
        <is>
          <t>RODOVIA TO-485 - TRECHO TAIPAS DO TOCANTINS - ENTR. TO-110</t>
        </is>
      </c>
      <c r="F104" s="18" t="inlineStr">
        <is>
          <t>485ETO0052</t>
        </is>
      </c>
      <c r="G104" s="21" t="inlineStr">
        <is>
          <t>INÍCIO PAVIMENTAÇÃO(TAIPAS DO TOCANTINS) - ENTR. TO-387(PU TAIPAS DO TOCANTINS)</t>
        </is>
      </c>
      <c r="H104" s="18" t="inlineStr">
        <is>
          <t>PSU</t>
        </is>
      </c>
      <c r="I104" s="18" t="inlineStr">
        <is>
          <t>-46.9884720003, -12.1981869998</t>
        </is>
      </c>
      <c r="J104" s="18" t="inlineStr">
        <is>
          <t>-46.9919328765, -12.1968974821</t>
        </is>
      </c>
      <c r="K104" s="19" t="n">
        <v>0.410872139</v>
      </c>
    </row>
    <row r="105" ht="30" customHeight="1">
      <c r="A105" s="20" t="n">
        <v>13</v>
      </c>
      <c r="B105" s="21" t="inlineStr">
        <is>
          <t>DIANÓPOLIS</t>
        </is>
      </c>
      <c r="C105" s="22" t="n">
        <v>271</v>
      </c>
      <c r="D105" s="18" t="inlineStr">
        <is>
          <t>TO-487</t>
        </is>
      </c>
      <c r="E105" s="21" t="inlineStr">
        <is>
          <t>RODOVIA TO-487 - TRECHO ENTR. TO-485 (MIMOSA DOS MARINS) - ENTR. BR-242</t>
        </is>
      </c>
      <c r="F105" s="18" t="inlineStr">
        <is>
          <t>487ETO0010</t>
        </is>
      </c>
      <c r="G105" s="21" t="inlineStr">
        <is>
          <t>ENTR. TO 485(MIMOSA DOS MARINS) - ENTR. BR-242</t>
        </is>
      </c>
      <c r="H105" s="18" t="inlineStr">
        <is>
          <t>LEN</t>
        </is>
      </c>
      <c r="I105" s="18" t="inlineStr">
        <is>
          <t>-46.5432260001, -12.3764240004</t>
        </is>
      </c>
      <c r="J105" s="18" t="inlineStr">
        <is>
          <t>-46.6649680007, -12.250709</t>
        </is>
      </c>
      <c r="K105" s="19" t="n">
        <v>21.47945244</v>
      </c>
    </row>
    <row r="106" ht="30" customHeight="1">
      <c r="A106" s="20" t="n">
        <v>13</v>
      </c>
      <c r="B106" s="21" t="inlineStr">
        <is>
          <t>DIANÓPOLIS</t>
        </is>
      </c>
      <c r="C106" s="22" t="n">
        <v>272</v>
      </c>
      <c r="D106" s="18" t="inlineStr">
        <is>
          <t>TO-497</t>
        </is>
      </c>
      <c r="E106" s="21" t="inlineStr">
        <is>
          <t>RODOVIA TO-497 - TRECHO ENTR. BR-242 - ENTR. TO-296 (POVOADO JACARÉ)</t>
        </is>
      </c>
      <c r="F106" s="18" t="inlineStr">
        <is>
          <t>497ETO0010</t>
        </is>
      </c>
      <c r="G106" s="21" t="inlineStr">
        <is>
          <t>ENTR. BR-242 - MIMOSA</t>
        </is>
      </c>
      <c r="H106" s="18" t="inlineStr">
        <is>
          <t>LEN</t>
        </is>
      </c>
      <c r="I106" s="18" t="inlineStr">
        <is>
          <t>-46.4714450003, -12.4257690006</t>
        </is>
      </c>
      <c r="J106" s="18" t="inlineStr">
        <is>
          <t>-46.5693470005, -12.4692290002</t>
        </is>
      </c>
      <c r="K106" s="19" t="n">
        <v>15.88062132</v>
      </c>
    </row>
    <row r="107" ht="30" customHeight="1">
      <c r="A107" s="20" t="n">
        <v>13</v>
      </c>
      <c r="B107" s="21" t="inlineStr">
        <is>
          <t>DIANÓPOLIS</t>
        </is>
      </c>
      <c r="C107" s="22" t="n">
        <v>272</v>
      </c>
      <c r="D107" s="18" t="inlineStr">
        <is>
          <t>TO-497</t>
        </is>
      </c>
      <c r="E107" s="21" t="inlineStr">
        <is>
          <t>RODOVIA TO-497 - TRECHO ENTR. BR-242 - ENTR. TO-296 (POVOADO JACARÉ)</t>
        </is>
      </c>
      <c r="F107" s="18" t="inlineStr">
        <is>
          <t>497ETO0020</t>
        </is>
      </c>
      <c r="G107" s="21" t="inlineStr">
        <is>
          <t>MIMOSA - DEPASA</t>
        </is>
      </c>
      <c r="H107" s="18" t="inlineStr">
        <is>
          <t>LEN</t>
        </is>
      </c>
      <c r="I107" s="18" t="inlineStr">
        <is>
          <t>-46.5693470005, -12.4692290002</t>
        </is>
      </c>
      <c r="J107" s="18" t="inlineStr">
        <is>
          <t>-46.7467219999, -12.5997220006</t>
        </is>
      </c>
      <c r="K107" s="19" t="n">
        <v>27.12787693</v>
      </c>
    </row>
    <row r="108" ht="30" customHeight="1">
      <c r="A108" s="20" t="n">
        <v>13</v>
      </c>
      <c r="B108" s="21" t="inlineStr">
        <is>
          <t>DIANÓPOLIS</t>
        </is>
      </c>
      <c r="C108" s="22" t="n">
        <v>272</v>
      </c>
      <c r="D108" s="18" t="inlineStr">
        <is>
          <t>TO-497</t>
        </is>
      </c>
      <c r="E108" s="21" t="inlineStr">
        <is>
          <t>RODOVIA TO-497 - TRECHO ENTR. BR-242 - ENTR. TO-296 (POVOADO JACARÉ)</t>
        </is>
      </c>
      <c r="F108" s="18" t="inlineStr">
        <is>
          <t>497ETO0030</t>
        </is>
      </c>
      <c r="G108" s="21" t="inlineStr">
        <is>
          <t>DEPASA - POV. JACARÉ</t>
        </is>
      </c>
      <c r="H108" s="18" t="inlineStr">
        <is>
          <t>LEN</t>
        </is>
      </c>
      <c r="I108" s="18" t="inlineStr">
        <is>
          <t>-46.7467219999, -12.5997220006</t>
        </is>
      </c>
      <c r="J108" s="18" t="inlineStr">
        <is>
          <t>-46.7817580004, -12.816938</t>
        </is>
      </c>
      <c r="K108" s="19" t="n">
        <v>28.36035437</v>
      </c>
    </row>
    <row r="109" ht="30" customHeight="1">
      <c r="A109" s="20" t="n">
        <v>13</v>
      </c>
      <c r="B109" s="21" t="inlineStr">
        <is>
          <t>DIANÓPOLIS</t>
        </is>
      </c>
      <c r="C109" s="22" t="n">
        <v>272</v>
      </c>
      <c r="D109" s="18" t="inlineStr">
        <is>
          <t>TO-497</t>
        </is>
      </c>
      <c r="E109" s="21" t="inlineStr">
        <is>
          <t>RODOVIA TO-497 - TRECHO ENTR. BR-242 - ENTR. TO-296 (POVOADO JACARÉ)</t>
        </is>
      </c>
      <c r="F109" s="18" t="inlineStr">
        <is>
          <t>497ETO0050</t>
        </is>
      </c>
      <c r="G109" s="21" t="inlineStr">
        <is>
          <t>POV. JACARÉ - ENTR. TO-296</t>
        </is>
      </c>
      <c r="H109" s="18" t="inlineStr">
        <is>
          <t>LEN</t>
        </is>
      </c>
      <c r="I109" s="18" t="inlineStr">
        <is>
          <t>-46.7817580004, -12.816938</t>
        </is>
      </c>
      <c r="J109" s="18" t="inlineStr">
        <is>
          <t>-46.7895220005, -12.8475860005</t>
        </is>
      </c>
      <c r="K109" s="19" t="n">
        <v>4.178590275</v>
      </c>
    </row>
    <row r="110" ht="30.75" customHeight="1" thickBot="1">
      <c r="A110" s="23" t="n">
        <v>13</v>
      </c>
      <c r="B110" s="24" t="inlineStr">
        <is>
          <t>DIANÓPOLIS</t>
        </is>
      </c>
      <c r="C110" s="25" t="n">
        <v>273</v>
      </c>
      <c r="D110" s="26" t="inlineStr">
        <is>
          <t>TO-499</t>
        </is>
      </c>
      <c r="E110" s="24" t="inlineStr">
        <is>
          <t>RODOVIA TO-499 - TRECHO ENTR. TO-050 - DIVISA TO-GO</t>
        </is>
      </c>
      <c r="F110" s="26" t="inlineStr">
        <is>
          <t>499ETO0010</t>
        </is>
      </c>
      <c r="G110" s="24" t="inlineStr">
        <is>
          <t>ENTR. TO-050 - DIV. TO/GO</t>
        </is>
      </c>
      <c r="H110" s="26" t="inlineStr">
        <is>
          <t>LEN</t>
        </is>
      </c>
      <c r="I110" s="26" t="inlineStr">
        <is>
          <t>-46.8698620002, -13.0624039999</t>
        </is>
      </c>
      <c r="J110" s="26" t="inlineStr">
        <is>
          <t>-46.9023530003, -12.9722459999</t>
        </is>
      </c>
      <c r="K110" s="27" t="n">
        <v>11.18294063</v>
      </c>
    </row>
    <row r="111" ht="12.75" customHeight="1">
      <c r="A111" s="29" t="n"/>
      <c r="B111" s="29" t="n"/>
      <c r="C111" s="29" t="n"/>
      <c r="D111" s="29" t="n"/>
      <c r="E111" s="29" t="n"/>
      <c r="F111" s="29" t="n"/>
      <c r="G111" s="29" t="n"/>
      <c r="H111" s="29" t="n"/>
      <c r="I111" s="29" t="n"/>
      <c r="J111" s="29" t="n"/>
      <c r="K111" s="29" t="n"/>
    </row>
    <row r="112" ht="12.75" customHeight="1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</row>
    <row r="113" ht="12.75" customHeight="1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</row>
    <row r="114" ht="12.75" customHeight="1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</row>
    <row r="115" ht="12.75" customHeight="1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</row>
    <row r="116" ht="12.75" customHeight="1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</row>
    <row r="117" ht="12.75" customHeight="1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</row>
    <row r="118" ht="12.75" customHeight="1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</row>
    <row r="119" ht="12.75" customHeight="1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</row>
    <row r="120" ht="12.75" customHeight="1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</row>
    <row r="121" ht="12.75" customHeight="1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</row>
    <row r="122" ht="12.75" customHeight="1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</row>
    <row r="123" ht="12.75" customHeight="1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</row>
    <row r="124" ht="12.75" customHeight="1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</row>
    <row r="125" ht="12.75" customHeight="1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</row>
    <row r="126" ht="12.75" customHeight="1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</row>
    <row r="127" ht="12.75" customHeight="1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</row>
    <row r="128" ht="12.75" customHeight="1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</row>
    <row r="129" ht="12.75" customHeight="1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</row>
    <row r="130" ht="12.75" customHeight="1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</row>
    <row r="131" ht="12.75" customHeight="1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</row>
    <row r="132" ht="12.75" customHeight="1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</row>
    <row r="133" ht="12.75" customHeight="1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</row>
    <row r="134" ht="12.75" customHeight="1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</row>
    <row r="135" ht="12.75" customHeight="1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</row>
    <row r="136" ht="12.75" customHeight="1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</row>
    <row r="137" ht="12.75" customHeight="1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</row>
    <row r="138" ht="12.75" customHeight="1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</row>
    <row r="139" ht="12.75" customHeight="1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</row>
    <row r="140" ht="12.75" customHeight="1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</row>
    <row r="141" ht="12.75" customHeight="1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</row>
    <row r="142" ht="12.75" customHeight="1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</row>
    <row r="143" ht="12.75" customHeight="1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</row>
    <row r="144" ht="12.75" customHeight="1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</row>
    <row r="145" ht="12.75" customHeight="1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</row>
    <row r="146" ht="12.75" customHeight="1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</row>
    <row r="147" ht="12.75" customHeight="1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</row>
    <row r="148" ht="12.75" customHeight="1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</row>
    <row r="149" ht="12.75" customHeight="1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</row>
    <row r="150" ht="12.75" customHeight="1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</row>
    <row r="151" ht="12.75" customHeight="1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</row>
    <row r="152" ht="12.75" customHeight="1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</row>
    <row r="153" ht="12.75" customHeight="1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</row>
    <row r="154" ht="12.75" customHeight="1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</row>
    <row r="155" ht="12.75" customHeight="1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</row>
    <row r="156" ht="12.75" customHeight="1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</row>
    <row r="157" ht="12.75" customHeight="1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</row>
    <row r="158" ht="12.75" customHeight="1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</row>
    <row r="159" ht="12.75" customHeight="1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</row>
    <row r="160" ht="12.75" customHeight="1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</row>
    <row r="161" ht="12.75" customHeight="1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</row>
    <row r="162" ht="12.75" customHeight="1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</row>
    <row r="163" ht="12.75" customHeight="1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</row>
    <row r="164" ht="12.75" customHeight="1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</row>
    <row r="165" ht="12.75" customHeight="1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</row>
    <row r="166" ht="12.75" customHeight="1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</row>
    <row r="167" ht="12.75" customHeight="1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</row>
    <row r="168" ht="12.75" customHeight="1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</row>
    <row r="169" ht="12.75" customHeight="1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</row>
    <row r="170" ht="12.75" customHeight="1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</row>
    <row r="171" ht="12.75" customHeight="1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</row>
    <row r="172" ht="12.75" customHeight="1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</row>
    <row r="173" ht="12.75" customHeight="1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</row>
    <row r="174" ht="12.75" customHeight="1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</row>
    <row r="175" ht="12.75" customHeight="1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</row>
    <row r="176" ht="12.75" customHeight="1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</row>
    <row r="177" ht="12.75" customHeight="1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</row>
    <row r="178" ht="12.75" customHeight="1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</row>
    <row r="179" ht="12.75" customHeight="1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</row>
    <row r="180" ht="12.75" customHeight="1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</row>
    <row r="181" ht="12.75" customHeight="1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</row>
    <row r="182" ht="12.75" customHeight="1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</row>
    <row r="183" ht="12.75" customHeight="1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</row>
    <row r="184" ht="12.75" customHeight="1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</row>
    <row r="185" ht="12.75" customHeight="1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</row>
    <row r="186" ht="12.75" customHeight="1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</row>
    <row r="187" ht="12.75" customHeight="1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</row>
    <row r="188" ht="12.75" customHeight="1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</row>
    <row r="189" ht="12.75" customHeight="1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</row>
    <row r="190" ht="12.75" customHeight="1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</row>
    <row r="191" ht="12.75" customHeight="1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</row>
    <row r="192" ht="12.75" customHeight="1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</row>
    <row r="193" ht="12.75" customHeight="1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</row>
    <row r="194" ht="12.75" customHeight="1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</row>
    <row r="195" ht="12.75" customHeight="1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</row>
    <row r="196" ht="12.75" customHeight="1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</row>
    <row r="197" ht="12.75" customHeight="1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</row>
    <row r="198" ht="12.75" customHeight="1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</row>
    <row r="199" ht="12.75" customHeight="1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</row>
    <row r="200" ht="12.75" customHeight="1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</row>
    <row r="201" ht="12.75" customHeight="1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</row>
    <row r="202" ht="12.75" customHeight="1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</row>
    <row r="203" ht="12.75" customHeight="1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</row>
    <row r="204" ht="12.75" customHeight="1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</row>
    <row r="205" ht="12.75" customHeight="1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</row>
    <row r="206" ht="12.75" customHeight="1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</row>
    <row r="207" ht="12.75" customHeight="1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</row>
    <row r="208" ht="12.75" customHeight="1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</row>
    <row r="209" ht="12.75" customHeight="1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</row>
    <row r="210" ht="12.75" customHeight="1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</row>
    <row r="211" ht="12.75" customHeight="1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</row>
    <row r="212" ht="12.75" customHeight="1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</row>
    <row r="213" ht="12.75" customHeight="1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</row>
    <row r="214" ht="12.75" customHeight="1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</row>
    <row r="215" ht="12.75" customHeight="1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</row>
    <row r="216" ht="12.75" customHeight="1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</row>
    <row r="217" ht="12.75" customHeight="1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</row>
    <row r="218" ht="12.75" customHeight="1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</row>
    <row r="219" ht="12.75" customHeight="1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</row>
    <row r="220" ht="12.75" customHeight="1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</row>
    <row r="221" ht="12.75" customHeight="1">
      <c r="A221" s="28" t="n"/>
      <c r="B221" s="28" t="n"/>
      <c r="C221" s="28" t="n"/>
      <c r="D221" s="28" t="n"/>
      <c r="E221" s="28" t="n"/>
      <c r="F221" s="28" t="n"/>
      <c r="G221" s="28" t="n"/>
      <c r="H221" s="28" t="n"/>
      <c r="I221" s="28" t="n"/>
      <c r="J221" s="28" t="n"/>
      <c r="K221" s="28" t="n"/>
    </row>
    <row r="222" ht="12.75" customHeight="1">
      <c r="A222" s="28" t="n"/>
      <c r="B222" s="28" t="n"/>
      <c r="C222" s="28" t="n"/>
      <c r="D222" s="28" t="n"/>
      <c r="E222" s="28" t="n"/>
      <c r="F222" s="28" t="n"/>
      <c r="G222" s="28" t="n"/>
      <c r="H222" s="28" t="n"/>
      <c r="I222" s="28" t="n"/>
      <c r="J222" s="28" t="n"/>
      <c r="K222" s="28" t="n"/>
    </row>
    <row r="223" ht="12.75" customHeight="1">
      <c r="A223" s="28" t="n"/>
      <c r="B223" s="28" t="n"/>
      <c r="C223" s="28" t="n"/>
      <c r="D223" s="28" t="n"/>
      <c r="E223" s="28" t="n"/>
      <c r="F223" s="28" t="n"/>
      <c r="G223" s="28" t="n"/>
      <c r="H223" s="28" t="n"/>
      <c r="I223" s="28" t="n"/>
      <c r="J223" s="28" t="n"/>
      <c r="K223" s="28" t="n"/>
    </row>
    <row r="224" ht="12.75" customHeight="1">
      <c r="A224" s="28" t="n"/>
      <c r="B224" s="28" t="n"/>
      <c r="C224" s="28" t="n"/>
      <c r="D224" s="28" t="n"/>
      <c r="E224" s="28" t="n"/>
      <c r="F224" s="28" t="n"/>
      <c r="G224" s="28" t="n"/>
      <c r="H224" s="28" t="n"/>
      <c r="I224" s="28" t="n"/>
      <c r="J224" s="28" t="n"/>
      <c r="K224" s="28" t="n"/>
    </row>
    <row r="225" ht="12.75" customHeight="1">
      <c r="A225" s="28" t="n"/>
      <c r="B225" s="28" t="n"/>
      <c r="C225" s="28" t="n"/>
      <c r="D225" s="28" t="n"/>
      <c r="E225" s="28" t="n"/>
      <c r="F225" s="28" t="n"/>
      <c r="G225" s="28" t="n"/>
      <c r="H225" s="28" t="n"/>
      <c r="I225" s="28" t="n"/>
      <c r="J225" s="28" t="n"/>
      <c r="K225" s="28" t="n"/>
    </row>
    <row r="226" ht="12.75" customHeight="1">
      <c r="A226" s="28" t="n"/>
      <c r="B226" s="28" t="n"/>
      <c r="C226" s="28" t="n"/>
      <c r="D226" s="28" t="n"/>
      <c r="E226" s="28" t="n"/>
      <c r="F226" s="28" t="n"/>
      <c r="G226" s="28" t="n"/>
      <c r="H226" s="28" t="n"/>
      <c r="I226" s="28" t="n"/>
      <c r="J226" s="28" t="n"/>
      <c r="K226" s="28" t="n"/>
    </row>
    <row r="227" ht="12.75" customHeight="1">
      <c r="A227" s="28" t="n"/>
      <c r="B227" s="28" t="n"/>
      <c r="C227" s="28" t="n"/>
      <c r="D227" s="28" t="n"/>
      <c r="E227" s="28" t="n"/>
      <c r="F227" s="28" t="n"/>
      <c r="G227" s="28" t="n"/>
      <c r="H227" s="28" t="n"/>
      <c r="I227" s="28" t="n"/>
      <c r="J227" s="28" t="n"/>
      <c r="K227" s="28" t="n"/>
    </row>
    <row r="228" ht="12.75" customHeight="1">
      <c r="A228" s="28" t="n"/>
      <c r="B228" s="28" t="n"/>
      <c r="C228" s="28" t="n"/>
      <c r="D228" s="28" t="n"/>
      <c r="E228" s="28" t="n"/>
      <c r="F228" s="28" t="n"/>
      <c r="G228" s="28" t="n"/>
      <c r="H228" s="28" t="n"/>
      <c r="I228" s="28" t="n"/>
      <c r="J228" s="28" t="n"/>
      <c r="K228" s="28" t="n"/>
    </row>
    <row r="229" ht="12.75" customHeight="1">
      <c r="A229" s="28" t="n"/>
      <c r="B229" s="28" t="n"/>
      <c r="C229" s="28" t="n"/>
      <c r="D229" s="28" t="n"/>
      <c r="E229" s="28" t="n"/>
      <c r="F229" s="28" t="n"/>
      <c r="G229" s="28" t="n"/>
      <c r="H229" s="28" t="n"/>
      <c r="I229" s="28" t="n"/>
      <c r="J229" s="28" t="n"/>
      <c r="K229" s="28" t="n"/>
    </row>
    <row r="230" ht="12.75" customHeight="1">
      <c r="A230" s="28" t="n"/>
      <c r="B230" s="28" t="n"/>
      <c r="C230" s="28" t="n"/>
      <c r="D230" s="28" t="n"/>
      <c r="E230" s="28" t="n"/>
      <c r="F230" s="28" t="n"/>
      <c r="G230" s="28" t="n"/>
      <c r="H230" s="28" t="n"/>
      <c r="I230" s="28" t="n"/>
      <c r="J230" s="28" t="n"/>
      <c r="K230" s="28" t="n"/>
    </row>
    <row r="231" ht="12.75" customHeight="1">
      <c r="A231" s="28" t="n"/>
      <c r="B231" s="28" t="n"/>
      <c r="C231" s="28" t="n"/>
      <c r="D231" s="28" t="n"/>
      <c r="E231" s="28" t="n"/>
      <c r="F231" s="28" t="n"/>
      <c r="G231" s="28" t="n"/>
      <c r="H231" s="28" t="n"/>
      <c r="I231" s="28" t="n"/>
      <c r="J231" s="28" t="n"/>
      <c r="K231" s="28" t="n"/>
    </row>
    <row r="232" ht="12.75" customHeight="1">
      <c r="A232" s="28" t="n"/>
      <c r="B232" s="28" t="n"/>
      <c r="C232" s="28" t="n"/>
      <c r="D232" s="28" t="n"/>
      <c r="E232" s="28" t="n"/>
      <c r="F232" s="28" t="n"/>
      <c r="G232" s="28" t="n"/>
      <c r="H232" s="28" t="n"/>
      <c r="I232" s="28" t="n"/>
      <c r="J232" s="28" t="n"/>
      <c r="K232" s="28" t="n"/>
    </row>
    <row r="233" ht="12.75" customHeight="1">
      <c r="A233" s="28" t="n"/>
      <c r="B233" s="28" t="n"/>
      <c r="C233" s="28" t="n"/>
      <c r="D233" s="28" t="n"/>
      <c r="E233" s="28" t="n"/>
      <c r="F233" s="28" t="n"/>
      <c r="G233" s="28" t="n"/>
      <c r="H233" s="28" t="n"/>
      <c r="I233" s="28" t="n"/>
      <c r="J233" s="28" t="n"/>
      <c r="K233" s="28" t="n"/>
    </row>
    <row r="234" ht="12.75" customHeight="1">
      <c r="A234" s="28" t="n"/>
      <c r="B234" s="28" t="n"/>
      <c r="C234" s="28" t="n"/>
      <c r="D234" s="28" t="n"/>
      <c r="E234" s="28" t="n"/>
      <c r="F234" s="28" t="n"/>
      <c r="G234" s="28" t="n"/>
      <c r="H234" s="28" t="n"/>
      <c r="I234" s="28" t="n"/>
      <c r="J234" s="28" t="n"/>
      <c r="K234" s="28" t="n"/>
    </row>
    <row r="235" ht="12.75" customHeight="1">
      <c r="A235" s="28" t="n"/>
      <c r="B235" s="28" t="n"/>
      <c r="C235" s="28" t="n"/>
      <c r="D235" s="28" t="n"/>
      <c r="E235" s="28" t="n"/>
      <c r="F235" s="28" t="n"/>
      <c r="G235" s="28" t="n"/>
      <c r="H235" s="28" t="n"/>
      <c r="I235" s="28" t="n"/>
      <c r="J235" s="28" t="n"/>
      <c r="K235" s="28" t="n"/>
    </row>
    <row r="236" ht="12.75" customHeight="1">
      <c r="A236" s="28" t="n"/>
      <c r="B236" s="28" t="n"/>
      <c r="C236" s="28" t="n"/>
      <c r="D236" s="28" t="n"/>
      <c r="E236" s="28" t="n"/>
      <c r="F236" s="28" t="n"/>
      <c r="G236" s="28" t="n"/>
      <c r="H236" s="28" t="n"/>
      <c r="I236" s="28" t="n"/>
      <c r="J236" s="28" t="n"/>
      <c r="K236" s="28" t="n"/>
    </row>
    <row r="237" ht="12.75" customHeight="1">
      <c r="A237" s="28" t="n"/>
      <c r="B237" s="28" t="n"/>
      <c r="C237" s="28" t="n"/>
      <c r="D237" s="28" t="n"/>
      <c r="E237" s="28" t="n"/>
      <c r="F237" s="28" t="n"/>
      <c r="G237" s="28" t="n"/>
      <c r="H237" s="28" t="n"/>
      <c r="I237" s="28" t="n"/>
      <c r="J237" s="28" t="n"/>
      <c r="K237" s="28" t="n"/>
    </row>
    <row r="238" ht="12.75" customHeight="1">
      <c r="A238" s="28" t="n"/>
      <c r="B238" s="28" t="n"/>
      <c r="C238" s="28" t="n"/>
      <c r="D238" s="28" t="n"/>
      <c r="E238" s="28" t="n"/>
      <c r="F238" s="28" t="n"/>
      <c r="G238" s="28" t="n"/>
      <c r="H238" s="28" t="n"/>
      <c r="I238" s="28" t="n"/>
      <c r="J238" s="28" t="n"/>
      <c r="K238" s="28" t="n"/>
    </row>
    <row r="239" ht="12.75" customHeight="1">
      <c r="A239" s="28" t="n"/>
      <c r="B239" s="28" t="n"/>
      <c r="C239" s="28" t="n"/>
      <c r="D239" s="28" t="n"/>
      <c r="E239" s="28" t="n"/>
      <c r="F239" s="28" t="n"/>
      <c r="G239" s="28" t="n"/>
      <c r="H239" s="28" t="n"/>
      <c r="I239" s="28" t="n"/>
      <c r="J239" s="28" t="n"/>
      <c r="K239" s="28" t="n"/>
    </row>
    <row r="240" ht="12.75" customHeight="1">
      <c r="A240" s="28" t="n"/>
      <c r="B240" s="28" t="n"/>
      <c r="C240" s="28" t="n"/>
      <c r="D240" s="28" t="n"/>
      <c r="E240" s="28" t="n"/>
      <c r="F240" s="28" t="n"/>
      <c r="G240" s="28" t="n"/>
      <c r="H240" s="28" t="n"/>
      <c r="I240" s="28" t="n"/>
      <c r="J240" s="28" t="n"/>
      <c r="K240" s="28" t="n"/>
    </row>
    <row r="241" ht="12.75" customHeight="1">
      <c r="A241" s="28" t="n"/>
      <c r="B241" s="28" t="n"/>
      <c r="C241" s="28" t="n"/>
      <c r="D241" s="28" t="n"/>
      <c r="E241" s="28" t="n"/>
      <c r="F241" s="28" t="n"/>
      <c r="G241" s="28" t="n"/>
      <c r="H241" s="28" t="n"/>
      <c r="I241" s="28" t="n"/>
      <c r="J241" s="28" t="n"/>
      <c r="K241" s="28" t="n"/>
    </row>
    <row r="242" ht="12.75" customHeight="1">
      <c r="A242" s="28" t="n"/>
      <c r="B242" s="28" t="n"/>
      <c r="C242" s="28" t="n"/>
      <c r="D242" s="28" t="n"/>
      <c r="E242" s="28" t="n"/>
      <c r="F242" s="28" t="n"/>
      <c r="G242" s="28" t="n"/>
      <c r="H242" s="28" t="n"/>
      <c r="I242" s="28" t="n"/>
      <c r="J242" s="28" t="n"/>
      <c r="K242" s="28" t="n"/>
    </row>
    <row r="243" ht="12.75" customHeight="1">
      <c r="A243" s="28" t="n"/>
      <c r="B243" s="28" t="n"/>
      <c r="C243" s="28" t="n"/>
      <c r="D243" s="28" t="n"/>
      <c r="E243" s="28" t="n"/>
      <c r="F243" s="28" t="n"/>
      <c r="G243" s="28" t="n"/>
      <c r="H243" s="28" t="n"/>
      <c r="I243" s="28" t="n"/>
      <c r="J243" s="28" t="n"/>
      <c r="K243" s="28" t="n"/>
    </row>
    <row r="244" ht="12.75" customHeight="1">
      <c r="A244" s="28" t="n"/>
      <c r="B244" s="28" t="n"/>
      <c r="C244" s="28" t="n"/>
      <c r="D244" s="28" t="n"/>
      <c r="E244" s="28" t="n"/>
      <c r="F244" s="28" t="n"/>
      <c r="G244" s="28" t="n"/>
      <c r="H244" s="28" t="n"/>
      <c r="I244" s="28" t="n"/>
      <c r="J244" s="28" t="n"/>
      <c r="K244" s="28" t="n"/>
    </row>
    <row r="245" ht="12.75" customHeight="1">
      <c r="A245" s="28" t="n"/>
      <c r="B245" s="28" t="n"/>
      <c r="C245" s="28" t="n"/>
      <c r="D245" s="28" t="n"/>
      <c r="E245" s="28" t="n"/>
      <c r="F245" s="28" t="n"/>
      <c r="G245" s="28" t="n"/>
      <c r="H245" s="28" t="n"/>
      <c r="I245" s="28" t="n"/>
      <c r="J245" s="28" t="n"/>
      <c r="K245" s="28" t="n"/>
    </row>
    <row r="246" ht="12.75" customHeight="1">
      <c r="A246" s="28" t="n"/>
      <c r="B246" s="28" t="n"/>
      <c r="C246" s="28" t="n"/>
      <c r="D246" s="28" t="n"/>
      <c r="E246" s="28" t="n"/>
      <c r="F246" s="28" t="n"/>
      <c r="G246" s="28" t="n"/>
      <c r="H246" s="28" t="n"/>
      <c r="I246" s="28" t="n"/>
      <c r="J246" s="28" t="n"/>
      <c r="K246" s="28" t="n"/>
    </row>
    <row r="247" ht="12.75" customHeight="1">
      <c r="A247" s="28" t="n"/>
      <c r="B247" s="28" t="n"/>
      <c r="C247" s="28" t="n"/>
      <c r="D247" s="28" t="n"/>
      <c r="E247" s="28" t="n"/>
      <c r="F247" s="28" t="n"/>
      <c r="G247" s="28" t="n"/>
      <c r="H247" s="28" t="n"/>
      <c r="I247" s="28" t="n"/>
      <c r="J247" s="28" t="n"/>
      <c r="K247" s="28" t="n"/>
    </row>
    <row r="248" ht="12.75" customHeight="1">
      <c r="A248" s="28" t="n"/>
      <c r="B248" s="28" t="n"/>
      <c r="C248" s="28" t="n"/>
      <c r="D248" s="28" t="n"/>
      <c r="E248" s="28" t="n"/>
      <c r="F248" s="28" t="n"/>
      <c r="G248" s="28" t="n"/>
      <c r="H248" s="28" t="n"/>
      <c r="I248" s="28" t="n"/>
      <c r="J248" s="28" t="n"/>
      <c r="K248" s="28" t="n"/>
    </row>
    <row r="249" ht="12.75" customHeight="1">
      <c r="A249" s="28" t="n"/>
      <c r="B249" s="28" t="n"/>
      <c r="C249" s="28" t="n"/>
      <c r="D249" s="28" t="n"/>
      <c r="E249" s="28" t="n"/>
      <c r="F249" s="28" t="n"/>
      <c r="G249" s="28" t="n"/>
      <c r="H249" s="28" t="n"/>
      <c r="I249" s="28" t="n"/>
      <c r="J249" s="28" t="n"/>
      <c r="K249" s="28" t="n"/>
    </row>
    <row r="250" ht="12.75" customHeight="1">
      <c r="A250" s="28" t="n"/>
      <c r="B250" s="28" t="n"/>
      <c r="C250" s="28" t="n"/>
      <c r="D250" s="28" t="n"/>
      <c r="E250" s="28" t="n"/>
      <c r="F250" s="28" t="n"/>
      <c r="G250" s="28" t="n"/>
      <c r="H250" s="28" t="n"/>
      <c r="I250" s="28" t="n"/>
      <c r="J250" s="28" t="n"/>
      <c r="K250" s="28" t="n"/>
    </row>
    <row r="251" ht="12.75" customHeight="1">
      <c r="A251" s="28" t="n"/>
      <c r="B251" s="28" t="n"/>
      <c r="C251" s="28" t="n"/>
      <c r="D251" s="28" t="n"/>
      <c r="E251" s="28" t="n"/>
      <c r="F251" s="28" t="n"/>
      <c r="G251" s="28" t="n"/>
      <c r="H251" s="28" t="n"/>
      <c r="I251" s="28" t="n"/>
      <c r="J251" s="28" t="n"/>
      <c r="K251" s="28" t="n"/>
    </row>
    <row r="252" ht="12.75" customHeight="1">
      <c r="A252" s="28" t="n"/>
      <c r="B252" s="28" t="n"/>
      <c r="C252" s="28" t="n"/>
      <c r="D252" s="28" t="n"/>
      <c r="E252" s="28" t="n"/>
      <c r="F252" s="28" t="n"/>
      <c r="G252" s="28" t="n"/>
      <c r="H252" s="28" t="n"/>
      <c r="I252" s="28" t="n"/>
      <c r="J252" s="28" t="n"/>
      <c r="K252" s="28" t="n"/>
    </row>
    <row r="253" ht="12.75" customHeight="1">
      <c r="A253" s="28" t="n"/>
      <c r="B253" s="28" t="n"/>
      <c r="C253" s="28" t="n"/>
      <c r="D253" s="28" t="n"/>
      <c r="E253" s="28" t="n"/>
      <c r="F253" s="28" t="n"/>
      <c r="G253" s="28" t="n"/>
      <c r="H253" s="28" t="n"/>
      <c r="I253" s="28" t="n"/>
      <c r="J253" s="28" t="n"/>
      <c r="K253" s="28" t="n"/>
    </row>
    <row r="254" ht="12.75" customHeight="1">
      <c r="A254" s="28" t="n"/>
      <c r="B254" s="28" t="n"/>
      <c r="C254" s="28" t="n"/>
      <c r="D254" s="28" t="n"/>
      <c r="E254" s="28" t="n"/>
      <c r="F254" s="28" t="n"/>
      <c r="G254" s="28" t="n"/>
      <c r="H254" s="28" t="n"/>
      <c r="I254" s="28" t="n"/>
      <c r="J254" s="28" t="n"/>
      <c r="K254" s="28" t="n"/>
    </row>
    <row r="255" ht="12.75" customHeight="1">
      <c r="A255" s="28" t="n"/>
      <c r="B255" s="28" t="n"/>
      <c r="C255" s="28" t="n"/>
      <c r="D255" s="28" t="n"/>
      <c r="E255" s="28" t="n"/>
      <c r="F255" s="28" t="n"/>
      <c r="G255" s="28" t="n"/>
      <c r="H255" s="28" t="n"/>
      <c r="I255" s="28" t="n"/>
      <c r="J255" s="28" t="n"/>
      <c r="K255" s="28" t="n"/>
    </row>
    <row r="256" ht="12.75" customHeight="1">
      <c r="A256" s="28" t="n"/>
      <c r="B256" s="28" t="n"/>
      <c r="C256" s="28" t="n"/>
      <c r="D256" s="28" t="n"/>
      <c r="E256" s="28" t="n"/>
      <c r="F256" s="28" t="n"/>
      <c r="G256" s="28" t="n"/>
      <c r="H256" s="28" t="n"/>
      <c r="I256" s="28" t="n"/>
      <c r="J256" s="28" t="n"/>
      <c r="K256" s="28" t="n"/>
    </row>
    <row r="257" ht="12.75" customHeight="1">
      <c r="A257" s="28" t="n"/>
      <c r="B257" s="28" t="n"/>
      <c r="C257" s="28" t="n"/>
      <c r="D257" s="28" t="n"/>
      <c r="E257" s="28" t="n"/>
      <c r="F257" s="28" t="n"/>
      <c r="G257" s="28" t="n"/>
      <c r="H257" s="28" t="n"/>
      <c r="I257" s="28" t="n"/>
      <c r="J257" s="28" t="n"/>
      <c r="K257" s="28" t="n"/>
    </row>
    <row r="258" ht="12.75" customHeight="1">
      <c r="A258" s="28" t="n"/>
      <c r="B258" s="28" t="n"/>
      <c r="C258" s="28" t="n"/>
      <c r="D258" s="28" t="n"/>
      <c r="E258" s="28" t="n"/>
      <c r="F258" s="28" t="n"/>
      <c r="G258" s="28" t="n"/>
      <c r="H258" s="28" t="n"/>
      <c r="I258" s="28" t="n"/>
      <c r="J258" s="28" t="n"/>
      <c r="K258" s="28" t="n"/>
    </row>
    <row r="259" ht="12.75" customHeight="1">
      <c r="A259" s="28" t="n"/>
      <c r="B259" s="28" t="n"/>
      <c r="C259" s="28" t="n"/>
      <c r="D259" s="28" t="n"/>
      <c r="E259" s="28" t="n"/>
      <c r="F259" s="28" t="n"/>
      <c r="G259" s="28" t="n"/>
      <c r="H259" s="28" t="n"/>
      <c r="I259" s="28" t="n"/>
      <c r="J259" s="28" t="n"/>
      <c r="K259" s="28" t="n"/>
    </row>
    <row r="260" ht="12.75" customHeight="1">
      <c r="A260" s="28" t="n"/>
      <c r="B260" s="28" t="n"/>
      <c r="C260" s="28" t="n"/>
      <c r="D260" s="28" t="n"/>
      <c r="E260" s="28" t="n"/>
      <c r="F260" s="28" t="n"/>
      <c r="G260" s="28" t="n"/>
      <c r="H260" s="28" t="n"/>
      <c r="I260" s="28" t="n"/>
      <c r="J260" s="28" t="n"/>
      <c r="K260" s="28" t="n"/>
    </row>
    <row r="261" ht="12.75" customHeight="1">
      <c r="A261" s="28" t="n"/>
      <c r="B261" s="28" t="n"/>
      <c r="C261" s="28" t="n"/>
      <c r="D261" s="28" t="n"/>
      <c r="E261" s="28" t="n"/>
      <c r="F261" s="28" t="n"/>
      <c r="G261" s="28" t="n"/>
      <c r="H261" s="28" t="n"/>
      <c r="I261" s="28" t="n"/>
      <c r="J261" s="28" t="n"/>
      <c r="K261" s="28" t="n"/>
    </row>
    <row r="262" ht="12.75" customHeight="1">
      <c r="A262" s="28" t="n"/>
      <c r="B262" s="28" t="n"/>
      <c r="C262" s="28" t="n"/>
      <c r="D262" s="28" t="n"/>
      <c r="E262" s="28" t="n"/>
      <c r="F262" s="28" t="n"/>
      <c r="G262" s="28" t="n"/>
      <c r="H262" s="28" t="n"/>
      <c r="I262" s="28" t="n"/>
      <c r="J262" s="28" t="n"/>
      <c r="K262" s="28" t="n"/>
    </row>
    <row r="263" ht="12.75" customHeight="1">
      <c r="A263" s="28" t="n"/>
      <c r="B263" s="28" t="n"/>
      <c r="C263" s="28" t="n"/>
      <c r="D263" s="28" t="n"/>
      <c r="E263" s="28" t="n"/>
      <c r="F263" s="28" t="n"/>
      <c r="G263" s="28" t="n"/>
      <c r="H263" s="28" t="n"/>
      <c r="I263" s="28" t="n"/>
      <c r="J263" s="28" t="n"/>
      <c r="K263" s="28" t="n"/>
    </row>
    <row r="264" ht="12.75" customHeight="1">
      <c r="A264" s="28" t="n"/>
      <c r="B264" s="28" t="n"/>
      <c r="C264" s="28" t="n"/>
      <c r="D264" s="28" t="n"/>
      <c r="E264" s="28" t="n"/>
      <c r="F264" s="28" t="n"/>
      <c r="G264" s="28" t="n"/>
      <c r="H264" s="28" t="n"/>
      <c r="I264" s="28" t="n"/>
      <c r="J264" s="28" t="n"/>
      <c r="K264" s="28" t="n"/>
    </row>
    <row r="265" ht="12.75" customHeight="1">
      <c r="A265" s="28" t="n"/>
      <c r="B265" s="28" t="n"/>
      <c r="C265" s="28" t="n"/>
      <c r="D265" s="28" t="n"/>
      <c r="E265" s="28" t="n"/>
      <c r="F265" s="28" t="n"/>
      <c r="G265" s="28" t="n"/>
      <c r="H265" s="28" t="n"/>
      <c r="I265" s="28" t="n"/>
      <c r="J265" s="28" t="n"/>
      <c r="K265" s="28" t="n"/>
    </row>
    <row r="266" ht="12.75" customHeight="1">
      <c r="A266" s="28" t="n"/>
      <c r="B266" s="28" t="n"/>
      <c r="C266" s="28" t="n"/>
      <c r="D266" s="28" t="n"/>
      <c r="E266" s="28" t="n"/>
      <c r="F266" s="28" t="n"/>
      <c r="G266" s="28" t="n"/>
      <c r="H266" s="28" t="n"/>
      <c r="I266" s="28" t="n"/>
      <c r="J266" s="28" t="n"/>
      <c r="K266" s="28" t="n"/>
    </row>
    <row r="267" ht="12.75" customHeight="1">
      <c r="A267" s="28" t="n"/>
      <c r="B267" s="28" t="n"/>
      <c r="C267" s="28" t="n"/>
      <c r="D267" s="28" t="n"/>
      <c r="E267" s="28" t="n"/>
      <c r="F267" s="28" t="n"/>
      <c r="G267" s="28" t="n"/>
      <c r="H267" s="28" t="n"/>
      <c r="I267" s="28" t="n"/>
      <c r="J267" s="28" t="n"/>
      <c r="K267" s="28" t="n"/>
    </row>
    <row r="268" ht="12.75" customHeight="1">
      <c r="A268" s="28" t="n"/>
      <c r="B268" s="28" t="n"/>
      <c r="C268" s="28" t="n"/>
      <c r="D268" s="28" t="n"/>
      <c r="E268" s="28" t="n"/>
      <c r="F268" s="28" t="n"/>
      <c r="G268" s="28" t="n"/>
      <c r="H268" s="28" t="n"/>
      <c r="I268" s="28" t="n"/>
      <c r="J268" s="28" t="n"/>
      <c r="K268" s="28" t="n"/>
    </row>
    <row r="269" ht="12.75" customHeight="1">
      <c r="A269" s="28" t="n"/>
      <c r="B269" s="28" t="n"/>
      <c r="C269" s="28" t="n"/>
      <c r="D269" s="28" t="n"/>
      <c r="E269" s="28" t="n"/>
      <c r="F269" s="28" t="n"/>
      <c r="G269" s="28" t="n"/>
      <c r="H269" s="28" t="n"/>
      <c r="I269" s="28" t="n"/>
      <c r="J269" s="28" t="n"/>
      <c r="K269" s="28" t="n"/>
    </row>
    <row r="270" ht="12.75" customHeight="1">
      <c r="A270" s="28" t="n"/>
      <c r="B270" s="28" t="n"/>
      <c r="C270" s="28" t="n"/>
      <c r="D270" s="28" t="n"/>
      <c r="E270" s="28" t="n"/>
      <c r="F270" s="28" t="n"/>
      <c r="G270" s="28" t="n"/>
      <c r="H270" s="28" t="n"/>
      <c r="I270" s="28" t="n"/>
      <c r="J270" s="28" t="n"/>
      <c r="K270" s="28" t="n"/>
    </row>
    <row r="271" ht="12.75" customHeight="1">
      <c r="A271" s="28" t="n"/>
      <c r="B271" s="28" t="n"/>
      <c r="C271" s="28" t="n"/>
      <c r="D271" s="28" t="n"/>
      <c r="E271" s="28" t="n"/>
      <c r="F271" s="28" t="n"/>
      <c r="G271" s="28" t="n"/>
      <c r="H271" s="28" t="n"/>
      <c r="I271" s="28" t="n"/>
      <c r="J271" s="28" t="n"/>
      <c r="K271" s="28" t="n"/>
    </row>
    <row r="272" ht="12.75" customHeight="1">
      <c r="A272" s="28" t="n"/>
      <c r="B272" s="28" t="n"/>
      <c r="C272" s="28" t="n"/>
      <c r="D272" s="28" t="n"/>
      <c r="E272" s="28" t="n"/>
      <c r="F272" s="28" t="n"/>
      <c r="G272" s="28" t="n"/>
      <c r="H272" s="28" t="n"/>
      <c r="I272" s="28" t="n"/>
      <c r="J272" s="28" t="n"/>
      <c r="K272" s="28" t="n"/>
    </row>
    <row r="273" ht="12.75" customHeight="1">
      <c r="A273" s="28" t="n"/>
      <c r="B273" s="28" t="n"/>
      <c r="C273" s="28" t="n"/>
      <c r="D273" s="28" t="n"/>
      <c r="E273" s="28" t="n"/>
      <c r="F273" s="28" t="n"/>
      <c r="G273" s="28" t="n"/>
      <c r="H273" s="28" t="n"/>
      <c r="I273" s="28" t="n"/>
      <c r="J273" s="28" t="n"/>
      <c r="K273" s="28" t="n"/>
    </row>
    <row r="274" ht="12.75" customHeight="1">
      <c r="A274" s="28" t="n"/>
      <c r="B274" s="28" t="n"/>
      <c r="C274" s="28" t="n"/>
      <c r="D274" s="28" t="n"/>
      <c r="E274" s="28" t="n"/>
      <c r="F274" s="28" t="n"/>
      <c r="G274" s="28" t="n"/>
      <c r="H274" s="28" t="n"/>
      <c r="I274" s="28" t="n"/>
      <c r="J274" s="28" t="n"/>
      <c r="K274" s="28" t="n"/>
    </row>
    <row r="275" ht="12.75" customHeight="1">
      <c r="A275" s="28" t="n"/>
      <c r="B275" s="28" t="n"/>
      <c r="C275" s="28" t="n"/>
      <c r="D275" s="28" t="n"/>
      <c r="E275" s="28" t="n"/>
      <c r="F275" s="28" t="n"/>
      <c r="G275" s="28" t="n"/>
      <c r="H275" s="28" t="n"/>
      <c r="I275" s="28" t="n"/>
      <c r="J275" s="28" t="n"/>
      <c r="K275" s="28" t="n"/>
    </row>
    <row r="276" ht="12.75" customHeight="1">
      <c r="A276" s="28" t="n"/>
      <c r="B276" s="28" t="n"/>
      <c r="C276" s="28" t="n"/>
      <c r="D276" s="28" t="n"/>
      <c r="E276" s="28" t="n"/>
      <c r="F276" s="28" t="n"/>
      <c r="G276" s="28" t="n"/>
      <c r="H276" s="28" t="n"/>
      <c r="I276" s="28" t="n"/>
      <c r="J276" s="28" t="n"/>
      <c r="K276" s="28" t="n"/>
    </row>
    <row r="277" ht="12.75" customHeight="1">
      <c r="A277" s="28" t="n"/>
      <c r="B277" s="28" t="n"/>
      <c r="C277" s="28" t="n"/>
      <c r="D277" s="28" t="n"/>
      <c r="E277" s="28" t="n"/>
      <c r="F277" s="28" t="n"/>
      <c r="G277" s="28" t="n"/>
      <c r="H277" s="28" t="n"/>
      <c r="I277" s="28" t="n"/>
      <c r="J277" s="28" t="n"/>
      <c r="K277" s="28" t="n"/>
    </row>
    <row r="278" ht="12.75" customHeight="1">
      <c r="A278" s="28" t="n"/>
      <c r="B278" s="28" t="n"/>
      <c r="C278" s="28" t="n"/>
      <c r="D278" s="28" t="n"/>
      <c r="E278" s="28" t="n"/>
      <c r="F278" s="28" t="n"/>
      <c r="G278" s="28" t="n"/>
      <c r="H278" s="28" t="n"/>
      <c r="I278" s="28" t="n"/>
      <c r="J278" s="28" t="n"/>
      <c r="K278" s="28" t="n"/>
    </row>
    <row r="279" ht="12.75" customHeight="1">
      <c r="A279" s="28" t="n"/>
      <c r="B279" s="28" t="n"/>
      <c r="C279" s="28" t="n"/>
      <c r="D279" s="28" t="n"/>
      <c r="E279" s="28" t="n"/>
      <c r="F279" s="28" t="n"/>
      <c r="G279" s="28" t="n"/>
      <c r="H279" s="28" t="n"/>
      <c r="I279" s="28" t="n"/>
      <c r="J279" s="28" t="n"/>
      <c r="K279" s="28" t="n"/>
    </row>
    <row r="280" ht="12.75" customHeight="1">
      <c r="A280" s="28" t="n"/>
      <c r="B280" s="28" t="n"/>
      <c r="C280" s="28" t="n"/>
      <c r="D280" s="28" t="n"/>
      <c r="E280" s="28" t="n"/>
      <c r="F280" s="28" t="n"/>
      <c r="G280" s="28" t="n"/>
      <c r="H280" s="28" t="n"/>
      <c r="I280" s="28" t="n"/>
      <c r="J280" s="28" t="n"/>
      <c r="K280" s="28" t="n"/>
    </row>
    <row r="281" ht="12.75" customHeight="1">
      <c r="A281" s="28" t="n"/>
      <c r="B281" s="28" t="n"/>
      <c r="C281" s="28" t="n"/>
      <c r="D281" s="28" t="n"/>
      <c r="E281" s="28" t="n"/>
      <c r="F281" s="28" t="n"/>
      <c r="G281" s="28" t="n"/>
      <c r="H281" s="28" t="n"/>
      <c r="I281" s="28" t="n"/>
      <c r="J281" s="28" t="n"/>
      <c r="K281" s="28" t="n"/>
    </row>
    <row r="282" ht="12.75" customHeight="1">
      <c r="A282" s="28" t="n"/>
      <c r="B282" s="28" t="n"/>
      <c r="C282" s="28" t="n"/>
      <c r="D282" s="28" t="n"/>
      <c r="E282" s="28" t="n"/>
      <c r="F282" s="28" t="n"/>
      <c r="G282" s="28" t="n"/>
      <c r="H282" s="28" t="n"/>
      <c r="I282" s="28" t="n"/>
      <c r="J282" s="28" t="n"/>
      <c r="K282" s="28" t="n"/>
    </row>
    <row r="283" ht="12.75" customHeight="1">
      <c r="A283" s="28" t="n"/>
      <c r="B283" s="28" t="n"/>
      <c r="C283" s="28" t="n"/>
      <c r="D283" s="28" t="n"/>
      <c r="E283" s="28" t="n"/>
      <c r="F283" s="28" t="n"/>
      <c r="G283" s="28" t="n"/>
      <c r="H283" s="28" t="n"/>
      <c r="I283" s="28" t="n"/>
      <c r="J283" s="28" t="n"/>
      <c r="K283" s="28" t="n"/>
    </row>
    <row r="284" ht="12.75" customHeight="1">
      <c r="A284" s="28" t="n"/>
      <c r="B284" s="28" t="n"/>
      <c r="C284" s="28" t="n"/>
      <c r="D284" s="28" t="n"/>
      <c r="E284" s="28" t="n"/>
      <c r="F284" s="28" t="n"/>
      <c r="G284" s="28" t="n"/>
      <c r="H284" s="28" t="n"/>
      <c r="I284" s="28" t="n"/>
      <c r="J284" s="28" t="n"/>
      <c r="K284" s="28" t="n"/>
    </row>
    <row r="285" ht="12.75" customHeight="1">
      <c r="A285" s="28" t="n"/>
      <c r="B285" s="28" t="n"/>
      <c r="C285" s="28" t="n"/>
      <c r="D285" s="28" t="n"/>
      <c r="E285" s="28" t="n"/>
      <c r="F285" s="28" t="n"/>
      <c r="G285" s="28" t="n"/>
      <c r="H285" s="28" t="n"/>
      <c r="I285" s="28" t="n"/>
      <c r="J285" s="28" t="n"/>
      <c r="K285" s="28" t="n"/>
    </row>
    <row r="286" ht="12.75" customHeight="1">
      <c r="A286" s="28" t="n"/>
      <c r="B286" s="28" t="n"/>
      <c r="C286" s="28" t="n"/>
      <c r="D286" s="28" t="n"/>
      <c r="E286" s="28" t="n"/>
      <c r="F286" s="28" t="n"/>
      <c r="G286" s="28" t="n"/>
      <c r="H286" s="28" t="n"/>
      <c r="I286" s="28" t="n"/>
      <c r="J286" s="28" t="n"/>
      <c r="K286" s="28" t="n"/>
    </row>
    <row r="287" ht="12.75" customHeight="1">
      <c r="A287" s="28" t="n"/>
      <c r="B287" s="28" t="n"/>
      <c r="C287" s="28" t="n"/>
      <c r="D287" s="28" t="n"/>
      <c r="E287" s="28" t="n"/>
      <c r="F287" s="28" t="n"/>
      <c r="G287" s="28" t="n"/>
      <c r="H287" s="28" t="n"/>
      <c r="I287" s="28" t="n"/>
      <c r="J287" s="28" t="n"/>
      <c r="K287" s="28" t="n"/>
    </row>
    <row r="288" ht="12.75" customHeight="1">
      <c r="A288" s="28" t="n"/>
      <c r="B288" s="28" t="n"/>
      <c r="C288" s="28" t="n"/>
      <c r="D288" s="28" t="n"/>
      <c r="E288" s="28" t="n"/>
      <c r="F288" s="28" t="n"/>
      <c r="G288" s="28" t="n"/>
      <c r="H288" s="28" t="n"/>
      <c r="I288" s="28" t="n"/>
      <c r="J288" s="28" t="n"/>
      <c r="K288" s="28" t="n"/>
    </row>
    <row r="289" ht="12.75" customHeight="1">
      <c r="A289" s="28" t="n"/>
      <c r="B289" s="28" t="n"/>
      <c r="C289" s="28" t="n"/>
      <c r="D289" s="28" t="n"/>
      <c r="E289" s="28" t="n"/>
      <c r="F289" s="28" t="n"/>
      <c r="G289" s="28" t="n"/>
      <c r="H289" s="28" t="n"/>
      <c r="I289" s="28" t="n"/>
      <c r="J289" s="28" t="n"/>
      <c r="K289" s="28" t="n"/>
    </row>
    <row r="290" ht="12.75" customHeight="1">
      <c r="A290" s="28" t="n"/>
      <c r="B290" s="28" t="n"/>
      <c r="C290" s="28" t="n"/>
      <c r="D290" s="28" t="n"/>
      <c r="E290" s="28" t="n"/>
      <c r="F290" s="28" t="n"/>
      <c r="G290" s="28" t="n"/>
      <c r="H290" s="28" t="n"/>
      <c r="I290" s="28" t="n"/>
      <c r="J290" s="28" t="n"/>
      <c r="K290" s="28" t="n"/>
    </row>
    <row r="291" ht="12.75" customHeight="1">
      <c r="A291" s="28" t="n"/>
      <c r="B291" s="28" t="n"/>
      <c r="C291" s="28" t="n"/>
      <c r="D291" s="28" t="n"/>
      <c r="E291" s="28" t="n"/>
      <c r="F291" s="28" t="n"/>
      <c r="G291" s="28" t="n"/>
      <c r="H291" s="28" t="n"/>
      <c r="I291" s="28" t="n"/>
      <c r="J291" s="28" t="n"/>
      <c r="K291" s="28" t="n"/>
    </row>
    <row r="292" ht="12.75" customHeight="1">
      <c r="A292" s="28" t="n"/>
      <c r="B292" s="28" t="n"/>
      <c r="C292" s="28" t="n"/>
      <c r="D292" s="28" t="n"/>
      <c r="E292" s="28" t="n"/>
      <c r="F292" s="28" t="n"/>
      <c r="G292" s="28" t="n"/>
      <c r="H292" s="28" t="n"/>
      <c r="I292" s="28" t="n"/>
      <c r="J292" s="28" t="n"/>
      <c r="K292" s="28" t="n"/>
    </row>
    <row r="293" ht="12.75" customHeight="1">
      <c r="A293" s="28" t="n"/>
      <c r="B293" s="28" t="n"/>
      <c r="C293" s="28" t="n"/>
      <c r="D293" s="28" t="n"/>
      <c r="E293" s="28" t="n"/>
      <c r="F293" s="28" t="n"/>
      <c r="G293" s="28" t="n"/>
      <c r="H293" s="28" t="n"/>
      <c r="I293" s="28" t="n"/>
      <c r="J293" s="28" t="n"/>
      <c r="K293" s="28" t="n"/>
    </row>
    <row r="294" ht="12.75" customHeight="1">
      <c r="A294" s="28" t="n"/>
      <c r="B294" s="28" t="n"/>
      <c r="C294" s="28" t="n"/>
      <c r="D294" s="28" t="n"/>
      <c r="E294" s="28" t="n"/>
      <c r="F294" s="28" t="n"/>
      <c r="G294" s="28" t="n"/>
      <c r="H294" s="28" t="n"/>
      <c r="I294" s="28" t="n"/>
      <c r="J294" s="28" t="n"/>
      <c r="K294" s="28" t="n"/>
    </row>
    <row r="295" ht="12.75" customHeight="1">
      <c r="A295" s="28" t="n"/>
      <c r="B295" s="28" t="n"/>
      <c r="C295" s="28" t="n"/>
      <c r="D295" s="28" t="n"/>
      <c r="E295" s="28" t="n"/>
      <c r="F295" s="28" t="n"/>
      <c r="G295" s="28" t="n"/>
      <c r="H295" s="28" t="n"/>
      <c r="I295" s="28" t="n"/>
      <c r="J295" s="28" t="n"/>
      <c r="K295" s="28" t="n"/>
    </row>
    <row r="296" ht="12.75" customHeight="1">
      <c r="A296" s="28" t="n"/>
      <c r="B296" s="28" t="n"/>
      <c r="C296" s="28" t="n"/>
      <c r="D296" s="28" t="n"/>
      <c r="E296" s="28" t="n"/>
      <c r="F296" s="28" t="n"/>
      <c r="G296" s="28" t="n"/>
      <c r="H296" s="28" t="n"/>
      <c r="I296" s="28" t="n"/>
      <c r="J296" s="28" t="n"/>
      <c r="K296" s="28" t="n"/>
    </row>
    <row r="297" ht="12.75" customHeight="1">
      <c r="A297" s="28" t="n"/>
      <c r="B297" s="28" t="n"/>
      <c r="C297" s="28" t="n"/>
      <c r="D297" s="28" t="n"/>
      <c r="E297" s="28" t="n"/>
      <c r="F297" s="28" t="n"/>
      <c r="G297" s="28" t="n"/>
      <c r="H297" s="28" t="n"/>
      <c r="I297" s="28" t="n"/>
      <c r="J297" s="28" t="n"/>
      <c r="K297" s="28" t="n"/>
    </row>
    <row r="298" ht="12.75" customHeight="1">
      <c r="A298" s="28" t="n"/>
      <c r="B298" s="28" t="n"/>
      <c r="C298" s="28" t="n"/>
      <c r="D298" s="28" t="n"/>
      <c r="E298" s="28" t="n"/>
      <c r="F298" s="28" t="n"/>
      <c r="G298" s="28" t="n"/>
      <c r="H298" s="28" t="n"/>
      <c r="I298" s="28" t="n"/>
      <c r="J298" s="28" t="n"/>
      <c r="K298" s="28" t="n"/>
    </row>
    <row r="299" ht="12.75" customHeight="1">
      <c r="A299" s="28" t="n"/>
      <c r="B299" s="28" t="n"/>
      <c r="C299" s="28" t="n"/>
      <c r="D299" s="28" t="n"/>
      <c r="E299" s="28" t="n"/>
      <c r="F299" s="28" t="n"/>
      <c r="G299" s="28" t="n"/>
      <c r="H299" s="28" t="n"/>
      <c r="I299" s="28" t="n"/>
      <c r="J299" s="28" t="n"/>
      <c r="K299" s="28" t="n"/>
    </row>
    <row r="300" ht="12.75" customHeight="1">
      <c r="A300" s="28" t="n"/>
      <c r="B300" s="28" t="n"/>
      <c r="C300" s="28" t="n"/>
      <c r="D300" s="28" t="n"/>
      <c r="E300" s="28" t="n"/>
      <c r="F300" s="28" t="n"/>
      <c r="G300" s="28" t="n"/>
      <c r="H300" s="28" t="n"/>
      <c r="I300" s="28" t="n"/>
      <c r="J300" s="28" t="n"/>
      <c r="K300" s="28" t="n"/>
    </row>
    <row r="301" ht="12.75" customHeight="1">
      <c r="A301" s="28" t="n"/>
      <c r="B301" s="28" t="n"/>
      <c r="C301" s="28" t="n"/>
      <c r="D301" s="28" t="n"/>
      <c r="E301" s="28" t="n"/>
      <c r="F301" s="28" t="n"/>
      <c r="G301" s="28" t="n"/>
      <c r="H301" s="28" t="n"/>
      <c r="I301" s="28" t="n"/>
      <c r="J301" s="28" t="n"/>
      <c r="K301" s="28" t="n"/>
    </row>
    <row r="302" ht="12.75" customHeight="1">
      <c r="A302" s="28" t="n"/>
      <c r="B302" s="28" t="n"/>
      <c r="C302" s="28" t="n"/>
      <c r="D302" s="28" t="n"/>
      <c r="E302" s="28" t="n"/>
      <c r="F302" s="28" t="n"/>
      <c r="G302" s="28" t="n"/>
      <c r="H302" s="28" t="n"/>
      <c r="I302" s="28" t="n"/>
      <c r="J302" s="28" t="n"/>
      <c r="K302" s="28" t="n"/>
    </row>
    <row r="303" ht="12.75" customHeight="1">
      <c r="A303" s="28" t="n"/>
      <c r="B303" s="28" t="n"/>
      <c r="C303" s="28" t="n"/>
      <c r="D303" s="28" t="n"/>
      <c r="E303" s="28" t="n"/>
      <c r="F303" s="28" t="n"/>
      <c r="G303" s="28" t="n"/>
      <c r="H303" s="28" t="n"/>
      <c r="I303" s="28" t="n"/>
      <c r="J303" s="28" t="n"/>
      <c r="K303" s="28" t="n"/>
    </row>
    <row r="304" ht="12.75" customHeight="1">
      <c r="A304" s="28" t="n"/>
      <c r="B304" s="28" t="n"/>
      <c r="C304" s="28" t="n"/>
      <c r="D304" s="28" t="n"/>
      <c r="E304" s="28" t="n"/>
      <c r="F304" s="28" t="n"/>
      <c r="G304" s="28" t="n"/>
      <c r="H304" s="28" t="n"/>
      <c r="I304" s="28" t="n"/>
      <c r="J304" s="28" t="n"/>
      <c r="K304" s="28" t="n"/>
    </row>
    <row r="305" ht="12.75" customHeight="1">
      <c r="A305" s="28" t="n"/>
      <c r="B305" s="28" t="n"/>
      <c r="C305" s="28" t="n"/>
      <c r="D305" s="28" t="n"/>
      <c r="E305" s="28" t="n"/>
      <c r="F305" s="28" t="n"/>
      <c r="G305" s="28" t="n"/>
      <c r="H305" s="28" t="n"/>
      <c r="I305" s="28" t="n"/>
      <c r="J305" s="28" t="n"/>
      <c r="K305" s="28" t="n"/>
    </row>
    <row r="306" ht="12.75" customHeight="1">
      <c r="A306" s="28" t="n"/>
      <c r="B306" s="28" t="n"/>
      <c r="C306" s="28" t="n"/>
      <c r="D306" s="28" t="n"/>
      <c r="E306" s="28" t="n"/>
      <c r="F306" s="28" t="n"/>
      <c r="G306" s="28" t="n"/>
      <c r="H306" s="28" t="n"/>
      <c r="I306" s="28" t="n"/>
      <c r="J306" s="28" t="n"/>
      <c r="K306" s="28" t="n"/>
    </row>
    <row r="307" ht="12.75" customHeight="1">
      <c r="A307" s="28" t="n"/>
      <c r="B307" s="28" t="n"/>
      <c r="C307" s="28" t="n"/>
      <c r="D307" s="28" t="n"/>
      <c r="E307" s="28" t="n"/>
      <c r="F307" s="28" t="n"/>
      <c r="G307" s="28" t="n"/>
      <c r="H307" s="28" t="n"/>
      <c r="I307" s="28" t="n"/>
      <c r="J307" s="28" t="n"/>
      <c r="K307" s="28" t="n"/>
    </row>
    <row r="308" ht="12.75" customHeight="1">
      <c r="A308" s="28" t="n"/>
      <c r="B308" s="28" t="n"/>
      <c r="C308" s="28" t="n"/>
      <c r="D308" s="28" t="n"/>
      <c r="E308" s="28" t="n"/>
      <c r="F308" s="28" t="n"/>
      <c r="G308" s="28" t="n"/>
      <c r="H308" s="28" t="n"/>
      <c r="I308" s="28" t="n"/>
      <c r="J308" s="28" t="n"/>
      <c r="K308" s="28" t="n"/>
    </row>
    <row r="309" ht="12.75" customHeight="1">
      <c r="A309" s="28" t="n"/>
      <c r="B309" s="28" t="n"/>
      <c r="C309" s="28" t="n"/>
      <c r="D309" s="28" t="n"/>
      <c r="E309" s="28" t="n"/>
      <c r="F309" s="28" t="n"/>
      <c r="G309" s="28" t="n"/>
      <c r="H309" s="28" t="n"/>
      <c r="I309" s="28" t="n"/>
      <c r="J309" s="28" t="n"/>
      <c r="K309" s="28" t="n"/>
    </row>
    <row r="310" ht="12.75" customHeight="1">
      <c r="A310" s="28" t="n"/>
      <c r="B310" s="28" t="n"/>
      <c r="C310" s="28" t="n"/>
      <c r="D310" s="28" t="n"/>
      <c r="E310" s="28" t="n"/>
      <c r="F310" s="28" t="n"/>
      <c r="G310" s="28" t="n"/>
      <c r="H310" s="28" t="n"/>
      <c r="I310" s="28" t="n"/>
      <c r="J310" s="28" t="n"/>
      <c r="K310" s="28" t="n"/>
    </row>
    <row r="311" ht="12.75" customHeight="1">
      <c r="A311" s="28" t="n"/>
      <c r="B311" s="28" t="n"/>
      <c r="C311" s="28" t="n"/>
      <c r="D311" s="28" t="n"/>
      <c r="E311" s="28" t="n"/>
      <c r="F311" s="28" t="n"/>
      <c r="G311" s="28" t="n"/>
      <c r="H311" s="28" t="n"/>
      <c r="I311" s="28" t="n"/>
      <c r="J311" s="28" t="n"/>
      <c r="K311" s="28" t="n"/>
    </row>
    <row r="312" ht="12.75" customHeight="1">
      <c r="A312" s="28" t="n"/>
      <c r="B312" s="28" t="n"/>
      <c r="C312" s="28" t="n"/>
      <c r="D312" s="28" t="n"/>
      <c r="E312" s="28" t="n"/>
      <c r="F312" s="28" t="n"/>
      <c r="G312" s="28" t="n"/>
      <c r="H312" s="28" t="n"/>
      <c r="I312" s="28" t="n"/>
      <c r="J312" s="28" t="n"/>
      <c r="K312" s="28" t="n"/>
    </row>
    <row r="313" ht="12.75" customHeight="1">
      <c r="A313" s="28" t="n"/>
      <c r="B313" s="28" t="n"/>
      <c r="C313" s="28" t="n"/>
      <c r="D313" s="28" t="n"/>
      <c r="E313" s="28" t="n"/>
      <c r="F313" s="28" t="n"/>
      <c r="G313" s="28" t="n"/>
      <c r="H313" s="28" t="n"/>
      <c r="I313" s="28" t="n"/>
      <c r="J313" s="28" t="n"/>
      <c r="K313" s="28" t="n"/>
    </row>
    <row r="314" ht="12.75" customHeight="1">
      <c r="A314" s="28" t="n"/>
      <c r="B314" s="28" t="n"/>
      <c r="C314" s="28" t="n"/>
      <c r="D314" s="28" t="n"/>
      <c r="E314" s="28" t="n"/>
      <c r="F314" s="28" t="n"/>
      <c r="G314" s="28" t="n"/>
      <c r="H314" s="28" t="n"/>
      <c r="I314" s="28" t="n"/>
      <c r="J314" s="28" t="n"/>
      <c r="K314" s="28" t="n"/>
    </row>
    <row r="315" ht="12.75" customHeight="1">
      <c r="A315" s="28" t="n"/>
      <c r="B315" s="28" t="n"/>
      <c r="C315" s="28" t="n"/>
      <c r="D315" s="28" t="n"/>
      <c r="E315" s="28" t="n"/>
      <c r="F315" s="28" t="n"/>
      <c r="G315" s="28" t="n"/>
      <c r="H315" s="28" t="n"/>
      <c r="I315" s="28" t="n"/>
      <c r="J315" s="28" t="n"/>
      <c r="K315" s="28" t="n"/>
    </row>
    <row r="316" ht="12.75" customHeight="1">
      <c r="A316" s="28" t="n"/>
      <c r="B316" s="28" t="n"/>
      <c r="C316" s="28" t="n"/>
      <c r="D316" s="28" t="n"/>
      <c r="E316" s="28" t="n"/>
      <c r="F316" s="28" t="n"/>
      <c r="G316" s="28" t="n"/>
      <c r="H316" s="28" t="n"/>
      <c r="I316" s="28" t="n"/>
      <c r="J316" s="28" t="n"/>
      <c r="K316" s="28" t="n"/>
    </row>
    <row r="317" ht="12.75" customHeight="1">
      <c r="A317" s="28" t="n"/>
      <c r="B317" s="28" t="n"/>
      <c r="C317" s="28" t="n"/>
      <c r="D317" s="28" t="n"/>
      <c r="E317" s="28" t="n"/>
      <c r="F317" s="28" t="n"/>
      <c r="G317" s="28" t="n"/>
      <c r="H317" s="28" t="n"/>
      <c r="I317" s="28" t="n"/>
      <c r="J317" s="28" t="n"/>
      <c r="K317" s="28" t="n"/>
    </row>
    <row r="318" ht="12.75" customHeight="1">
      <c r="A318" s="28" t="n"/>
      <c r="B318" s="28" t="n"/>
      <c r="C318" s="28" t="n"/>
      <c r="D318" s="28" t="n"/>
      <c r="E318" s="28" t="n"/>
      <c r="F318" s="28" t="n"/>
      <c r="G318" s="28" t="n"/>
      <c r="H318" s="28" t="n"/>
      <c r="I318" s="28" t="n"/>
      <c r="J318" s="28" t="n"/>
      <c r="K318" s="28" t="n"/>
    </row>
    <row r="319" ht="12.75" customHeight="1">
      <c r="A319" s="28" t="n"/>
      <c r="B319" s="28" t="n"/>
      <c r="C319" s="28" t="n"/>
      <c r="D319" s="28" t="n"/>
      <c r="E319" s="28" t="n"/>
      <c r="F319" s="28" t="n"/>
      <c r="G319" s="28" t="n"/>
      <c r="H319" s="28" t="n"/>
      <c r="I319" s="28" t="n"/>
      <c r="J319" s="28" t="n"/>
      <c r="K319" s="28" t="n"/>
    </row>
    <row r="320" ht="12.75" customHeight="1">
      <c r="A320" s="28" t="n"/>
      <c r="B320" s="28" t="n"/>
      <c r="C320" s="28" t="n"/>
      <c r="D320" s="28" t="n"/>
      <c r="E320" s="28" t="n"/>
      <c r="F320" s="28" t="n"/>
      <c r="G320" s="28" t="n"/>
      <c r="H320" s="28" t="n"/>
      <c r="I320" s="28" t="n"/>
      <c r="J320" s="28" t="n"/>
      <c r="K320" s="28" t="n"/>
    </row>
    <row r="321" ht="12.75" customHeight="1">
      <c r="A321" s="28" t="n"/>
      <c r="B321" s="28" t="n"/>
      <c r="C321" s="28" t="n"/>
      <c r="D321" s="28" t="n"/>
      <c r="E321" s="28" t="n"/>
      <c r="F321" s="28" t="n"/>
      <c r="G321" s="28" t="n"/>
      <c r="H321" s="28" t="n"/>
      <c r="I321" s="28" t="n"/>
      <c r="J321" s="28" t="n"/>
      <c r="K321" s="28" t="n"/>
    </row>
    <row r="322" ht="12.75" customHeight="1">
      <c r="A322" s="28" t="n"/>
      <c r="B322" s="28" t="n"/>
      <c r="C322" s="28" t="n"/>
      <c r="D322" s="28" t="n"/>
      <c r="E322" s="28" t="n"/>
      <c r="F322" s="28" t="n"/>
      <c r="G322" s="28" t="n"/>
      <c r="H322" s="28" t="n"/>
      <c r="I322" s="28" t="n"/>
      <c r="J322" s="28" t="n"/>
      <c r="K322" s="28" t="n"/>
    </row>
    <row r="323" ht="12.75" customHeight="1">
      <c r="A323" s="28" t="n"/>
      <c r="B323" s="28" t="n"/>
      <c r="C323" s="28" t="n"/>
      <c r="D323" s="28" t="n"/>
      <c r="E323" s="28" t="n"/>
      <c r="F323" s="28" t="n"/>
      <c r="G323" s="28" t="n"/>
      <c r="H323" s="28" t="n"/>
      <c r="I323" s="28" t="n"/>
      <c r="J323" s="28" t="n"/>
      <c r="K323" s="28" t="n"/>
    </row>
    <row r="324" ht="12.75" customHeight="1">
      <c r="A324" s="28" t="n"/>
      <c r="B324" s="28" t="n"/>
      <c r="C324" s="28" t="n"/>
      <c r="D324" s="28" t="n"/>
      <c r="E324" s="28" t="n"/>
      <c r="F324" s="28" t="n"/>
      <c r="G324" s="28" t="n"/>
      <c r="H324" s="28" t="n"/>
      <c r="I324" s="28" t="n"/>
      <c r="J324" s="28" t="n"/>
      <c r="K324" s="28" t="n"/>
    </row>
    <row r="325" ht="12.75" customHeight="1">
      <c r="A325" s="28" t="n"/>
      <c r="B325" s="28" t="n"/>
      <c r="C325" s="28" t="n"/>
      <c r="D325" s="28" t="n"/>
      <c r="E325" s="28" t="n"/>
      <c r="F325" s="28" t="n"/>
      <c r="G325" s="28" t="n"/>
      <c r="H325" s="28" t="n"/>
      <c r="I325" s="28" t="n"/>
      <c r="J325" s="28" t="n"/>
      <c r="K325" s="28" t="n"/>
    </row>
    <row r="326" ht="12.75" customHeight="1">
      <c r="A326" s="28" t="n"/>
      <c r="B326" s="28" t="n"/>
      <c r="C326" s="28" t="n"/>
      <c r="D326" s="28" t="n"/>
      <c r="E326" s="28" t="n"/>
      <c r="F326" s="28" t="n"/>
      <c r="G326" s="28" t="n"/>
      <c r="H326" s="28" t="n"/>
      <c r="I326" s="28" t="n"/>
      <c r="J326" s="28" t="n"/>
      <c r="K326" s="28" t="n"/>
    </row>
    <row r="327" ht="12.75" customHeight="1">
      <c r="A327" s="28" t="n"/>
      <c r="B327" s="28" t="n"/>
      <c r="C327" s="28" t="n"/>
      <c r="D327" s="28" t="n"/>
      <c r="E327" s="28" t="n"/>
      <c r="F327" s="28" t="n"/>
      <c r="G327" s="28" t="n"/>
      <c r="H327" s="28" t="n"/>
      <c r="I327" s="28" t="n"/>
      <c r="J327" s="28" t="n"/>
      <c r="K327" s="28" t="n"/>
    </row>
    <row r="328" ht="12.75" customHeight="1">
      <c r="A328" s="28" t="n"/>
      <c r="B328" s="28" t="n"/>
      <c r="C328" s="28" t="n"/>
      <c r="D328" s="28" t="n"/>
      <c r="E328" s="28" t="n"/>
      <c r="F328" s="28" t="n"/>
      <c r="G328" s="28" t="n"/>
      <c r="H328" s="28" t="n"/>
      <c r="I328" s="28" t="n"/>
      <c r="J328" s="28" t="n"/>
      <c r="K328" s="28" t="n"/>
    </row>
    <row r="329" ht="12.75" customHeight="1">
      <c r="A329" s="28" t="n"/>
      <c r="B329" s="28" t="n"/>
      <c r="C329" s="28" t="n"/>
      <c r="D329" s="28" t="n"/>
      <c r="E329" s="28" t="n"/>
      <c r="F329" s="28" t="n"/>
      <c r="G329" s="28" t="n"/>
      <c r="H329" s="28" t="n"/>
      <c r="I329" s="28" t="n"/>
      <c r="J329" s="28" t="n"/>
      <c r="K329" s="28" t="n"/>
    </row>
    <row r="330" ht="12.75" customHeight="1">
      <c r="A330" s="28" t="n"/>
      <c r="B330" s="28" t="n"/>
      <c r="C330" s="28" t="n"/>
      <c r="D330" s="28" t="n"/>
      <c r="E330" s="28" t="n"/>
      <c r="F330" s="28" t="n"/>
      <c r="G330" s="28" t="n"/>
      <c r="H330" s="28" t="n"/>
      <c r="I330" s="28" t="n"/>
      <c r="J330" s="28" t="n"/>
      <c r="K330" s="28" t="n"/>
    </row>
    <row r="331" ht="12.75" customHeight="1">
      <c r="A331" s="28" t="n"/>
      <c r="B331" s="28" t="n"/>
      <c r="C331" s="28" t="n"/>
      <c r="D331" s="28" t="n"/>
      <c r="E331" s="28" t="n"/>
      <c r="F331" s="28" t="n"/>
      <c r="G331" s="28" t="n"/>
      <c r="H331" s="28" t="n"/>
      <c r="I331" s="28" t="n"/>
      <c r="J331" s="28" t="n"/>
      <c r="K331" s="28" t="n"/>
    </row>
    <row r="332" ht="12.75" customHeight="1">
      <c r="A332" s="28" t="n"/>
      <c r="B332" s="28" t="n"/>
      <c r="C332" s="28" t="n"/>
      <c r="D332" s="28" t="n"/>
      <c r="E332" s="28" t="n"/>
      <c r="F332" s="28" t="n"/>
      <c r="G332" s="28" t="n"/>
      <c r="H332" s="28" t="n"/>
      <c r="I332" s="28" t="n"/>
      <c r="J332" s="28" t="n"/>
      <c r="K332" s="28" t="n"/>
    </row>
    <row r="333" ht="12.75" customHeight="1">
      <c r="A333" s="28" t="n"/>
      <c r="B333" s="28" t="n"/>
      <c r="C333" s="28" t="n"/>
      <c r="D333" s="28" t="n"/>
      <c r="E333" s="28" t="n"/>
      <c r="F333" s="28" t="n"/>
      <c r="G333" s="28" t="n"/>
      <c r="H333" s="28" t="n"/>
      <c r="I333" s="28" t="n"/>
      <c r="J333" s="28" t="n"/>
      <c r="K333" s="28" t="n"/>
    </row>
    <row r="334" ht="12.75" customHeight="1">
      <c r="A334" s="28" t="n"/>
      <c r="B334" s="28" t="n"/>
      <c r="C334" s="28" t="n"/>
      <c r="D334" s="28" t="n"/>
      <c r="E334" s="28" t="n"/>
      <c r="F334" s="28" t="n"/>
      <c r="G334" s="28" t="n"/>
      <c r="H334" s="28" t="n"/>
      <c r="I334" s="28" t="n"/>
      <c r="J334" s="28" t="n"/>
      <c r="K334" s="28" t="n"/>
    </row>
    <row r="335" ht="12.75" customHeight="1">
      <c r="A335" s="28" t="n"/>
      <c r="B335" s="28" t="n"/>
      <c r="C335" s="28" t="n"/>
      <c r="D335" s="28" t="n"/>
      <c r="E335" s="28" t="n"/>
      <c r="F335" s="28" t="n"/>
      <c r="G335" s="28" t="n"/>
      <c r="H335" s="28" t="n"/>
      <c r="I335" s="28" t="n"/>
      <c r="J335" s="28" t="n"/>
      <c r="K335" s="28" t="n"/>
    </row>
    <row r="336" ht="12.75" customHeight="1">
      <c r="A336" s="28" t="n"/>
      <c r="B336" s="28" t="n"/>
      <c r="C336" s="28" t="n"/>
      <c r="D336" s="28" t="n"/>
      <c r="E336" s="28" t="n"/>
      <c r="F336" s="28" t="n"/>
      <c r="G336" s="28" t="n"/>
      <c r="H336" s="28" t="n"/>
      <c r="I336" s="28" t="n"/>
      <c r="J336" s="28" t="n"/>
      <c r="K336" s="28" t="n"/>
    </row>
    <row r="337" ht="12.75" customHeight="1">
      <c r="A337" s="28" t="n"/>
      <c r="B337" s="28" t="n"/>
      <c r="C337" s="28" t="n"/>
      <c r="D337" s="28" t="n"/>
      <c r="E337" s="28" t="n"/>
      <c r="F337" s="28" t="n"/>
      <c r="G337" s="28" t="n"/>
      <c r="H337" s="28" t="n"/>
      <c r="I337" s="28" t="n"/>
      <c r="J337" s="28" t="n"/>
      <c r="K337" s="28" t="n"/>
    </row>
    <row r="338" ht="12.75" customHeight="1">
      <c r="A338" s="28" t="n"/>
      <c r="B338" s="28" t="n"/>
      <c r="C338" s="28" t="n"/>
      <c r="D338" s="28" t="n"/>
      <c r="E338" s="28" t="n"/>
      <c r="F338" s="28" t="n"/>
      <c r="G338" s="28" t="n"/>
      <c r="H338" s="28" t="n"/>
      <c r="I338" s="28" t="n"/>
      <c r="J338" s="28" t="n"/>
      <c r="K338" s="28" t="n"/>
    </row>
    <row r="339" ht="12.75" customHeight="1">
      <c r="A339" s="28" t="n"/>
      <c r="B339" s="28" t="n"/>
      <c r="C339" s="28" t="n"/>
      <c r="D339" s="28" t="n"/>
      <c r="E339" s="28" t="n"/>
      <c r="F339" s="28" t="n"/>
      <c r="G339" s="28" t="n"/>
      <c r="H339" s="28" t="n"/>
      <c r="I339" s="28" t="n"/>
      <c r="J339" s="28" t="n"/>
      <c r="K339" s="28" t="n"/>
    </row>
    <row r="340" ht="12.75" customHeight="1">
      <c r="A340" s="28" t="n"/>
      <c r="B340" s="28" t="n"/>
      <c r="C340" s="28" t="n"/>
      <c r="D340" s="28" t="n"/>
      <c r="E340" s="28" t="n"/>
      <c r="F340" s="28" t="n"/>
      <c r="G340" s="28" t="n"/>
      <c r="H340" s="28" t="n"/>
      <c r="I340" s="28" t="n"/>
      <c r="J340" s="28" t="n"/>
      <c r="K340" s="28" t="n"/>
    </row>
    <row r="341" ht="12.75" customHeight="1">
      <c r="A341" s="28" t="n"/>
      <c r="B341" s="28" t="n"/>
      <c r="C341" s="28" t="n"/>
      <c r="D341" s="28" t="n"/>
      <c r="E341" s="28" t="n"/>
      <c r="F341" s="28" t="n"/>
      <c r="G341" s="28" t="n"/>
      <c r="H341" s="28" t="n"/>
      <c r="I341" s="28" t="n"/>
      <c r="J341" s="28" t="n"/>
      <c r="K341" s="28" t="n"/>
    </row>
    <row r="342" ht="12.75" customHeight="1">
      <c r="A342" s="28" t="n"/>
      <c r="B342" s="28" t="n"/>
      <c r="C342" s="28" t="n"/>
      <c r="D342" s="28" t="n"/>
      <c r="E342" s="28" t="n"/>
      <c r="F342" s="28" t="n"/>
      <c r="G342" s="28" t="n"/>
      <c r="H342" s="28" t="n"/>
      <c r="I342" s="28" t="n"/>
      <c r="J342" s="28" t="n"/>
      <c r="K342" s="28" t="n"/>
    </row>
    <row r="343" ht="12.75" customHeight="1">
      <c r="A343" s="28" t="n"/>
      <c r="B343" s="28" t="n"/>
      <c r="C343" s="28" t="n"/>
      <c r="D343" s="28" t="n"/>
      <c r="E343" s="28" t="n"/>
      <c r="F343" s="28" t="n"/>
      <c r="G343" s="28" t="n"/>
      <c r="H343" s="28" t="n"/>
      <c r="I343" s="28" t="n"/>
      <c r="J343" s="28" t="n"/>
      <c r="K343" s="28" t="n"/>
    </row>
    <row r="344" ht="12.75" customHeight="1">
      <c r="A344" s="28" t="n"/>
      <c r="B344" s="28" t="n"/>
      <c r="C344" s="28" t="n"/>
      <c r="D344" s="28" t="n"/>
      <c r="E344" s="28" t="n"/>
      <c r="F344" s="28" t="n"/>
      <c r="G344" s="28" t="n"/>
      <c r="H344" s="28" t="n"/>
      <c r="I344" s="28" t="n"/>
      <c r="J344" s="28" t="n"/>
      <c r="K344" s="28" t="n"/>
    </row>
    <row r="345" ht="12.75" customHeight="1">
      <c r="A345" s="28" t="n"/>
      <c r="B345" s="28" t="n"/>
      <c r="C345" s="28" t="n"/>
      <c r="D345" s="28" t="n"/>
      <c r="E345" s="28" t="n"/>
      <c r="F345" s="28" t="n"/>
      <c r="G345" s="28" t="n"/>
      <c r="H345" s="28" t="n"/>
      <c r="I345" s="28" t="n"/>
      <c r="J345" s="28" t="n"/>
      <c r="K345" s="28" t="n"/>
    </row>
    <row r="346" ht="12.75" customHeight="1">
      <c r="A346" s="28" t="n"/>
      <c r="B346" s="28" t="n"/>
      <c r="C346" s="28" t="n"/>
      <c r="D346" s="28" t="n"/>
      <c r="E346" s="28" t="n"/>
      <c r="F346" s="28" t="n"/>
      <c r="G346" s="28" t="n"/>
      <c r="H346" s="28" t="n"/>
      <c r="I346" s="28" t="n"/>
      <c r="J346" s="28" t="n"/>
      <c r="K346" s="28" t="n"/>
    </row>
    <row r="347" ht="12.75" customHeight="1">
      <c r="A347" s="28" t="n"/>
      <c r="B347" s="28" t="n"/>
      <c r="C347" s="28" t="n"/>
      <c r="D347" s="28" t="n"/>
      <c r="E347" s="28" t="n"/>
      <c r="F347" s="28" t="n"/>
      <c r="G347" s="28" t="n"/>
      <c r="H347" s="28" t="n"/>
      <c r="I347" s="28" t="n"/>
      <c r="J347" s="28" t="n"/>
      <c r="K347" s="28" t="n"/>
    </row>
    <row r="348" ht="12.75" customHeight="1">
      <c r="A348" s="28" t="n"/>
      <c r="B348" s="28" t="n"/>
      <c r="C348" s="28" t="n"/>
      <c r="D348" s="28" t="n"/>
      <c r="E348" s="28" t="n"/>
      <c r="F348" s="28" t="n"/>
      <c r="G348" s="28" t="n"/>
      <c r="H348" s="28" t="n"/>
      <c r="I348" s="28" t="n"/>
      <c r="J348" s="28" t="n"/>
      <c r="K348" s="28" t="n"/>
    </row>
    <row r="349" ht="12.75" customHeight="1">
      <c r="A349" s="28" t="n"/>
      <c r="B349" s="28" t="n"/>
      <c r="C349" s="28" t="n"/>
      <c r="D349" s="28" t="n"/>
      <c r="E349" s="28" t="n"/>
      <c r="F349" s="28" t="n"/>
      <c r="G349" s="28" t="n"/>
      <c r="H349" s="28" t="n"/>
      <c r="I349" s="28" t="n"/>
      <c r="J349" s="28" t="n"/>
      <c r="K349" s="28" t="n"/>
    </row>
    <row r="350" ht="12.75" customHeight="1">
      <c r="A350" s="28" t="n"/>
      <c r="B350" s="28" t="n"/>
      <c r="C350" s="28" t="n"/>
      <c r="D350" s="28" t="n"/>
      <c r="E350" s="28" t="n"/>
      <c r="F350" s="28" t="n"/>
      <c r="G350" s="28" t="n"/>
      <c r="H350" s="28" t="n"/>
      <c r="I350" s="28" t="n"/>
      <c r="J350" s="28" t="n"/>
      <c r="K350" s="28" t="n"/>
    </row>
    <row r="351" ht="12.75" customHeight="1">
      <c r="A351" s="28" t="n"/>
      <c r="B351" s="28" t="n"/>
      <c r="C351" s="28" t="n"/>
      <c r="D351" s="28" t="n"/>
      <c r="E351" s="28" t="n"/>
      <c r="F351" s="28" t="n"/>
      <c r="G351" s="28" t="n"/>
      <c r="H351" s="28" t="n"/>
      <c r="I351" s="28" t="n"/>
      <c r="J351" s="28" t="n"/>
      <c r="K351" s="28" t="n"/>
    </row>
    <row r="352" ht="12.75" customHeight="1">
      <c r="A352" s="28" t="n"/>
      <c r="B352" s="28" t="n"/>
      <c r="C352" s="28" t="n"/>
      <c r="D352" s="28" t="n"/>
      <c r="E352" s="28" t="n"/>
      <c r="F352" s="28" t="n"/>
      <c r="G352" s="28" t="n"/>
      <c r="H352" s="28" t="n"/>
      <c r="I352" s="28" t="n"/>
      <c r="J352" s="28" t="n"/>
      <c r="K352" s="28" t="n"/>
    </row>
    <row r="353" ht="12.75" customHeight="1">
      <c r="A353" s="28" t="n"/>
      <c r="B353" s="28" t="n"/>
      <c r="C353" s="28" t="n"/>
      <c r="D353" s="28" t="n"/>
      <c r="E353" s="28" t="n"/>
      <c r="F353" s="28" t="n"/>
      <c r="G353" s="28" t="n"/>
      <c r="H353" s="28" t="n"/>
      <c r="I353" s="28" t="n"/>
      <c r="J353" s="28" t="n"/>
      <c r="K353" s="28" t="n"/>
    </row>
    <row r="354" ht="12.75" customHeight="1">
      <c r="A354" s="28" t="n"/>
      <c r="B354" s="28" t="n"/>
      <c r="C354" s="28" t="n"/>
      <c r="D354" s="28" t="n"/>
      <c r="E354" s="28" t="n"/>
      <c r="F354" s="28" t="n"/>
      <c r="G354" s="28" t="n"/>
      <c r="H354" s="28" t="n"/>
      <c r="I354" s="28" t="n"/>
      <c r="J354" s="28" t="n"/>
      <c r="K354" s="28" t="n"/>
    </row>
    <row r="355" ht="12.75" customHeight="1">
      <c r="A355" s="28" t="n"/>
      <c r="B355" s="28" t="n"/>
      <c r="C355" s="28" t="n"/>
      <c r="D355" s="28" t="n"/>
      <c r="E355" s="28" t="n"/>
      <c r="F355" s="28" t="n"/>
      <c r="G355" s="28" t="n"/>
      <c r="H355" s="28" t="n"/>
      <c r="I355" s="28" t="n"/>
      <c r="J355" s="28" t="n"/>
      <c r="K355" s="28" t="n"/>
    </row>
    <row r="356" ht="12.75" customHeight="1">
      <c r="A356" s="28" t="n"/>
      <c r="B356" s="28" t="n"/>
      <c r="C356" s="28" t="n"/>
      <c r="D356" s="28" t="n"/>
      <c r="E356" s="28" t="n"/>
      <c r="F356" s="28" t="n"/>
      <c r="G356" s="28" t="n"/>
      <c r="H356" s="28" t="n"/>
      <c r="I356" s="28" t="n"/>
      <c r="J356" s="28" t="n"/>
      <c r="K356" s="28" t="n"/>
    </row>
    <row r="357" ht="12.75" customHeight="1">
      <c r="A357" s="28" t="n"/>
      <c r="B357" s="28" t="n"/>
      <c r="C357" s="28" t="n"/>
      <c r="D357" s="28" t="n"/>
      <c r="E357" s="28" t="n"/>
      <c r="F357" s="28" t="n"/>
      <c r="G357" s="28" t="n"/>
      <c r="H357" s="28" t="n"/>
      <c r="I357" s="28" t="n"/>
      <c r="J357" s="28" t="n"/>
      <c r="K357" s="28" t="n"/>
    </row>
    <row r="358" ht="12.75" customHeight="1">
      <c r="A358" s="28" t="n"/>
      <c r="B358" s="28" t="n"/>
      <c r="C358" s="28" t="n"/>
      <c r="D358" s="28" t="n"/>
      <c r="E358" s="28" t="n"/>
      <c r="F358" s="28" t="n"/>
      <c r="G358" s="28" t="n"/>
      <c r="H358" s="28" t="n"/>
      <c r="I358" s="28" t="n"/>
      <c r="J358" s="28" t="n"/>
      <c r="K358" s="28" t="n"/>
    </row>
    <row r="359" ht="12.75" customHeight="1">
      <c r="A359" s="28" t="n"/>
      <c r="B359" s="28" t="n"/>
      <c r="C359" s="28" t="n"/>
      <c r="D359" s="28" t="n"/>
      <c r="E359" s="28" t="n"/>
      <c r="F359" s="28" t="n"/>
      <c r="G359" s="28" t="n"/>
      <c r="H359" s="28" t="n"/>
      <c r="I359" s="28" t="n"/>
      <c r="J359" s="28" t="n"/>
      <c r="K359" s="28" t="n"/>
    </row>
    <row r="360" ht="12.75" customHeight="1">
      <c r="A360" s="28" t="n"/>
      <c r="B360" s="28" t="n"/>
      <c r="C360" s="28" t="n"/>
      <c r="D360" s="28" t="n"/>
      <c r="E360" s="28" t="n"/>
      <c r="F360" s="28" t="n"/>
      <c r="G360" s="28" t="n"/>
      <c r="H360" s="28" t="n"/>
      <c r="I360" s="28" t="n"/>
      <c r="J360" s="28" t="n"/>
      <c r="K360" s="28" t="n"/>
    </row>
    <row r="361" ht="12.75" customHeight="1">
      <c r="A361" s="28" t="n"/>
      <c r="B361" s="28" t="n"/>
      <c r="C361" s="28" t="n"/>
      <c r="D361" s="28" t="n"/>
      <c r="E361" s="28" t="n"/>
      <c r="F361" s="28" t="n"/>
      <c r="G361" s="28" t="n"/>
      <c r="H361" s="28" t="n"/>
      <c r="I361" s="28" t="n"/>
      <c r="J361" s="28" t="n"/>
      <c r="K361" s="28" t="n"/>
    </row>
    <row r="362" ht="12.75" customHeight="1">
      <c r="A362" s="28" t="n"/>
      <c r="B362" s="28" t="n"/>
      <c r="C362" s="28" t="n"/>
      <c r="D362" s="28" t="n"/>
      <c r="E362" s="28" t="n"/>
      <c r="F362" s="28" t="n"/>
      <c r="G362" s="28" t="n"/>
      <c r="H362" s="28" t="n"/>
      <c r="I362" s="28" t="n"/>
      <c r="J362" s="28" t="n"/>
      <c r="K362" s="28" t="n"/>
    </row>
    <row r="363" ht="12.75" customHeight="1">
      <c r="A363" s="28" t="n"/>
      <c r="B363" s="28" t="n"/>
      <c r="C363" s="28" t="n"/>
      <c r="D363" s="28" t="n"/>
      <c r="E363" s="28" t="n"/>
      <c r="F363" s="28" t="n"/>
      <c r="G363" s="28" t="n"/>
      <c r="H363" s="28" t="n"/>
      <c r="I363" s="28" t="n"/>
      <c r="J363" s="28" t="n"/>
      <c r="K363" s="28" t="n"/>
    </row>
    <row r="364" ht="12.75" customHeight="1">
      <c r="A364" s="28" t="n"/>
      <c r="B364" s="28" t="n"/>
      <c r="C364" s="28" t="n"/>
      <c r="D364" s="28" t="n"/>
      <c r="E364" s="28" t="n"/>
      <c r="F364" s="28" t="n"/>
      <c r="G364" s="28" t="n"/>
      <c r="H364" s="28" t="n"/>
      <c r="I364" s="28" t="n"/>
      <c r="J364" s="28" t="n"/>
      <c r="K364" s="28" t="n"/>
    </row>
    <row r="365" ht="12.75" customHeight="1">
      <c r="A365" s="28" t="n"/>
      <c r="B365" s="28" t="n"/>
      <c r="C365" s="28" t="n"/>
      <c r="D365" s="28" t="n"/>
      <c r="E365" s="28" t="n"/>
      <c r="F365" s="28" t="n"/>
      <c r="G365" s="28" t="n"/>
      <c r="H365" s="28" t="n"/>
      <c r="I365" s="28" t="n"/>
      <c r="J365" s="28" t="n"/>
      <c r="K365" s="28" t="n"/>
    </row>
    <row r="366" ht="12.75" customHeight="1">
      <c r="A366" s="28" t="n"/>
      <c r="B366" s="28" t="n"/>
      <c r="C366" s="28" t="n"/>
      <c r="D366" s="28" t="n"/>
      <c r="E366" s="28" t="n"/>
      <c r="F366" s="28" t="n"/>
      <c r="G366" s="28" t="n"/>
      <c r="H366" s="28" t="n"/>
      <c r="I366" s="28" t="n"/>
      <c r="J366" s="28" t="n"/>
      <c r="K366" s="28" t="n"/>
    </row>
    <row r="367" ht="12.75" customHeight="1">
      <c r="A367" s="28" t="n"/>
      <c r="B367" s="28" t="n"/>
      <c r="C367" s="28" t="n"/>
      <c r="D367" s="28" t="n"/>
      <c r="E367" s="28" t="n"/>
      <c r="F367" s="28" t="n"/>
      <c r="G367" s="28" t="n"/>
      <c r="H367" s="28" t="n"/>
      <c r="I367" s="28" t="n"/>
      <c r="J367" s="28" t="n"/>
      <c r="K367" s="28" t="n"/>
    </row>
    <row r="368" ht="12.75" customHeight="1">
      <c r="A368" s="28" t="n"/>
      <c r="B368" s="28" t="n"/>
      <c r="C368" s="28" t="n"/>
      <c r="D368" s="28" t="n"/>
      <c r="E368" s="28" t="n"/>
      <c r="F368" s="28" t="n"/>
      <c r="G368" s="28" t="n"/>
      <c r="H368" s="28" t="n"/>
      <c r="I368" s="28" t="n"/>
      <c r="J368" s="28" t="n"/>
      <c r="K368" s="28" t="n"/>
    </row>
    <row r="369" ht="12.75" customHeight="1">
      <c r="A369" s="28" t="n"/>
      <c r="B369" s="28" t="n"/>
      <c r="C369" s="28" t="n"/>
      <c r="D369" s="28" t="n"/>
      <c r="E369" s="28" t="n"/>
      <c r="F369" s="28" t="n"/>
      <c r="G369" s="28" t="n"/>
      <c r="H369" s="28" t="n"/>
      <c r="I369" s="28" t="n"/>
      <c r="J369" s="28" t="n"/>
      <c r="K369" s="28" t="n"/>
    </row>
    <row r="370" ht="12.75" customHeight="1">
      <c r="A370" s="28" t="n"/>
      <c r="B370" s="28" t="n"/>
      <c r="C370" s="28" t="n"/>
      <c r="D370" s="28" t="n"/>
      <c r="E370" s="28" t="n"/>
      <c r="F370" s="28" t="n"/>
      <c r="G370" s="28" t="n"/>
      <c r="H370" s="28" t="n"/>
      <c r="I370" s="28" t="n"/>
      <c r="J370" s="28" t="n"/>
      <c r="K370" s="28" t="n"/>
    </row>
    <row r="371" ht="12.75" customHeight="1">
      <c r="A371" s="28" t="n"/>
      <c r="B371" s="28" t="n"/>
      <c r="C371" s="28" t="n"/>
      <c r="D371" s="28" t="n"/>
      <c r="E371" s="28" t="n"/>
      <c r="F371" s="28" t="n"/>
      <c r="G371" s="28" t="n"/>
      <c r="H371" s="28" t="n"/>
      <c r="I371" s="28" t="n"/>
      <c r="J371" s="28" t="n"/>
      <c r="K371" s="28" t="n"/>
    </row>
    <row r="372" ht="12.75" customHeight="1">
      <c r="A372" s="28" t="n"/>
      <c r="B372" s="28" t="n"/>
      <c r="C372" s="28" t="n"/>
      <c r="D372" s="28" t="n"/>
      <c r="E372" s="28" t="n"/>
      <c r="F372" s="28" t="n"/>
      <c r="G372" s="28" t="n"/>
      <c r="H372" s="28" t="n"/>
      <c r="I372" s="28" t="n"/>
      <c r="J372" s="28" t="n"/>
      <c r="K372" s="28" t="n"/>
    </row>
    <row r="373" ht="12.75" customHeight="1">
      <c r="A373" s="28" t="n"/>
      <c r="B373" s="28" t="n"/>
      <c r="C373" s="28" t="n"/>
      <c r="D373" s="28" t="n"/>
      <c r="E373" s="28" t="n"/>
      <c r="F373" s="28" t="n"/>
      <c r="G373" s="28" t="n"/>
      <c r="H373" s="28" t="n"/>
      <c r="I373" s="28" t="n"/>
      <c r="J373" s="28" t="n"/>
      <c r="K373" s="28" t="n"/>
    </row>
    <row r="374" ht="12.75" customHeight="1">
      <c r="A374" s="28" t="n"/>
      <c r="B374" s="28" t="n"/>
      <c r="C374" s="28" t="n"/>
      <c r="D374" s="28" t="n"/>
      <c r="E374" s="28" t="n"/>
      <c r="F374" s="28" t="n"/>
      <c r="G374" s="28" t="n"/>
      <c r="H374" s="28" t="n"/>
      <c r="I374" s="28" t="n"/>
      <c r="J374" s="28" t="n"/>
      <c r="K374" s="28" t="n"/>
    </row>
    <row r="375" ht="12.75" customHeight="1">
      <c r="A375" s="28" t="n"/>
      <c r="B375" s="28" t="n"/>
      <c r="C375" s="28" t="n"/>
      <c r="D375" s="28" t="n"/>
      <c r="E375" s="28" t="n"/>
      <c r="F375" s="28" t="n"/>
      <c r="G375" s="28" t="n"/>
      <c r="H375" s="28" t="n"/>
      <c r="I375" s="28" t="n"/>
      <c r="J375" s="28" t="n"/>
      <c r="K375" s="28" t="n"/>
    </row>
    <row r="376" ht="12.75" customHeight="1">
      <c r="A376" s="28" t="n"/>
      <c r="B376" s="28" t="n"/>
      <c r="C376" s="28" t="n"/>
      <c r="D376" s="28" t="n"/>
      <c r="E376" s="28" t="n"/>
      <c r="F376" s="28" t="n"/>
      <c r="G376" s="28" t="n"/>
      <c r="H376" s="28" t="n"/>
      <c r="I376" s="28" t="n"/>
      <c r="J376" s="28" t="n"/>
      <c r="K376" s="28" t="n"/>
    </row>
    <row r="377" ht="12.75" customHeight="1">
      <c r="A377" s="28" t="n"/>
      <c r="B377" s="28" t="n"/>
      <c r="C377" s="28" t="n"/>
      <c r="D377" s="28" t="n"/>
      <c r="E377" s="28" t="n"/>
      <c r="F377" s="28" t="n"/>
      <c r="G377" s="28" t="n"/>
      <c r="H377" s="28" t="n"/>
      <c r="I377" s="28" t="n"/>
      <c r="J377" s="28" t="n"/>
      <c r="K377" s="28" t="n"/>
    </row>
    <row r="378" ht="12.75" customHeight="1">
      <c r="A378" s="28" t="n"/>
      <c r="B378" s="28" t="n"/>
      <c r="C378" s="28" t="n"/>
      <c r="D378" s="28" t="n"/>
      <c r="E378" s="28" t="n"/>
      <c r="F378" s="28" t="n"/>
      <c r="G378" s="28" t="n"/>
      <c r="H378" s="28" t="n"/>
      <c r="I378" s="28" t="n"/>
      <c r="J378" s="28" t="n"/>
      <c r="K378" s="28" t="n"/>
    </row>
    <row r="379" ht="12.75" customHeight="1">
      <c r="A379" s="28" t="n"/>
      <c r="B379" s="28" t="n"/>
      <c r="C379" s="28" t="n"/>
      <c r="D379" s="28" t="n"/>
      <c r="E379" s="28" t="n"/>
      <c r="F379" s="28" t="n"/>
      <c r="G379" s="28" t="n"/>
      <c r="H379" s="28" t="n"/>
      <c r="I379" s="28" t="n"/>
      <c r="J379" s="28" t="n"/>
      <c r="K379" s="28" t="n"/>
    </row>
    <row r="380" ht="12.75" customHeight="1">
      <c r="A380" s="28" t="n"/>
      <c r="B380" s="28" t="n"/>
      <c r="C380" s="28" t="n"/>
      <c r="D380" s="28" t="n"/>
      <c r="E380" s="28" t="n"/>
      <c r="F380" s="28" t="n"/>
      <c r="G380" s="28" t="n"/>
      <c r="H380" s="28" t="n"/>
      <c r="I380" s="28" t="n"/>
      <c r="J380" s="28" t="n"/>
      <c r="K380" s="28" t="n"/>
    </row>
    <row r="381" ht="12.75" customHeight="1">
      <c r="A381" s="28" t="n"/>
      <c r="B381" s="28" t="n"/>
      <c r="C381" s="28" t="n"/>
      <c r="D381" s="28" t="n"/>
      <c r="E381" s="28" t="n"/>
      <c r="F381" s="28" t="n"/>
      <c r="G381" s="28" t="n"/>
      <c r="H381" s="28" t="n"/>
      <c r="I381" s="28" t="n"/>
      <c r="J381" s="28" t="n"/>
      <c r="K381" s="28" t="n"/>
    </row>
    <row r="382" ht="12.75" customHeight="1">
      <c r="A382" s="28" t="n"/>
      <c r="B382" s="28" t="n"/>
      <c r="C382" s="28" t="n"/>
      <c r="D382" s="28" t="n"/>
      <c r="E382" s="28" t="n"/>
      <c r="F382" s="28" t="n"/>
      <c r="G382" s="28" t="n"/>
      <c r="H382" s="28" t="n"/>
      <c r="I382" s="28" t="n"/>
      <c r="J382" s="28" t="n"/>
      <c r="K382" s="28" t="n"/>
    </row>
    <row r="383" ht="12.75" customHeight="1">
      <c r="A383" s="28" t="n"/>
      <c r="B383" s="28" t="n"/>
      <c r="C383" s="28" t="n"/>
      <c r="D383" s="28" t="n"/>
      <c r="E383" s="28" t="n"/>
      <c r="F383" s="28" t="n"/>
      <c r="G383" s="28" t="n"/>
      <c r="H383" s="28" t="n"/>
      <c r="I383" s="28" t="n"/>
      <c r="J383" s="28" t="n"/>
      <c r="K383" s="28" t="n"/>
    </row>
    <row r="384" ht="12.75" customHeight="1">
      <c r="A384" s="28" t="n"/>
      <c r="B384" s="28" t="n"/>
      <c r="C384" s="28" t="n"/>
      <c r="D384" s="28" t="n"/>
      <c r="E384" s="28" t="n"/>
      <c r="F384" s="28" t="n"/>
      <c r="G384" s="28" t="n"/>
      <c r="H384" s="28" t="n"/>
      <c r="I384" s="28" t="n"/>
      <c r="J384" s="28" t="n"/>
      <c r="K384" s="28" t="n"/>
    </row>
    <row r="385" ht="12.75" customHeight="1">
      <c r="A385" s="28" t="n"/>
      <c r="B385" s="28" t="n"/>
      <c r="C385" s="28" t="n"/>
      <c r="D385" s="28" t="n"/>
      <c r="E385" s="28" t="n"/>
      <c r="F385" s="28" t="n"/>
      <c r="G385" s="28" t="n"/>
      <c r="H385" s="28" t="n"/>
      <c r="I385" s="28" t="n"/>
      <c r="J385" s="28" t="n"/>
      <c r="K385" s="28" t="n"/>
    </row>
    <row r="386" ht="12.75" customHeight="1">
      <c r="A386" s="28" t="n"/>
      <c r="B386" s="28" t="n"/>
      <c r="C386" s="28" t="n"/>
      <c r="D386" s="28" t="n"/>
      <c r="E386" s="28" t="n"/>
      <c r="F386" s="28" t="n"/>
      <c r="G386" s="28" t="n"/>
      <c r="H386" s="28" t="n"/>
      <c r="I386" s="28" t="n"/>
      <c r="J386" s="28" t="n"/>
      <c r="K386" s="28" t="n"/>
    </row>
    <row r="387" ht="12.75" customHeight="1">
      <c r="A387" s="28" t="n"/>
      <c r="B387" s="28" t="n"/>
      <c r="C387" s="28" t="n"/>
      <c r="D387" s="28" t="n"/>
      <c r="E387" s="28" t="n"/>
      <c r="F387" s="28" t="n"/>
      <c r="G387" s="28" t="n"/>
      <c r="H387" s="28" t="n"/>
      <c r="I387" s="28" t="n"/>
      <c r="J387" s="28" t="n"/>
      <c r="K387" s="28" t="n"/>
    </row>
    <row r="388" ht="12.75" customHeight="1">
      <c r="A388" s="28" t="n"/>
      <c r="B388" s="28" t="n"/>
      <c r="C388" s="28" t="n"/>
      <c r="D388" s="28" t="n"/>
      <c r="E388" s="28" t="n"/>
      <c r="F388" s="28" t="n"/>
      <c r="G388" s="28" t="n"/>
      <c r="H388" s="28" t="n"/>
      <c r="I388" s="28" t="n"/>
      <c r="J388" s="28" t="n"/>
      <c r="K388" s="28" t="n"/>
    </row>
    <row r="389" ht="12.75" customHeight="1">
      <c r="A389" s="28" t="n"/>
      <c r="B389" s="28" t="n"/>
      <c r="C389" s="28" t="n"/>
      <c r="D389" s="28" t="n"/>
      <c r="E389" s="28" t="n"/>
      <c r="F389" s="28" t="n"/>
      <c r="G389" s="28" t="n"/>
      <c r="H389" s="28" t="n"/>
      <c r="I389" s="28" t="n"/>
      <c r="J389" s="28" t="n"/>
      <c r="K389" s="28" t="n"/>
    </row>
    <row r="390" ht="12.75" customHeight="1">
      <c r="A390" s="28" t="n"/>
      <c r="B390" s="28" t="n"/>
      <c r="C390" s="28" t="n"/>
      <c r="D390" s="28" t="n"/>
      <c r="E390" s="28" t="n"/>
      <c r="F390" s="28" t="n"/>
      <c r="G390" s="28" t="n"/>
      <c r="H390" s="28" t="n"/>
      <c r="I390" s="28" t="n"/>
      <c r="J390" s="28" t="n"/>
      <c r="K390" s="28" t="n"/>
    </row>
    <row r="391" ht="12.75" customHeight="1">
      <c r="A391" s="28" t="n"/>
      <c r="B391" s="28" t="n"/>
      <c r="C391" s="28" t="n"/>
      <c r="D391" s="28" t="n"/>
      <c r="E391" s="28" t="n"/>
      <c r="F391" s="28" t="n"/>
      <c r="G391" s="28" t="n"/>
      <c r="H391" s="28" t="n"/>
      <c r="I391" s="28" t="n"/>
      <c r="J391" s="28" t="n"/>
      <c r="K391" s="28" t="n"/>
    </row>
    <row r="392" ht="12.75" customHeight="1">
      <c r="A392" s="28" t="n"/>
      <c r="B392" s="28" t="n"/>
      <c r="C392" s="28" t="n"/>
      <c r="D392" s="28" t="n"/>
      <c r="E392" s="28" t="n"/>
      <c r="F392" s="28" t="n"/>
      <c r="G392" s="28" t="n"/>
      <c r="H392" s="28" t="n"/>
      <c r="I392" s="28" t="n"/>
      <c r="J392" s="28" t="n"/>
      <c r="K392" s="28" t="n"/>
    </row>
    <row r="393" ht="12.75" customHeight="1">
      <c r="A393" s="28" t="n"/>
      <c r="B393" s="28" t="n"/>
      <c r="C393" s="28" t="n"/>
      <c r="D393" s="28" t="n"/>
      <c r="E393" s="28" t="n"/>
      <c r="F393" s="28" t="n"/>
      <c r="G393" s="28" t="n"/>
      <c r="H393" s="28" t="n"/>
      <c r="I393" s="28" t="n"/>
      <c r="J393" s="28" t="n"/>
      <c r="K393" s="28" t="n"/>
    </row>
    <row r="394" ht="12.75" customHeight="1">
      <c r="A394" s="28" t="n"/>
      <c r="B394" s="28" t="n"/>
      <c r="C394" s="28" t="n"/>
      <c r="D394" s="28" t="n"/>
      <c r="E394" s="28" t="n"/>
      <c r="F394" s="28" t="n"/>
      <c r="G394" s="28" t="n"/>
      <c r="H394" s="28" t="n"/>
      <c r="I394" s="28" t="n"/>
      <c r="J394" s="28" t="n"/>
      <c r="K394" s="28" t="n"/>
    </row>
    <row r="395" ht="12.75" customHeight="1">
      <c r="A395" s="28" t="n"/>
      <c r="B395" s="28" t="n"/>
      <c r="C395" s="28" t="n"/>
      <c r="D395" s="28" t="n"/>
      <c r="E395" s="28" t="n"/>
      <c r="F395" s="28" t="n"/>
      <c r="G395" s="28" t="n"/>
      <c r="H395" s="28" t="n"/>
      <c r="I395" s="28" t="n"/>
      <c r="J395" s="28" t="n"/>
      <c r="K395" s="28" t="n"/>
    </row>
    <row r="396" ht="12.75" customHeight="1">
      <c r="A396" s="28" t="n"/>
      <c r="B396" s="28" t="n"/>
      <c r="C396" s="28" t="n"/>
      <c r="D396" s="28" t="n"/>
      <c r="E396" s="28" t="n"/>
      <c r="F396" s="28" t="n"/>
      <c r="G396" s="28" t="n"/>
      <c r="H396" s="28" t="n"/>
      <c r="I396" s="28" t="n"/>
      <c r="J396" s="28" t="n"/>
      <c r="K396" s="28" t="n"/>
    </row>
    <row r="397" ht="12.75" customHeight="1">
      <c r="A397" s="28" t="n"/>
      <c r="B397" s="28" t="n"/>
      <c r="C397" s="28" t="n"/>
      <c r="D397" s="28" t="n"/>
      <c r="E397" s="28" t="n"/>
      <c r="F397" s="28" t="n"/>
      <c r="G397" s="28" t="n"/>
      <c r="H397" s="28" t="n"/>
      <c r="I397" s="28" t="n"/>
      <c r="J397" s="28" t="n"/>
      <c r="K397" s="28" t="n"/>
    </row>
    <row r="398" ht="12.75" customHeight="1">
      <c r="A398" s="28" t="n"/>
      <c r="B398" s="28" t="n"/>
      <c r="C398" s="28" t="n"/>
      <c r="D398" s="28" t="n"/>
      <c r="E398" s="28" t="n"/>
      <c r="F398" s="28" t="n"/>
      <c r="G398" s="28" t="n"/>
      <c r="H398" s="28" t="n"/>
      <c r="I398" s="28" t="n"/>
      <c r="J398" s="28" t="n"/>
      <c r="K398" s="28" t="n"/>
    </row>
    <row r="399" ht="12.75" customHeight="1">
      <c r="A399" s="28" t="n"/>
      <c r="B399" s="28" t="n"/>
      <c r="C399" s="28" t="n"/>
      <c r="D399" s="28" t="n"/>
      <c r="E399" s="28" t="n"/>
      <c r="F399" s="28" t="n"/>
      <c r="G399" s="28" t="n"/>
      <c r="H399" s="28" t="n"/>
      <c r="I399" s="28" t="n"/>
      <c r="J399" s="28" t="n"/>
      <c r="K399" s="28" t="n"/>
    </row>
    <row r="400" ht="12.75" customHeight="1">
      <c r="A400" s="28" t="n"/>
      <c r="B400" s="28" t="n"/>
      <c r="C400" s="28" t="n"/>
      <c r="D400" s="28" t="n"/>
      <c r="E400" s="28" t="n"/>
      <c r="F400" s="28" t="n"/>
      <c r="G400" s="28" t="n"/>
      <c r="H400" s="28" t="n"/>
      <c r="I400" s="28" t="n"/>
      <c r="J400" s="28" t="n"/>
      <c r="K400" s="28" t="n"/>
    </row>
    <row r="401" ht="12.75" customHeight="1">
      <c r="A401" s="28" t="n"/>
      <c r="B401" s="28" t="n"/>
      <c r="C401" s="28" t="n"/>
      <c r="D401" s="28" t="n"/>
      <c r="E401" s="28" t="n"/>
      <c r="F401" s="28" t="n"/>
      <c r="G401" s="28" t="n"/>
      <c r="H401" s="28" t="n"/>
      <c r="I401" s="28" t="n"/>
      <c r="J401" s="28" t="n"/>
      <c r="K401" s="28" t="n"/>
    </row>
    <row r="402" ht="12.75" customHeight="1">
      <c r="A402" s="28" t="n"/>
      <c r="B402" s="28" t="n"/>
      <c r="C402" s="28" t="n"/>
      <c r="D402" s="28" t="n"/>
      <c r="E402" s="28" t="n"/>
      <c r="F402" s="28" t="n"/>
      <c r="G402" s="28" t="n"/>
      <c r="H402" s="28" t="n"/>
      <c r="I402" s="28" t="n"/>
      <c r="J402" s="28" t="n"/>
      <c r="K402" s="28" t="n"/>
    </row>
    <row r="403" ht="12.75" customHeight="1">
      <c r="A403" s="28" t="n"/>
      <c r="B403" s="28" t="n"/>
      <c r="C403" s="28" t="n"/>
      <c r="D403" s="28" t="n"/>
      <c r="E403" s="28" t="n"/>
      <c r="F403" s="28" t="n"/>
      <c r="G403" s="28" t="n"/>
      <c r="H403" s="28" t="n"/>
      <c r="I403" s="28" t="n"/>
      <c r="J403" s="28" t="n"/>
      <c r="K403" s="28" t="n"/>
    </row>
    <row r="404" ht="12.75" customHeight="1">
      <c r="A404" s="28" t="n"/>
      <c r="B404" s="28" t="n"/>
      <c r="C404" s="28" t="n"/>
      <c r="D404" s="28" t="n"/>
      <c r="E404" s="28" t="n"/>
      <c r="F404" s="28" t="n"/>
      <c r="G404" s="28" t="n"/>
      <c r="H404" s="28" t="n"/>
      <c r="I404" s="28" t="n"/>
      <c r="J404" s="28" t="n"/>
      <c r="K404" s="28" t="n"/>
    </row>
    <row r="405" ht="12.75" customHeight="1">
      <c r="A405" s="28" t="n"/>
      <c r="B405" s="28" t="n"/>
      <c r="C405" s="28" t="n"/>
      <c r="D405" s="28" t="n"/>
      <c r="E405" s="28" t="n"/>
      <c r="F405" s="28" t="n"/>
      <c r="G405" s="28" t="n"/>
      <c r="H405" s="28" t="n"/>
      <c r="I405" s="28" t="n"/>
      <c r="J405" s="28" t="n"/>
      <c r="K405" s="28" t="n"/>
    </row>
    <row r="406" ht="12.75" customHeight="1">
      <c r="A406" s="28" t="n"/>
      <c r="B406" s="28" t="n"/>
      <c r="C406" s="28" t="n"/>
      <c r="D406" s="28" t="n"/>
      <c r="E406" s="28" t="n"/>
      <c r="F406" s="28" t="n"/>
      <c r="G406" s="28" t="n"/>
      <c r="H406" s="28" t="n"/>
      <c r="I406" s="28" t="n"/>
      <c r="J406" s="28" t="n"/>
      <c r="K406" s="28" t="n"/>
    </row>
    <row r="407" ht="12.75" customHeight="1">
      <c r="A407" s="28" t="n"/>
      <c r="B407" s="28" t="n"/>
      <c r="C407" s="28" t="n"/>
      <c r="D407" s="28" t="n"/>
      <c r="E407" s="28" t="n"/>
      <c r="F407" s="28" t="n"/>
      <c r="G407" s="28" t="n"/>
      <c r="H407" s="28" t="n"/>
      <c r="I407" s="28" t="n"/>
      <c r="J407" s="28" t="n"/>
      <c r="K407" s="28" t="n"/>
    </row>
    <row r="408" ht="12.75" customHeight="1">
      <c r="A408" s="28" t="n"/>
      <c r="B408" s="28" t="n"/>
      <c r="C408" s="28" t="n"/>
      <c r="D408" s="28" t="n"/>
      <c r="E408" s="28" t="n"/>
      <c r="F408" s="28" t="n"/>
      <c r="G408" s="28" t="n"/>
      <c r="H408" s="28" t="n"/>
      <c r="I408" s="28" t="n"/>
      <c r="J408" s="28" t="n"/>
      <c r="K408" s="28" t="n"/>
    </row>
    <row r="409" ht="12.75" customHeight="1">
      <c r="A409" s="28" t="n"/>
      <c r="B409" s="28" t="n"/>
      <c r="C409" s="28" t="n"/>
      <c r="D409" s="28" t="n"/>
      <c r="E409" s="28" t="n"/>
      <c r="F409" s="28" t="n"/>
      <c r="G409" s="28" t="n"/>
      <c r="H409" s="28" t="n"/>
      <c r="I409" s="28" t="n"/>
      <c r="J409" s="28" t="n"/>
      <c r="K409" s="28" t="n"/>
    </row>
    <row r="410" ht="12.75" customHeight="1">
      <c r="A410" s="28" t="n"/>
      <c r="B410" s="28" t="n"/>
      <c r="C410" s="28" t="n"/>
      <c r="D410" s="28" t="n"/>
      <c r="E410" s="28" t="n"/>
      <c r="F410" s="28" t="n"/>
      <c r="G410" s="28" t="n"/>
      <c r="H410" s="28" t="n"/>
      <c r="I410" s="28" t="n"/>
      <c r="J410" s="28" t="n"/>
      <c r="K410" s="28" t="n"/>
    </row>
    <row r="411" ht="12.75" customHeight="1">
      <c r="A411" s="28" t="n"/>
      <c r="B411" s="28" t="n"/>
      <c r="C411" s="28" t="n"/>
      <c r="D411" s="28" t="n"/>
      <c r="E411" s="28" t="n"/>
      <c r="F411" s="28" t="n"/>
      <c r="G411" s="28" t="n"/>
      <c r="H411" s="28" t="n"/>
      <c r="I411" s="28" t="n"/>
      <c r="J411" s="28" t="n"/>
      <c r="K411" s="28" t="n"/>
    </row>
    <row r="412" ht="12.75" customHeight="1">
      <c r="A412" s="28" t="n"/>
      <c r="B412" s="28" t="n"/>
      <c r="C412" s="28" t="n"/>
      <c r="D412" s="28" t="n"/>
      <c r="E412" s="28" t="n"/>
      <c r="F412" s="28" t="n"/>
      <c r="G412" s="28" t="n"/>
      <c r="H412" s="28" t="n"/>
      <c r="I412" s="28" t="n"/>
      <c r="J412" s="28" t="n"/>
      <c r="K412" s="28" t="n"/>
    </row>
    <row r="413" ht="12.75" customHeight="1">
      <c r="A413" s="28" t="n"/>
      <c r="B413" s="28" t="n"/>
      <c r="C413" s="28" t="n"/>
      <c r="D413" s="28" t="n"/>
      <c r="E413" s="28" t="n"/>
      <c r="F413" s="28" t="n"/>
      <c r="G413" s="28" t="n"/>
      <c r="H413" s="28" t="n"/>
      <c r="I413" s="28" t="n"/>
      <c r="J413" s="28" t="n"/>
      <c r="K413" s="28" t="n"/>
    </row>
    <row r="414" ht="12.75" customHeight="1">
      <c r="A414" s="28" t="n"/>
      <c r="B414" s="28" t="n"/>
      <c r="C414" s="28" t="n"/>
      <c r="D414" s="28" t="n"/>
      <c r="E414" s="28" t="n"/>
      <c r="F414" s="28" t="n"/>
      <c r="G414" s="28" t="n"/>
      <c r="H414" s="28" t="n"/>
      <c r="I414" s="28" t="n"/>
      <c r="J414" s="28" t="n"/>
      <c r="K414" s="28" t="n"/>
    </row>
    <row r="415" ht="12.75" customHeight="1">
      <c r="A415" s="28" t="n"/>
      <c r="B415" s="28" t="n"/>
      <c r="C415" s="28" t="n"/>
      <c r="D415" s="28" t="n"/>
      <c r="E415" s="28" t="n"/>
      <c r="F415" s="28" t="n"/>
      <c r="G415" s="28" t="n"/>
      <c r="H415" s="28" t="n"/>
      <c r="I415" s="28" t="n"/>
      <c r="J415" s="28" t="n"/>
      <c r="K415" s="28" t="n"/>
    </row>
    <row r="416" ht="12.75" customHeight="1">
      <c r="A416" s="28" t="n"/>
      <c r="B416" s="28" t="n"/>
      <c r="C416" s="28" t="n"/>
      <c r="D416" s="28" t="n"/>
      <c r="E416" s="28" t="n"/>
      <c r="F416" s="28" t="n"/>
      <c r="G416" s="28" t="n"/>
      <c r="H416" s="28" t="n"/>
      <c r="I416" s="28" t="n"/>
      <c r="J416" s="28" t="n"/>
      <c r="K416" s="28" t="n"/>
    </row>
    <row r="417" ht="12.75" customHeight="1">
      <c r="A417" s="28" t="n"/>
      <c r="B417" s="28" t="n"/>
      <c r="C417" s="28" t="n"/>
      <c r="D417" s="28" t="n"/>
      <c r="E417" s="28" t="n"/>
      <c r="F417" s="28" t="n"/>
      <c r="G417" s="28" t="n"/>
      <c r="H417" s="28" t="n"/>
      <c r="I417" s="28" t="n"/>
      <c r="J417" s="28" t="n"/>
      <c r="K417" s="28" t="n"/>
    </row>
    <row r="418" ht="12.75" customHeight="1">
      <c r="A418" s="28" t="n"/>
      <c r="B418" s="28" t="n"/>
      <c r="C418" s="28" t="n"/>
      <c r="D418" s="28" t="n"/>
      <c r="E418" s="28" t="n"/>
      <c r="F418" s="28" t="n"/>
      <c r="G418" s="28" t="n"/>
      <c r="H418" s="28" t="n"/>
      <c r="I418" s="28" t="n"/>
      <c r="J418" s="28" t="n"/>
      <c r="K418" s="28" t="n"/>
    </row>
    <row r="419" ht="12.75" customHeight="1">
      <c r="A419" s="28" t="n"/>
      <c r="B419" s="28" t="n"/>
      <c r="C419" s="28" t="n"/>
      <c r="D419" s="28" t="n"/>
      <c r="E419" s="28" t="n"/>
      <c r="F419" s="28" t="n"/>
      <c r="G419" s="28" t="n"/>
      <c r="H419" s="28" t="n"/>
      <c r="I419" s="28" t="n"/>
      <c r="J419" s="28" t="n"/>
      <c r="K419" s="28" t="n"/>
    </row>
    <row r="420" ht="12.75" customHeight="1">
      <c r="A420" s="28" t="n"/>
      <c r="B420" s="28" t="n"/>
      <c r="C420" s="28" t="n"/>
      <c r="D420" s="28" t="n"/>
      <c r="E420" s="28" t="n"/>
      <c r="F420" s="28" t="n"/>
      <c r="G420" s="28" t="n"/>
      <c r="H420" s="28" t="n"/>
      <c r="I420" s="28" t="n"/>
      <c r="J420" s="28" t="n"/>
      <c r="K420" s="28" t="n"/>
    </row>
    <row r="421" ht="12.75" customHeight="1">
      <c r="A421" s="28" t="n"/>
      <c r="B421" s="28" t="n"/>
      <c r="C421" s="28" t="n"/>
      <c r="D421" s="28" t="n"/>
      <c r="E421" s="28" t="n"/>
      <c r="F421" s="28" t="n"/>
      <c r="G421" s="28" t="n"/>
      <c r="H421" s="28" t="n"/>
      <c r="I421" s="28" t="n"/>
      <c r="J421" s="28" t="n"/>
      <c r="K421" s="28" t="n"/>
    </row>
    <row r="422" ht="12.75" customHeight="1">
      <c r="A422" s="28" t="n"/>
      <c r="B422" s="28" t="n"/>
      <c r="C422" s="28" t="n"/>
      <c r="D422" s="28" t="n"/>
      <c r="E422" s="28" t="n"/>
      <c r="F422" s="28" t="n"/>
      <c r="G422" s="28" t="n"/>
      <c r="H422" s="28" t="n"/>
      <c r="I422" s="28" t="n"/>
      <c r="J422" s="28" t="n"/>
      <c r="K422" s="28" t="n"/>
    </row>
    <row r="423" ht="12.75" customHeight="1">
      <c r="A423" s="28" t="n"/>
      <c r="B423" s="28" t="n"/>
      <c r="C423" s="28" t="n"/>
      <c r="D423" s="28" t="n"/>
      <c r="E423" s="28" t="n"/>
      <c r="F423" s="28" t="n"/>
      <c r="G423" s="28" t="n"/>
      <c r="H423" s="28" t="n"/>
      <c r="I423" s="28" t="n"/>
      <c r="J423" s="28" t="n"/>
      <c r="K423" s="28" t="n"/>
    </row>
    <row r="424" ht="12.75" customHeight="1">
      <c r="A424" s="28" t="n"/>
      <c r="B424" s="28" t="n"/>
      <c r="C424" s="28" t="n"/>
      <c r="D424" s="28" t="n"/>
      <c r="E424" s="28" t="n"/>
      <c r="F424" s="28" t="n"/>
      <c r="G424" s="28" t="n"/>
      <c r="H424" s="28" t="n"/>
      <c r="I424" s="28" t="n"/>
      <c r="J424" s="28" t="n"/>
      <c r="K424" s="28" t="n"/>
    </row>
    <row r="425" ht="12.75" customHeight="1">
      <c r="A425" s="28" t="n"/>
      <c r="B425" s="28" t="n"/>
      <c r="C425" s="28" t="n"/>
      <c r="D425" s="28" t="n"/>
      <c r="E425" s="28" t="n"/>
      <c r="F425" s="28" t="n"/>
      <c r="G425" s="28" t="n"/>
      <c r="H425" s="28" t="n"/>
      <c r="I425" s="28" t="n"/>
      <c r="J425" s="28" t="n"/>
      <c r="K425" s="28" t="n"/>
    </row>
    <row r="426" ht="12.75" customHeight="1">
      <c r="A426" s="28" t="n"/>
      <c r="B426" s="28" t="n"/>
      <c r="C426" s="28" t="n"/>
      <c r="D426" s="28" t="n"/>
      <c r="E426" s="28" t="n"/>
      <c r="F426" s="28" t="n"/>
      <c r="G426" s="28" t="n"/>
      <c r="H426" s="28" t="n"/>
      <c r="I426" s="28" t="n"/>
      <c r="J426" s="28" t="n"/>
      <c r="K426" s="28" t="n"/>
    </row>
    <row r="427" ht="12.75" customHeight="1">
      <c r="A427" s="28" t="n"/>
      <c r="B427" s="28" t="n"/>
      <c r="C427" s="28" t="n"/>
      <c r="D427" s="28" t="n"/>
      <c r="E427" s="28" t="n"/>
      <c r="F427" s="28" t="n"/>
      <c r="G427" s="28" t="n"/>
      <c r="H427" s="28" t="n"/>
      <c r="I427" s="28" t="n"/>
      <c r="J427" s="28" t="n"/>
      <c r="K427" s="28" t="n"/>
    </row>
    <row r="428" ht="12.75" customHeight="1">
      <c r="A428" s="28" t="n"/>
      <c r="B428" s="28" t="n"/>
      <c r="C428" s="28" t="n"/>
      <c r="D428" s="28" t="n"/>
      <c r="E428" s="28" t="n"/>
      <c r="F428" s="28" t="n"/>
      <c r="G428" s="28" t="n"/>
      <c r="H428" s="28" t="n"/>
      <c r="I428" s="28" t="n"/>
      <c r="J428" s="28" t="n"/>
      <c r="K428" s="28" t="n"/>
    </row>
    <row r="429" ht="12.75" customHeight="1">
      <c r="A429" s="28" t="n"/>
      <c r="B429" s="28" t="n"/>
      <c r="C429" s="28" t="n"/>
      <c r="D429" s="28" t="n"/>
      <c r="E429" s="28" t="n"/>
      <c r="F429" s="28" t="n"/>
      <c r="G429" s="28" t="n"/>
      <c r="H429" s="28" t="n"/>
      <c r="I429" s="28" t="n"/>
      <c r="J429" s="28" t="n"/>
      <c r="K429" s="28" t="n"/>
    </row>
    <row r="430" ht="12.75" customHeight="1">
      <c r="A430" s="28" t="n"/>
      <c r="B430" s="28" t="n"/>
      <c r="C430" s="28" t="n"/>
      <c r="D430" s="28" t="n"/>
      <c r="E430" s="28" t="n"/>
      <c r="F430" s="28" t="n"/>
      <c r="G430" s="28" t="n"/>
      <c r="H430" s="28" t="n"/>
      <c r="I430" s="28" t="n"/>
      <c r="J430" s="28" t="n"/>
      <c r="K430" s="28" t="n"/>
    </row>
    <row r="431" ht="12.75" customHeight="1">
      <c r="A431" s="28" t="n"/>
      <c r="B431" s="28" t="n"/>
      <c r="C431" s="28" t="n"/>
      <c r="D431" s="28" t="n"/>
      <c r="E431" s="28" t="n"/>
      <c r="F431" s="28" t="n"/>
      <c r="G431" s="28" t="n"/>
      <c r="H431" s="28" t="n"/>
      <c r="I431" s="28" t="n"/>
      <c r="J431" s="28" t="n"/>
      <c r="K431" s="28" t="n"/>
    </row>
    <row r="432" ht="12.75" customHeight="1">
      <c r="A432" s="28" t="n"/>
      <c r="B432" s="28" t="n"/>
      <c r="C432" s="28" t="n"/>
      <c r="D432" s="28" t="n"/>
      <c r="E432" s="28" t="n"/>
      <c r="F432" s="28" t="n"/>
      <c r="G432" s="28" t="n"/>
      <c r="H432" s="28" t="n"/>
      <c r="I432" s="28" t="n"/>
      <c r="J432" s="28" t="n"/>
      <c r="K432" s="28" t="n"/>
    </row>
    <row r="433" ht="12.75" customHeight="1">
      <c r="A433" s="28" t="n"/>
      <c r="B433" s="28" t="n"/>
      <c r="C433" s="28" t="n"/>
      <c r="D433" s="28" t="n"/>
      <c r="E433" s="28" t="n"/>
      <c r="F433" s="28" t="n"/>
      <c r="G433" s="28" t="n"/>
      <c r="H433" s="28" t="n"/>
      <c r="I433" s="28" t="n"/>
      <c r="J433" s="28" t="n"/>
      <c r="K433" s="28" t="n"/>
    </row>
    <row r="434" ht="12.75" customHeight="1">
      <c r="A434" s="28" t="n"/>
      <c r="B434" s="28" t="n"/>
      <c r="C434" s="28" t="n"/>
      <c r="D434" s="28" t="n"/>
      <c r="E434" s="28" t="n"/>
      <c r="F434" s="28" t="n"/>
      <c r="G434" s="28" t="n"/>
      <c r="H434" s="28" t="n"/>
      <c r="I434" s="28" t="n"/>
      <c r="J434" s="28" t="n"/>
      <c r="K434" s="28" t="n"/>
    </row>
    <row r="435" ht="12.75" customHeight="1">
      <c r="A435" s="28" t="n"/>
      <c r="B435" s="28" t="n"/>
      <c r="C435" s="28" t="n"/>
      <c r="D435" s="28" t="n"/>
      <c r="E435" s="28" t="n"/>
      <c r="F435" s="28" t="n"/>
      <c r="G435" s="28" t="n"/>
      <c r="H435" s="28" t="n"/>
      <c r="I435" s="28" t="n"/>
      <c r="J435" s="28" t="n"/>
      <c r="K435" s="28" t="n"/>
    </row>
    <row r="436" ht="12.75" customHeight="1">
      <c r="A436" s="28" t="n"/>
      <c r="B436" s="28" t="n"/>
      <c r="C436" s="28" t="n"/>
      <c r="D436" s="28" t="n"/>
      <c r="E436" s="28" t="n"/>
      <c r="F436" s="28" t="n"/>
      <c r="G436" s="28" t="n"/>
      <c r="H436" s="28" t="n"/>
      <c r="I436" s="28" t="n"/>
      <c r="J436" s="28" t="n"/>
      <c r="K436" s="28" t="n"/>
    </row>
    <row r="437" ht="12.75" customHeight="1">
      <c r="A437" s="28" t="n"/>
      <c r="B437" s="28" t="n"/>
      <c r="C437" s="28" t="n"/>
      <c r="D437" s="28" t="n"/>
      <c r="E437" s="28" t="n"/>
      <c r="F437" s="28" t="n"/>
      <c r="G437" s="28" t="n"/>
      <c r="H437" s="28" t="n"/>
      <c r="I437" s="28" t="n"/>
      <c r="J437" s="28" t="n"/>
      <c r="K437" s="28" t="n"/>
    </row>
    <row r="438" ht="12.75" customHeight="1">
      <c r="A438" s="28" t="n"/>
      <c r="B438" s="28" t="n"/>
      <c r="C438" s="28" t="n"/>
      <c r="D438" s="28" t="n"/>
      <c r="E438" s="28" t="n"/>
      <c r="F438" s="28" t="n"/>
      <c r="G438" s="28" t="n"/>
      <c r="H438" s="28" t="n"/>
      <c r="I438" s="28" t="n"/>
      <c r="J438" s="28" t="n"/>
      <c r="K438" s="28" t="n"/>
    </row>
    <row r="439" ht="12.75" customHeight="1">
      <c r="A439" s="28" t="n"/>
      <c r="B439" s="28" t="n"/>
      <c r="C439" s="28" t="n"/>
      <c r="D439" s="28" t="n"/>
      <c r="E439" s="28" t="n"/>
      <c r="F439" s="28" t="n"/>
      <c r="G439" s="28" t="n"/>
      <c r="H439" s="28" t="n"/>
      <c r="I439" s="28" t="n"/>
      <c r="J439" s="28" t="n"/>
      <c r="K439" s="28" t="n"/>
    </row>
    <row r="440" ht="12.75" customHeight="1">
      <c r="A440" s="28" t="n"/>
      <c r="B440" s="28" t="n"/>
      <c r="C440" s="28" t="n"/>
      <c r="D440" s="28" t="n"/>
      <c r="E440" s="28" t="n"/>
      <c r="F440" s="28" t="n"/>
      <c r="G440" s="28" t="n"/>
      <c r="H440" s="28" t="n"/>
      <c r="I440" s="28" t="n"/>
      <c r="J440" s="28" t="n"/>
      <c r="K440" s="28" t="n"/>
    </row>
    <row r="441" ht="12.75" customHeight="1">
      <c r="A441" s="28" t="n"/>
      <c r="B441" s="28" t="n"/>
      <c r="C441" s="28" t="n"/>
      <c r="D441" s="28" t="n"/>
      <c r="E441" s="28" t="n"/>
      <c r="F441" s="28" t="n"/>
      <c r="G441" s="28" t="n"/>
      <c r="H441" s="28" t="n"/>
      <c r="I441" s="28" t="n"/>
      <c r="J441" s="28" t="n"/>
      <c r="K441" s="28" t="n"/>
    </row>
    <row r="442" ht="12.75" customHeight="1">
      <c r="A442" s="28" t="n"/>
      <c r="B442" s="28" t="n"/>
      <c r="C442" s="28" t="n"/>
      <c r="D442" s="28" t="n"/>
      <c r="E442" s="28" t="n"/>
      <c r="F442" s="28" t="n"/>
      <c r="G442" s="28" t="n"/>
      <c r="H442" s="28" t="n"/>
      <c r="I442" s="28" t="n"/>
      <c r="J442" s="28" t="n"/>
      <c r="K442" s="28" t="n"/>
    </row>
    <row r="443" ht="12.75" customHeight="1">
      <c r="A443" s="28" t="n"/>
      <c r="B443" s="28" t="n"/>
      <c r="C443" s="28" t="n"/>
      <c r="D443" s="28" t="n"/>
      <c r="E443" s="28" t="n"/>
      <c r="F443" s="28" t="n"/>
      <c r="G443" s="28" t="n"/>
      <c r="H443" s="28" t="n"/>
      <c r="I443" s="28" t="n"/>
      <c r="J443" s="28" t="n"/>
      <c r="K443" s="28" t="n"/>
    </row>
    <row r="444" ht="12.75" customHeight="1">
      <c r="A444" s="28" t="n"/>
      <c r="B444" s="28" t="n"/>
      <c r="C444" s="28" t="n"/>
      <c r="D444" s="28" t="n"/>
      <c r="E444" s="28" t="n"/>
      <c r="F444" s="28" t="n"/>
      <c r="G444" s="28" t="n"/>
      <c r="H444" s="28" t="n"/>
      <c r="I444" s="28" t="n"/>
      <c r="J444" s="28" t="n"/>
      <c r="K444" s="28" t="n"/>
    </row>
    <row r="445" ht="12.75" customHeight="1">
      <c r="A445" s="28" t="n"/>
      <c r="B445" s="28" t="n"/>
      <c r="C445" s="28" t="n"/>
      <c r="D445" s="28" t="n"/>
      <c r="E445" s="28" t="n"/>
      <c r="F445" s="28" t="n"/>
      <c r="G445" s="28" t="n"/>
      <c r="H445" s="28" t="n"/>
      <c r="I445" s="28" t="n"/>
      <c r="J445" s="28" t="n"/>
      <c r="K445" s="28" t="n"/>
    </row>
    <row r="446" ht="12.75" customHeight="1">
      <c r="A446" s="28" t="n"/>
      <c r="B446" s="28" t="n"/>
      <c r="C446" s="28" t="n"/>
      <c r="D446" s="28" t="n"/>
      <c r="E446" s="28" t="n"/>
      <c r="F446" s="28" t="n"/>
      <c r="G446" s="28" t="n"/>
      <c r="H446" s="28" t="n"/>
      <c r="I446" s="28" t="n"/>
      <c r="J446" s="28" t="n"/>
      <c r="K446" s="28" t="n"/>
    </row>
    <row r="447" ht="12.75" customHeight="1">
      <c r="A447" s="28" t="n"/>
      <c r="B447" s="28" t="n"/>
      <c r="C447" s="28" t="n"/>
      <c r="D447" s="28" t="n"/>
      <c r="E447" s="28" t="n"/>
      <c r="F447" s="28" t="n"/>
      <c r="G447" s="28" t="n"/>
      <c r="H447" s="28" t="n"/>
      <c r="I447" s="28" t="n"/>
      <c r="J447" s="28" t="n"/>
      <c r="K447" s="28" t="n"/>
    </row>
    <row r="448" ht="12.75" customHeight="1">
      <c r="A448" s="28" t="n"/>
      <c r="B448" s="28" t="n"/>
      <c r="C448" s="28" t="n"/>
      <c r="D448" s="28" t="n"/>
      <c r="E448" s="28" t="n"/>
      <c r="F448" s="28" t="n"/>
      <c r="G448" s="28" t="n"/>
      <c r="H448" s="28" t="n"/>
      <c r="I448" s="28" t="n"/>
      <c r="J448" s="28" t="n"/>
      <c r="K448" s="28" t="n"/>
    </row>
    <row r="449" ht="12.75" customHeight="1">
      <c r="A449" s="28" t="n"/>
      <c r="B449" s="28" t="n"/>
      <c r="C449" s="28" t="n"/>
      <c r="D449" s="28" t="n"/>
      <c r="E449" s="28" t="n"/>
      <c r="F449" s="28" t="n"/>
      <c r="G449" s="28" t="n"/>
      <c r="H449" s="28" t="n"/>
      <c r="I449" s="28" t="n"/>
      <c r="J449" s="28" t="n"/>
      <c r="K449" s="28" t="n"/>
    </row>
    <row r="450" ht="12.75" customHeight="1">
      <c r="A450" s="28" t="n"/>
      <c r="B450" s="28" t="n"/>
      <c r="C450" s="28" t="n"/>
      <c r="D450" s="28" t="n"/>
      <c r="E450" s="28" t="n"/>
      <c r="F450" s="28" t="n"/>
      <c r="G450" s="28" t="n"/>
      <c r="H450" s="28" t="n"/>
      <c r="I450" s="28" t="n"/>
      <c r="J450" s="28" t="n"/>
      <c r="K450" s="28" t="n"/>
    </row>
    <row r="451" ht="12.75" customHeight="1">
      <c r="A451" s="28" t="n"/>
      <c r="B451" s="28" t="n"/>
      <c r="C451" s="28" t="n"/>
      <c r="D451" s="28" t="n"/>
      <c r="E451" s="28" t="n"/>
      <c r="F451" s="28" t="n"/>
      <c r="G451" s="28" t="n"/>
      <c r="H451" s="28" t="n"/>
      <c r="I451" s="28" t="n"/>
      <c r="J451" s="28" t="n"/>
      <c r="K451" s="28" t="n"/>
    </row>
    <row r="452" ht="12.75" customHeight="1">
      <c r="A452" s="28" t="n"/>
      <c r="B452" s="28" t="n"/>
      <c r="C452" s="28" t="n"/>
      <c r="D452" s="28" t="n"/>
      <c r="E452" s="28" t="n"/>
      <c r="F452" s="28" t="n"/>
      <c r="G452" s="28" t="n"/>
      <c r="H452" s="28" t="n"/>
      <c r="I452" s="28" t="n"/>
      <c r="J452" s="28" t="n"/>
      <c r="K452" s="28" t="n"/>
    </row>
    <row r="453" ht="12.75" customHeight="1">
      <c r="A453" s="28" t="n"/>
      <c r="B453" s="28" t="n"/>
      <c r="C453" s="28" t="n"/>
      <c r="D453" s="28" t="n"/>
      <c r="E453" s="28" t="n"/>
      <c r="F453" s="28" t="n"/>
      <c r="G453" s="28" t="n"/>
      <c r="H453" s="28" t="n"/>
      <c r="I453" s="28" t="n"/>
      <c r="J453" s="28" t="n"/>
      <c r="K453" s="28" t="n"/>
    </row>
    <row r="454" ht="12.75" customHeight="1">
      <c r="A454" s="28" t="n"/>
      <c r="B454" s="28" t="n"/>
      <c r="C454" s="28" t="n"/>
      <c r="D454" s="28" t="n"/>
      <c r="E454" s="28" t="n"/>
      <c r="F454" s="28" t="n"/>
      <c r="G454" s="28" t="n"/>
      <c r="H454" s="28" t="n"/>
      <c r="I454" s="28" t="n"/>
      <c r="J454" s="28" t="n"/>
      <c r="K454" s="28" t="n"/>
    </row>
    <row r="455" ht="12.75" customHeight="1">
      <c r="A455" s="28" t="n"/>
      <c r="B455" s="28" t="n"/>
      <c r="C455" s="28" t="n"/>
      <c r="D455" s="28" t="n"/>
      <c r="E455" s="28" t="n"/>
      <c r="F455" s="28" t="n"/>
      <c r="G455" s="28" t="n"/>
      <c r="H455" s="28" t="n"/>
      <c r="I455" s="28" t="n"/>
      <c r="J455" s="28" t="n"/>
      <c r="K455" s="28" t="n"/>
    </row>
    <row r="456" ht="12.75" customHeight="1">
      <c r="A456" s="28" t="n"/>
      <c r="B456" s="28" t="n"/>
      <c r="C456" s="28" t="n"/>
      <c r="D456" s="28" t="n"/>
      <c r="E456" s="28" t="n"/>
      <c r="F456" s="28" t="n"/>
      <c r="G456" s="28" t="n"/>
      <c r="H456" s="28" t="n"/>
      <c r="I456" s="28" t="n"/>
      <c r="J456" s="28" t="n"/>
      <c r="K456" s="28" t="n"/>
    </row>
    <row r="457" ht="12.75" customHeight="1">
      <c r="A457" s="28" t="n"/>
      <c r="B457" s="28" t="n"/>
      <c r="C457" s="28" t="n"/>
      <c r="D457" s="28" t="n"/>
      <c r="E457" s="28" t="n"/>
      <c r="F457" s="28" t="n"/>
      <c r="G457" s="28" t="n"/>
      <c r="H457" s="28" t="n"/>
      <c r="I457" s="28" t="n"/>
      <c r="J457" s="28" t="n"/>
      <c r="K457" s="28" t="n"/>
    </row>
    <row r="458" ht="12.75" customHeight="1">
      <c r="A458" s="28" t="n"/>
      <c r="B458" s="28" t="n"/>
      <c r="C458" s="28" t="n"/>
      <c r="D458" s="28" t="n"/>
      <c r="E458" s="28" t="n"/>
      <c r="F458" s="28" t="n"/>
      <c r="G458" s="28" t="n"/>
      <c r="H458" s="28" t="n"/>
      <c r="I458" s="28" t="n"/>
      <c r="J458" s="28" t="n"/>
      <c r="K458" s="28" t="n"/>
    </row>
    <row r="459" ht="12.75" customHeight="1">
      <c r="A459" s="28" t="n"/>
      <c r="B459" s="28" t="n"/>
      <c r="C459" s="28" t="n"/>
      <c r="D459" s="28" t="n"/>
      <c r="E459" s="28" t="n"/>
      <c r="F459" s="28" t="n"/>
      <c r="G459" s="28" t="n"/>
      <c r="H459" s="28" t="n"/>
      <c r="I459" s="28" t="n"/>
      <c r="J459" s="28" t="n"/>
      <c r="K459" s="28" t="n"/>
    </row>
    <row r="460" ht="12.75" customHeight="1">
      <c r="A460" s="28" t="n"/>
      <c r="B460" s="28" t="n"/>
      <c r="C460" s="28" t="n"/>
      <c r="D460" s="28" t="n"/>
      <c r="E460" s="28" t="n"/>
      <c r="F460" s="28" t="n"/>
      <c r="G460" s="28" t="n"/>
      <c r="H460" s="28" t="n"/>
      <c r="I460" s="28" t="n"/>
      <c r="J460" s="28" t="n"/>
      <c r="K460" s="28" t="n"/>
    </row>
    <row r="461" ht="12.75" customHeight="1">
      <c r="A461" s="28" t="n"/>
      <c r="B461" s="28" t="n"/>
      <c r="C461" s="28" t="n"/>
      <c r="D461" s="28" t="n"/>
      <c r="E461" s="28" t="n"/>
      <c r="F461" s="28" t="n"/>
      <c r="G461" s="28" t="n"/>
      <c r="H461" s="28" t="n"/>
      <c r="I461" s="28" t="n"/>
      <c r="J461" s="28" t="n"/>
      <c r="K461" s="28" t="n"/>
    </row>
    <row r="462" ht="12.75" customHeight="1">
      <c r="A462" s="28" t="n"/>
      <c r="B462" s="28" t="n"/>
      <c r="C462" s="28" t="n"/>
      <c r="D462" s="28" t="n"/>
      <c r="E462" s="28" t="n"/>
      <c r="F462" s="28" t="n"/>
      <c r="G462" s="28" t="n"/>
      <c r="H462" s="28" t="n"/>
      <c r="I462" s="28" t="n"/>
      <c r="J462" s="28" t="n"/>
      <c r="K462" s="28" t="n"/>
    </row>
    <row r="463" ht="12.75" customHeight="1">
      <c r="A463" s="28" t="n"/>
      <c r="B463" s="28" t="n"/>
      <c r="C463" s="28" t="n"/>
      <c r="D463" s="28" t="n"/>
      <c r="E463" s="28" t="n"/>
      <c r="F463" s="28" t="n"/>
      <c r="G463" s="28" t="n"/>
      <c r="H463" s="28" t="n"/>
      <c r="I463" s="28" t="n"/>
      <c r="J463" s="28" t="n"/>
      <c r="K463" s="28" t="n"/>
    </row>
    <row r="464" ht="12.75" customHeight="1">
      <c r="A464" s="28" t="n"/>
      <c r="B464" s="28" t="n"/>
      <c r="C464" s="28" t="n"/>
      <c r="D464" s="28" t="n"/>
      <c r="E464" s="28" t="n"/>
      <c r="F464" s="28" t="n"/>
      <c r="G464" s="28" t="n"/>
      <c r="H464" s="28" t="n"/>
      <c r="I464" s="28" t="n"/>
      <c r="J464" s="28" t="n"/>
      <c r="K464" s="28" t="n"/>
    </row>
    <row r="465" ht="12.75" customHeight="1">
      <c r="A465" s="28" t="n"/>
      <c r="B465" s="28" t="n"/>
      <c r="C465" s="28" t="n"/>
      <c r="D465" s="28" t="n"/>
      <c r="E465" s="28" t="n"/>
      <c r="F465" s="28" t="n"/>
      <c r="G465" s="28" t="n"/>
      <c r="H465" s="28" t="n"/>
      <c r="I465" s="28" t="n"/>
      <c r="J465" s="28" t="n"/>
      <c r="K465" s="28" t="n"/>
    </row>
    <row r="466" ht="12.75" customHeight="1">
      <c r="A466" s="28" t="n"/>
      <c r="B466" s="28" t="n"/>
      <c r="C466" s="28" t="n"/>
      <c r="D466" s="28" t="n"/>
      <c r="E466" s="28" t="n"/>
      <c r="F466" s="28" t="n"/>
      <c r="G466" s="28" t="n"/>
      <c r="H466" s="28" t="n"/>
      <c r="I466" s="28" t="n"/>
      <c r="J466" s="28" t="n"/>
      <c r="K466" s="28" t="n"/>
    </row>
    <row r="467" ht="12.75" customHeight="1">
      <c r="A467" s="28" t="n"/>
      <c r="B467" s="28" t="n"/>
      <c r="C467" s="28" t="n"/>
      <c r="D467" s="28" t="n"/>
      <c r="E467" s="28" t="n"/>
      <c r="F467" s="28" t="n"/>
      <c r="G467" s="28" t="n"/>
      <c r="H467" s="28" t="n"/>
      <c r="I467" s="28" t="n"/>
      <c r="J467" s="28" t="n"/>
      <c r="K467" s="28" t="n"/>
    </row>
    <row r="468" ht="12.75" customHeight="1">
      <c r="A468" s="28" t="n"/>
      <c r="B468" s="28" t="n"/>
      <c r="C468" s="28" t="n"/>
      <c r="D468" s="28" t="n"/>
      <c r="E468" s="28" t="n"/>
      <c r="F468" s="28" t="n"/>
      <c r="G468" s="28" t="n"/>
      <c r="H468" s="28" t="n"/>
      <c r="I468" s="28" t="n"/>
      <c r="J468" s="28" t="n"/>
      <c r="K468" s="28" t="n"/>
    </row>
    <row r="469" ht="12.75" customHeight="1">
      <c r="A469" s="28" t="n"/>
      <c r="B469" s="28" t="n"/>
      <c r="C469" s="28" t="n"/>
      <c r="D469" s="28" t="n"/>
      <c r="E469" s="28" t="n"/>
      <c r="F469" s="28" t="n"/>
      <c r="G469" s="28" t="n"/>
      <c r="H469" s="28" t="n"/>
      <c r="I469" s="28" t="n"/>
      <c r="J469" s="28" t="n"/>
      <c r="K469" s="28" t="n"/>
    </row>
    <row r="470" ht="12.75" customHeight="1">
      <c r="A470" s="28" t="n"/>
      <c r="B470" s="28" t="n"/>
      <c r="C470" s="28" t="n"/>
      <c r="D470" s="28" t="n"/>
      <c r="E470" s="28" t="n"/>
      <c r="F470" s="28" t="n"/>
      <c r="G470" s="28" t="n"/>
      <c r="H470" s="28" t="n"/>
      <c r="I470" s="28" t="n"/>
      <c r="J470" s="28" t="n"/>
      <c r="K470" s="28" t="n"/>
    </row>
    <row r="471" ht="12.75" customHeight="1">
      <c r="A471" s="28" t="n"/>
      <c r="B471" s="28" t="n"/>
      <c r="C471" s="28" t="n"/>
      <c r="D471" s="28" t="n"/>
      <c r="E471" s="28" t="n"/>
      <c r="F471" s="28" t="n"/>
      <c r="G471" s="28" t="n"/>
      <c r="H471" s="28" t="n"/>
      <c r="I471" s="28" t="n"/>
      <c r="J471" s="28" t="n"/>
      <c r="K471" s="28" t="n"/>
    </row>
    <row r="472" ht="12.75" customHeight="1">
      <c r="A472" s="28" t="n"/>
      <c r="B472" s="28" t="n"/>
      <c r="C472" s="28" t="n"/>
      <c r="D472" s="28" t="n"/>
      <c r="E472" s="28" t="n"/>
      <c r="F472" s="28" t="n"/>
      <c r="G472" s="28" t="n"/>
      <c r="H472" s="28" t="n"/>
      <c r="I472" s="28" t="n"/>
      <c r="J472" s="28" t="n"/>
      <c r="K472" s="28" t="n"/>
    </row>
    <row r="473" ht="12.75" customHeight="1">
      <c r="A473" s="28" t="n"/>
      <c r="B473" s="28" t="n"/>
      <c r="C473" s="28" t="n"/>
      <c r="D473" s="28" t="n"/>
      <c r="E473" s="28" t="n"/>
      <c r="F473" s="28" t="n"/>
      <c r="G473" s="28" t="n"/>
      <c r="H473" s="28" t="n"/>
      <c r="I473" s="28" t="n"/>
      <c r="J473" s="28" t="n"/>
      <c r="K473" s="28" t="n"/>
    </row>
    <row r="474" ht="12.75" customHeight="1">
      <c r="A474" s="28" t="n"/>
      <c r="B474" s="28" t="n"/>
      <c r="C474" s="28" t="n"/>
      <c r="D474" s="28" t="n"/>
      <c r="E474" s="28" t="n"/>
      <c r="F474" s="28" t="n"/>
      <c r="G474" s="28" t="n"/>
      <c r="H474" s="28" t="n"/>
      <c r="I474" s="28" t="n"/>
      <c r="J474" s="28" t="n"/>
      <c r="K474" s="28" t="n"/>
    </row>
    <row r="475" ht="12.75" customHeight="1">
      <c r="A475" s="28" t="n"/>
      <c r="B475" s="28" t="n"/>
      <c r="C475" s="28" t="n"/>
      <c r="D475" s="28" t="n"/>
      <c r="E475" s="28" t="n"/>
      <c r="F475" s="28" t="n"/>
      <c r="G475" s="28" t="n"/>
      <c r="H475" s="28" t="n"/>
      <c r="I475" s="28" t="n"/>
      <c r="J475" s="28" t="n"/>
      <c r="K475" s="28" t="n"/>
    </row>
    <row r="476" ht="12.75" customHeight="1">
      <c r="A476" s="28" t="n"/>
      <c r="B476" s="28" t="n"/>
      <c r="C476" s="28" t="n"/>
      <c r="D476" s="28" t="n"/>
      <c r="E476" s="28" t="n"/>
      <c r="F476" s="28" t="n"/>
      <c r="G476" s="28" t="n"/>
      <c r="H476" s="28" t="n"/>
      <c r="I476" s="28" t="n"/>
      <c r="J476" s="28" t="n"/>
      <c r="K476" s="28" t="n"/>
    </row>
    <row r="477" ht="12.75" customHeight="1">
      <c r="A477" s="28" t="n"/>
      <c r="B477" s="28" t="n"/>
      <c r="C477" s="28" t="n"/>
      <c r="D477" s="28" t="n"/>
      <c r="E477" s="28" t="n"/>
      <c r="F477" s="28" t="n"/>
      <c r="G477" s="28" t="n"/>
      <c r="H477" s="28" t="n"/>
      <c r="I477" s="28" t="n"/>
      <c r="J477" s="28" t="n"/>
      <c r="K477" s="28" t="n"/>
    </row>
    <row r="478" ht="12.75" customHeight="1">
      <c r="A478" s="28" t="n"/>
      <c r="B478" s="28" t="n"/>
      <c r="C478" s="28" t="n"/>
      <c r="D478" s="28" t="n"/>
      <c r="E478" s="28" t="n"/>
      <c r="F478" s="28" t="n"/>
      <c r="G478" s="28" t="n"/>
      <c r="H478" s="28" t="n"/>
      <c r="I478" s="28" t="n"/>
      <c r="J478" s="28" t="n"/>
      <c r="K478" s="28" t="n"/>
    </row>
    <row r="479" ht="12.75" customHeight="1">
      <c r="A479" s="28" t="n"/>
      <c r="B479" s="28" t="n"/>
      <c r="C479" s="28" t="n"/>
      <c r="D479" s="28" t="n"/>
      <c r="E479" s="28" t="n"/>
      <c r="F479" s="28" t="n"/>
      <c r="G479" s="28" t="n"/>
      <c r="H479" s="28" t="n"/>
      <c r="I479" s="28" t="n"/>
      <c r="J479" s="28" t="n"/>
      <c r="K479" s="28" t="n"/>
    </row>
    <row r="480" ht="12.75" customHeight="1">
      <c r="A480" s="28" t="n"/>
      <c r="B480" s="28" t="n"/>
      <c r="C480" s="28" t="n"/>
      <c r="D480" s="28" t="n"/>
      <c r="E480" s="28" t="n"/>
      <c r="F480" s="28" t="n"/>
      <c r="G480" s="28" t="n"/>
      <c r="H480" s="28" t="n"/>
      <c r="I480" s="28" t="n"/>
      <c r="J480" s="28" t="n"/>
      <c r="K480" s="28" t="n"/>
    </row>
    <row r="481" ht="12.75" customHeight="1">
      <c r="A481" s="28" t="n"/>
      <c r="B481" s="28" t="n"/>
      <c r="C481" s="28" t="n"/>
      <c r="D481" s="28" t="n"/>
      <c r="E481" s="28" t="n"/>
      <c r="F481" s="28" t="n"/>
      <c r="G481" s="28" t="n"/>
      <c r="H481" s="28" t="n"/>
      <c r="I481" s="28" t="n"/>
      <c r="J481" s="28" t="n"/>
      <c r="K481" s="28" t="n"/>
    </row>
    <row r="482" ht="12.75" customHeight="1">
      <c r="A482" s="28" t="n"/>
      <c r="B482" s="28" t="n"/>
      <c r="C482" s="28" t="n"/>
      <c r="D482" s="28" t="n"/>
      <c r="E482" s="28" t="n"/>
      <c r="F482" s="28" t="n"/>
      <c r="G482" s="28" t="n"/>
      <c r="H482" s="28" t="n"/>
      <c r="I482" s="28" t="n"/>
      <c r="J482" s="28" t="n"/>
      <c r="K482" s="28" t="n"/>
    </row>
    <row r="483" ht="12.75" customHeight="1">
      <c r="A483" s="28" t="n"/>
      <c r="B483" s="28" t="n"/>
      <c r="C483" s="28" t="n"/>
      <c r="D483" s="28" t="n"/>
      <c r="E483" s="28" t="n"/>
      <c r="F483" s="28" t="n"/>
      <c r="G483" s="28" t="n"/>
      <c r="H483" s="28" t="n"/>
      <c r="I483" s="28" t="n"/>
      <c r="J483" s="28" t="n"/>
      <c r="K483" s="28" t="n"/>
    </row>
    <row r="484" ht="12.75" customHeight="1">
      <c r="A484" s="28" t="n"/>
      <c r="B484" s="28" t="n"/>
      <c r="C484" s="28" t="n"/>
      <c r="D484" s="28" t="n"/>
      <c r="E484" s="28" t="n"/>
      <c r="F484" s="28" t="n"/>
      <c r="G484" s="28" t="n"/>
      <c r="H484" s="28" t="n"/>
      <c r="I484" s="28" t="n"/>
      <c r="J484" s="28" t="n"/>
      <c r="K484" s="28" t="n"/>
    </row>
    <row r="485" ht="12.75" customHeight="1">
      <c r="A485" s="28" t="n"/>
      <c r="B485" s="28" t="n"/>
      <c r="C485" s="28" t="n"/>
      <c r="D485" s="28" t="n"/>
      <c r="E485" s="28" t="n"/>
      <c r="F485" s="28" t="n"/>
      <c r="G485" s="28" t="n"/>
      <c r="H485" s="28" t="n"/>
      <c r="I485" s="28" t="n"/>
      <c r="J485" s="28" t="n"/>
      <c r="K485" s="28" t="n"/>
    </row>
    <row r="486" ht="12.75" customHeight="1">
      <c r="A486" s="28" t="n"/>
      <c r="B486" s="28" t="n"/>
      <c r="C486" s="28" t="n"/>
      <c r="D486" s="28" t="n"/>
      <c r="E486" s="28" t="n"/>
      <c r="F486" s="28" t="n"/>
      <c r="G486" s="28" t="n"/>
      <c r="H486" s="28" t="n"/>
      <c r="I486" s="28" t="n"/>
      <c r="J486" s="28" t="n"/>
      <c r="K486" s="28" t="n"/>
    </row>
    <row r="487" ht="12.75" customHeight="1">
      <c r="A487" s="28" t="n"/>
      <c r="B487" s="28" t="n"/>
      <c r="C487" s="28" t="n"/>
      <c r="D487" s="28" t="n"/>
      <c r="E487" s="28" t="n"/>
      <c r="F487" s="28" t="n"/>
      <c r="G487" s="28" t="n"/>
      <c r="H487" s="28" t="n"/>
      <c r="I487" s="28" t="n"/>
      <c r="J487" s="28" t="n"/>
      <c r="K487" s="28" t="n"/>
    </row>
    <row r="488" ht="12.75" customHeight="1">
      <c r="A488" s="28" t="n"/>
      <c r="B488" s="28" t="n"/>
      <c r="C488" s="28" t="n"/>
      <c r="D488" s="28" t="n"/>
      <c r="E488" s="28" t="n"/>
      <c r="F488" s="28" t="n"/>
      <c r="G488" s="28" t="n"/>
      <c r="H488" s="28" t="n"/>
      <c r="I488" s="28" t="n"/>
      <c r="J488" s="28" t="n"/>
      <c r="K488" s="28" t="n"/>
    </row>
    <row r="489" ht="12.75" customHeight="1">
      <c r="A489" s="28" t="n"/>
      <c r="B489" s="28" t="n"/>
      <c r="C489" s="28" t="n"/>
      <c r="D489" s="28" t="n"/>
      <c r="E489" s="28" t="n"/>
      <c r="F489" s="28" t="n"/>
      <c r="G489" s="28" t="n"/>
      <c r="H489" s="28" t="n"/>
      <c r="I489" s="28" t="n"/>
      <c r="J489" s="28" t="n"/>
      <c r="K489" s="28" t="n"/>
    </row>
    <row r="490" ht="12.75" customHeight="1">
      <c r="A490" s="28" t="n"/>
      <c r="B490" s="28" t="n"/>
      <c r="C490" s="28" t="n"/>
      <c r="D490" s="28" t="n"/>
      <c r="E490" s="28" t="n"/>
      <c r="F490" s="28" t="n"/>
      <c r="G490" s="28" t="n"/>
      <c r="H490" s="28" t="n"/>
      <c r="I490" s="28" t="n"/>
      <c r="J490" s="28" t="n"/>
      <c r="K490" s="28" t="n"/>
    </row>
    <row r="491" ht="12.75" customHeight="1">
      <c r="A491" s="28" t="n"/>
      <c r="B491" s="28" t="n"/>
      <c r="C491" s="28" t="n"/>
      <c r="D491" s="28" t="n"/>
      <c r="E491" s="28" t="n"/>
      <c r="F491" s="28" t="n"/>
      <c r="G491" s="28" t="n"/>
      <c r="H491" s="28" t="n"/>
      <c r="I491" s="28" t="n"/>
      <c r="J491" s="28" t="n"/>
      <c r="K491" s="28" t="n"/>
    </row>
    <row r="492" ht="12.75" customHeight="1">
      <c r="A492" s="28" t="n"/>
      <c r="B492" s="28" t="n"/>
      <c r="C492" s="28" t="n"/>
      <c r="D492" s="28" t="n"/>
      <c r="E492" s="28" t="n"/>
      <c r="F492" s="28" t="n"/>
      <c r="G492" s="28" t="n"/>
      <c r="H492" s="28" t="n"/>
      <c r="I492" s="28" t="n"/>
      <c r="J492" s="28" t="n"/>
      <c r="K492" s="28" t="n"/>
    </row>
    <row r="493" ht="12.75" customHeight="1">
      <c r="A493" s="28" t="n"/>
      <c r="B493" s="28" t="n"/>
      <c r="C493" s="28" t="n"/>
      <c r="D493" s="28" t="n"/>
      <c r="E493" s="28" t="n"/>
      <c r="F493" s="28" t="n"/>
      <c r="G493" s="28" t="n"/>
      <c r="H493" s="28" t="n"/>
      <c r="I493" s="28" t="n"/>
      <c r="J493" s="28" t="n"/>
      <c r="K493" s="28" t="n"/>
    </row>
    <row r="494" ht="12.75" customHeight="1">
      <c r="A494" s="28" t="n"/>
      <c r="B494" s="28" t="n"/>
      <c r="C494" s="28" t="n"/>
      <c r="D494" s="28" t="n"/>
      <c r="E494" s="28" t="n"/>
      <c r="F494" s="28" t="n"/>
      <c r="G494" s="28" t="n"/>
      <c r="H494" s="28" t="n"/>
      <c r="I494" s="28" t="n"/>
      <c r="J494" s="28" t="n"/>
      <c r="K494" s="28" t="n"/>
    </row>
    <row r="495" ht="12.75" customHeight="1">
      <c r="A495" s="28" t="n"/>
      <c r="B495" s="28" t="n"/>
      <c r="C495" s="28" t="n"/>
      <c r="D495" s="28" t="n"/>
      <c r="E495" s="28" t="n"/>
      <c r="F495" s="28" t="n"/>
      <c r="G495" s="28" t="n"/>
      <c r="H495" s="28" t="n"/>
      <c r="I495" s="28" t="n"/>
      <c r="J495" s="28" t="n"/>
      <c r="K495" s="28" t="n"/>
    </row>
    <row r="496" ht="12.75" customHeight="1">
      <c r="A496" s="28" t="n"/>
      <c r="B496" s="28" t="n"/>
      <c r="C496" s="28" t="n"/>
      <c r="D496" s="28" t="n"/>
      <c r="E496" s="28" t="n"/>
      <c r="F496" s="28" t="n"/>
      <c r="G496" s="28" t="n"/>
      <c r="H496" s="28" t="n"/>
      <c r="I496" s="28" t="n"/>
      <c r="J496" s="28" t="n"/>
      <c r="K496" s="28" t="n"/>
    </row>
    <row r="497" ht="12.75" customHeight="1">
      <c r="A497" s="28" t="n"/>
      <c r="B497" s="28" t="n"/>
      <c r="C497" s="28" t="n"/>
      <c r="D497" s="28" t="n"/>
      <c r="E497" s="28" t="n"/>
      <c r="F497" s="28" t="n"/>
      <c r="G497" s="28" t="n"/>
      <c r="H497" s="28" t="n"/>
      <c r="I497" s="28" t="n"/>
      <c r="J497" s="28" t="n"/>
      <c r="K497" s="28" t="n"/>
    </row>
    <row r="498" ht="12.75" customHeight="1">
      <c r="A498" s="28" t="n"/>
      <c r="B498" s="28" t="n"/>
      <c r="C498" s="28" t="n"/>
      <c r="D498" s="28" t="n"/>
      <c r="E498" s="28" t="n"/>
      <c r="F498" s="28" t="n"/>
      <c r="G498" s="28" t="n"/>
      <c r="H498" s="28" t="n"/>
      <c r="I498" s="28" t="n"/>
      <c r="J498" s="28" t="n"/>
      <c r="K498" s="28" t="n"/>
    </row>
    <row r="499" ht="12.75" customHeight="1">
      <c r="A499" s="28" t="n"/>
      <c r="B499" s="28" t="n"/>
      <c r="C499" s="28" t="n"/>
      <c r="D499" s="28" t="n"/>
      <c r="E499" s="28" t="n"/>
      <c r="F499" s="28" t="n"/>
      <c r="G499" s="28" t="n"/>
      <c r="H499" s="28" t="n"/>
      <c r="I499" s="28" t="n"/>
      <c r="J499" s="28" t="n"/>
      <c r="K499" s="28" t="n"/>
    </row>
    <row r="500" ht="12.75" customHeight="1">
      <c r="A500" s="28" t="n"/>
      <c r="B500" s="28" t="n"/>
      <c r="C500" s="28" t="n"/>
      <c r="D500" s="28" t="n"/>
      <c r="E500" s="28" t="n"/>
      <c r="F500" s="28" t="n"/>
      <c r="G500" s="28" t="n"/>
      <c r="H500" s="28" t="n"/>
      <c r="I500" s="28" t="n"/>
      <c r="J500" s="28" t="n"/>
      <c r="K500" s="28" t="n"/>
    </row>
    <row r="501" ht="12.75" customHeight="1">
      <c r="A501" s="28" t="n"/>
      <c r="B501" s="28" t="n"/>
      <c r="C501" s="28" t="n"/>
      <c r="D501" s="28" t="n"/>
      <c r="E501" s="28" t="n"/>
      <c r="F501" s="28" t="n"/>
      <c r="G501" s="28" t="n"/>
      <c r="H501" s="28" t="n"/>
      <c r="I501" s="28" t="n"/>
      <c r="J501" s="28" t="n"/>
      <c r="K501" s="28" t="n"/>
    </row>
    <row r="502" ht="12.75" customHeight="1">
      <c r="A502" s="28" t="n"/>
      <c r="B502" s="28" t="n"/>
      <c r="C502" s="28" t="n"/>
      <c r="D502" s="28" t="n"/>
      <c r="E502" s="28" t="n"/>
      <c r="F502" s="28" t="n"/>
      <c r="G502" s="28" t="n"/>
      <c r="H502" s="28" t="n"/>
      <c r="I502" s="28" t="n"/>
      <c r="J502" s="28" t="n"/>
      <c r="K502" s="28" t="n"/>
    </row>
    <row r="503" ht="12.75" customHeight="1">
      <c r="A503" s="28" t="n"/>
      <c r="B503" s="28" t="n"/>
      <c r="C503" s="28" t="n"/>
      <c r="D503" s="28" t="n"/>
      <c r="E503" s="28" t="n"/>
      <c r="F503" s="28" t="n"/>
      <c r="G503" s="28" t="n"/>
      <c r="H503" s="28" t="n"/>
      <c r="I503" s="28" t="n"/>
      <c r="J503" s="28" t="n"/>
      <c r="K503" s="28" t="n"/>
    </row>
    <row r="504" ht="12.75" customHeight="1">
      <c r="A504" s="28" t="n"/>
      <c r="B504" s="28" t="n"/>
      <c r="C504" s="28" t="n"/>
      <c r="D504" s="28" t="n"/>
      <c r="E504" s="28" t="n"/>
      <c r="F504" s="28" t="n"/>
      <c r="G504" s="28" t="n"/>
      <c r="H504" s="28" t="n"/>
      <c r="I504" s="28" t="n"/>
      <c r="J504" s="28" t="n"/>
      <c r="K504" s="28" t="n"/>
    </row>
    <row r="505" ht="12.75" customHeight="1">
      <c r="A505" s="28" t="n"/>
      <c r="B505" s="28" t="n"/>
      <c r="C505" s="28" t="n"/>
      <c r="D505" s="28" t="n"/>
      <c r="E505" s="28" t="n"/>
      <c r="F505" s="28" t="n"/>
      <c r="G505" s="28" t="n"/>
      <c r="H505" s="28" t="n"/>
      <c r="I505" s="28" t="n"/>
      <c r="J505" s="28" t="n"/>
      <c r="K505" s="28" t="n"/>
    </row>
    <row r="506" ht="12.75" customHeight="1">
      <c r="A506" s="28" t="n"/>
      <c r="B506" s="28" t="n"/>
      <c r="C506" s="28" t="n"/>
      <c r="D506" s="28" t="n"/>
      <c r="E506" s="28" t="n"/>
      <c r="F506" s="28" t="n"/>
      <c r="G506" s="28" t="n"/>
      <c r="H506" s="28" t="n"/>
      <c r="I506" s="28" t="n"/>
      <c r="J506" s="28" t="n"/>
      <c r="K506" s="28" t="n"/>
    </row>
    <row r="507" ht="12.75" customHeight="1">
      <c r="A507" s="28" t="n"/>
      <c r="B507" s="28" t="n"/>
      <c r="C507" s="28" t="n"/>
      <c r="D507" s="28" t="n"/>
      <c r="E507" s="28" t="n"/>
      <c r="F507" s="28" t="n"/>
      <c r="G507" s="28" t="n"/>
      <c r="H507" s="28" t="n"/>
      <c r="I507" s="28" t="n"/>
      <c r="J507" s="28" t="n"/>
      <c r="K507" s="28" t="n"/>
    </row>
    <row r="508" ht="12.75" customHeight="1">
      <c r="A508" s="28" t="n"/>
      <c r="B508" s="28" t="n"/>
      <c r="C508" s="28" t="n"/>
      <c r="D508" s="28" t="n"/>
      <c r="E508" s="28" t="n"/>
      <c r="F508" s="28" t="n"/>
      <c r="G508" s="28" t="n"/>
      <c r="H508" s="28" t="n"/>
      <c r="I508" s="28" t="n"/>
      <c r="J508" s="28" t="n"/>
      <c r="K508" s="28" t="n"/>
    </row>
    <row r="509" ht="12.75" customHeight="1">
      <c r="A509" s="28" t="n"/>
      <c r="B509" s="28" t="n"/>
      <c r="C509" s="28" t="n"/>
      <c r="D509" s="28" t="n"/>
      <c r="E509" s="28" t="n"/>
      <c r="F509" s="28" t="n"/>
      <c r="G509" s="28" t="n"/>
      <c r="H509" s="28" t="n"/>
      <c r="I509" s="28" t="n"/>
      <c r="J509" s="28" t="n"/>
      <c r="K509" s="28" t="n"/>
    </row>
    <row r="510" ht="12.75" customHeight="1">
      <c r="A510" s="28" t="n"/>
      <c r="B510" s="28" t="n"/>
      <c r="C510" s="28" t="n"/>
      <c r="D510" s="28" t="n"/>
      <c r="E510" s="28" t="n"/>
      <c r="F510" s="28" t="n"/>
      <c r="G510" s="28" t="n"/>
      <c r="H510" s="28" t="n"/>
      <c r="I510" s="28" t="n"/>
      <c r="J510" s="28" t="n"/>
      <c r="K510" s="28" t="n"/>
    </row>
    <row r="511" ht="12.75" customHeight="1">
      <c r="A511" s="28" t="n"/>
      <c r="B511" s="28" t="n"/>
      <c r="C511" s="28" t="n"/>
      <c r="D511" s="28" t="n"/>
      <c r="E511" s="28" t="n"/>
      <c r="F511" s="28" t="n"/>
      <c r="G511" s="28" t="n"/>
      <c r="H511" s="28" t="n"/>
      <c r="I511" s="28" t="n"/>
      <c r="J511" s="28" t="n"/>
      <c r="K511" s="28" t="n"/>
    </row>
    <row r="512" ht="12.75" customHeight="1">
      <c r="A512" s="28" t="n"/>
      <c r="B512" s="28" t="n"/>
      <c r="C512" s="28" t="n"/>
      <c r="D512" s="28" t="n"/>
      <c r="E512" s="28" t="n"/>
      <c r="F512" s="28" t="n"/>
      <c r="G512" s="28" t="n"/>
      <c r="H512" s="28" t="n"/>
      <c r="I512" s="28" t="n"/>
      <c r="J512" s="28" t="n"/>
      <c r="K512" s="28" t="n"/>
    </row>
    <row r="513" ht="12.75" customHeight="1">
      <c r="A513" s="28" t="n"/>
      <c r="B513" s="28" t="n"/>
      <c r="C513" s="28" t="n"/>
      <c r="D513" s="28" t="n"/>
      <c r="E513" s="28" t="n"/>
      <c r="F513" s="28" t="n"/>
      <c r="G513" s="28" t="n"/>
      <c r="H513" s="28" t="n"/>
      <c r="I513" s="28" t="n"/>
      <c r="J513" s="28" t="n"/>
      <c r="K513" s="28" t="n"/>
    </row>
    <row r="514" ht="12.75" customHeight="1">
      <c r="A514" s="28" t="n"/>
      <c r="B514" s="28" t="n"/>
      <c r="C514" s="28" t="n"/>
      <c r="D514" s="28" t="n"/>
      <c r="E514" s="28" t="n"/>
      <c r="F514" s="28" t="n"/>
      <c r="G514" s="28" t="n"/>
      <c r="H514" s="28" t="n"/>
      <c r="I514" s="28" t="n"/>
      <c r="J514" s="28" t="n"/>
      <c r="K514" s="28" t="n"/>
    </row>
    <row r="515" ht="12.75" customHeight="1">
      <c r="A515" s="28" t="n"/>
      <c r="B515" s="28" t="n"/>
      <c r="C515" s="28" t="n"/>
      <c r="D515" s="28" t="n"/>
      <c r="E515" s="28" t="n"/>
      <c r="F515" s="28" t="n"/>
      <c r="G515" s="28" t="n"/>
      <c r="H515" s="28" t="n"/>
      <c r="I515" s="28" t="n"/>
      <c r="J515" s="28" t="n"/>
      <c r="K515" s="28" t="n"/>
    </row>
    <row r="516" ht="12.75" customHeight="1">
      <c r="A516" s="28" t="n"/>
      <c r="B516" s="28" t="n"/>
      <c r="C516" s="28" t="n"/>
      <c r="D516" s="28" t="n"/>
      <c r="E516" s="28" t="n"/>
      <c r="F516" s="28" t="n"/>
      <c r="G516" s="28" t="n"/>
      <c r="H516" s="28" t="n"/>
      <c r="I516" s="28" t="n"/>
      <c r="J516" s="28" t="n"/>
      <c r="K516" s="28" t="n"/>
    </row>
    <row r="517" ht="12.75" customHeight="1">
      <c r="A517" s="28" t="n"/>
      <c r="B517" s="28" t="n"/>
      <c r="C517" s="28" t="n"/>
      <c r="D517" s="28" t="n"/>
      <c r="E517" s="28" t="n"/>
      <c r="F517" s="28" t="n"/>
      <c r="G517" s="28" t="n"/>
      <c r="H517" s="28" t="n"/>
      <c r="I517" s="28" t="n"/>
      <c r="J517" s="28" t="n"/>
      <c r="K517" s="28" t="n"/>
    </row>
    <row r="518" ht="12.75" customHeight="1">
      <c r="A518" s="28" t="n"/>
      <c r="B518" s="28" t="n"/>
      <c r="C518" s="28" t="n"/>
      <c r="D518" s="28" t="n"/>
      <c r="E518" s="28" t="n"/>
      <c r="F518" s="28" t="n"/>
      <c r="G518" s="28" t="n"/>
      <c r="H518" s="28" t="n"/>
      <c r="I518" s="28" t="n"/>
      <c r="J518" s="28" t="n"/>
      <c r="K518" s="28" t="n"/>
    </row>
    <row r="519" ht="12.75" customHeight="1">
      <c r="A519" s="28" t="n"/>
      <c r="B519" s="28" t="n"/>
      <c r="C519" s="28" t="n"/>
      <c r="D519" s="28" t="n"/>
      <c r="E519" s="28" t="n"/>
      <c r="F519" s="28" t="n"/>
      <c r="G519" s="28" t="n"/>
      <c r="H519" s="28" t="n"/>
      <c r="I519" s="28" t="n"/>
      <c r="J519" s="28" t="n"/>
      <c r="K519" s="28" t="n"/>
    </row>
    <row r="520" ht="12.75" customHeight="1">
      <c r="A520" s="28" t="n"/>
      <c r="B520" s="28" t="n"/>
      <c r="C520" s="28" t="n"/>
      <c r="D520" s="28" t="n"/>
      <c r="E520" s="28" t="n"/>
      <c r="F520" s="28" t="n"/>
      <c r="G520" s="28" t="n"/>
      <c r="H520" s="28" t="n"/>
      <c r="I520" s="28" t="n"/>
      <c r="J520" s="28" t="n"/>
      <c r="K520" s="28" t="n"/>
    </row>
    <row r="521" ht="12.75" customHeight="1">
      <c r="A521" s="28" t="n"/>
      <c r="B521" s="28" t="n"/>
      <c r="C521" s="28" t="n"/>
      <c r="D521" s="28" t="n"/>
      <c r="E521" s="28" t="n"/>
      <c r="F521" s="28" t="n"/>
      <c r="G521" s="28" t="n"/>
      <c r="H521" s="28" t="n"/>
      <c r="I521" s="28" t="n"/>
      <c r="J521" s="28" t="n"/>
      <c r="K521" s="28" t="n"/>
    </row>
    <row r="522" ht="12.75" customHeight="1">
      <c r="A522" s="28" t="n"/>
      <c r="B522" s="28" t="n"/>
      <c r="C522" s="28" t="n"/>
      <c r="D522" s="28" t="n"/>
      <c r="E522" s="28" t="n"/>
      <c r="F522" s="28" t="n"/>
      <c r="G522" s="28" t="n"/>
      <c r="H522" s="28" t="n"/>
      <c r="I522" s="28" t="n"/>
      <c r="J522" s="28" t="n"/>
      <c r="K522" s="28" t="n"/>
    </row>
    <row r="523" ht="12.75" customHeight="1">
      <c r="A523" s="28" t="n"/>
      <c r="B523" s="28" t="n"/>
      <c r="C523" s="28" t="n"/>
      <c r="D523" s="28" t="n"/>
      <c r="E523" s="28" t="n"/>
      <c r="F523" s="28" t="n"/>
      <c r="G523" s="28" t="n"/>
      <c r="H523" s="28" t="n"/>
      <c r="I523" s="28" t="n"/>
      <c r="J523" s="28" t="n"/>
      <c r="K523" s="28" t="n"/>
    </row>
    <row r="524" ht="12.75" customHeight="1">
      <c r="A524" s="28" t="n"/>
      <c r="B524" s="28" t="n"/>
      <c r="C524" s="28" t="n"/>
      <c r="D524" s="28" t="n"/>
      <c r="E524" s="28" t="n"/>
      <c r="F524" s="28" t="n"/>
      <c r="G524" s="28" t="n"/>
      <c r="H524" s="28" t="n"/>
      <c r="I524" s="28" t="n"/>
      <c r="J524" s="28" t="n"/>
      <c r="K524" s="28" t="n"/>
    </row>
    <row r="525" ht="12.75" customHeight="1">
      <c r="A525" s="28" t="n"/>
      <c r="B525" s="28" t="n"/>
      <c r="C525" s="28" t="n"/>
      <c r="D525" s="28" t="n"/>
      <c r="E525" s="28" t="n"/>
      <c r="F525" s="28" t="n"/>
      <c r="G525" s="28" t="n"/>
      <c r="H525" s="28" t="n"/>
      <c r="I525" s="28" t="n"/>
      <c r="J525" s="28" t="n"/>
      <c r="K525" s="28" t="n"/>
    </row>
    <row r="526" ht="12.75" customHeight="1">
      <c r="A526" s="28" t="n"/>
      <c r="B526" s="28" t="n"/>
      <c r="C526" s="28" t="n"/>
      <c r="D526" s="28" t="n"/>
      <c r="E526" s="28" t="n"/>
      <c r="F526" s="28" t="n"/>
      <c r="G526" s="28" t="n"/>
      <c r="H526" s="28" t="n"/>
      <c r="I526" s="28" t="n"/>
      <c r="J526" s="28" t="n"/>
      <c r="K526" s="28" t="n"/>
    </row>
    <row r="527" ht="12.75" customHeight="1">
      <c r="A527" s="28" t="n"/>
      <c r="B527" s="28" t="n"/>
      <c r="C527" s="28" t="n"/>
      <c r="D527" s="28" t="n"/>
      <c r="E527" s="28" t="n"/>
      <c r="F527" s="28" t="n"/>
      <c r="G527" s="28" t="n"/>
      <c r="H527" s="28" t="n"/>
      <c r="I527" s="28" t="n"/>
      <c r="J527" s="28" t="n"/>
      <c r="K527" s="28" t="n"/>
    </row>
    <row r="528" ht="12.75" customHeight="1">
      <c r="A528" s="28" t="n"/>
      <c r="B528" s="28" t="n"/>
      <c r="C528" s="28" t="n"/>
      <c r="D528" s="28" t="n"/>
      <c r="E528" s="28" t="n"/>
      <c r="F528" s="28" t="n"/>
      <c r="G528" s="28" t="n"/>
      <c r="H528" s="28" t="n"/>
      <c r="I528" s="28" t="n"/>
      <c r="J528" s="28" t="n"/>
      <c r="K528" s="28" t="n"/>
    </row>
    <row r="529" ht="12.75" customHeight="1">
      <c r="A529" s="28" t="n"/>
      <c r="B529" s="28" t="n"/>
      <c r="C529" s="28" t="n"/>
      <c r="D529" s="28" t="n"/>
      <c r="E529" s="28" t="n"/>
      <c r="F529" s="28" t="n"/>
      <c r="G529" s="28" t="n"/>
      <c r="H529" s="28" t="n"/>
      <c r="I529" s="28" t="n"/>
      <c r="J529" s="28" t="n"/>
      <c r="K529" s="28" t="n"/>
    </row>
    <row r="530" ht="12.75" customHeight="1">
      <c r="A530" s="28" t="n"/>
      <c r="B530" s="28" t="n"/>
      <c r="C530" s="28" t="n"/>
      <c r="D530" s="28" t="n"/>
      <c r="E530" s="28" t="n"/>
      <c r="F530" s="28" t="n"/>
      <c r="G530" s="28" t="n"/>
      <c r="H530" s="28" t="n"/>
      <c r="I530" s="28" t="n"/>
      <c r="J530" s="28" t="n"/>
      <c r="K530" s="28" t="n"/>
    </row>
    <row r="531" ht="12.75" customHeight="1">
      <c r="A531" s="28" t="n"/>
      <c r="B531" s="28" t="n"/>
      <c r="C531" s="28" t="n"/>
      <c r="D531" s="28" t="n"/>
      <c r="E531" s="28" t="n"/>
      <c r="F531" s="28" t="n"/>
      <c r="G531" s="28" t="n"/>
      <c r="H531" s="28" t="n"/>
      <c r="I531" s="28" t="n"/>
      <c r="J531" s="28" t="n"/>
      <c r="K531" s="28" t="n"/>
    </row>
    <row r="532" ht="12.75" customHeight="1">
      <c r="A532" s="28" t="n"/>
      <c r="B532" s="28" t="n"/>
      <c r="C532" s="28" t="n"/>
      <c r="D532" s="28" t="n"/>
      <c r="E532" s="28" t="n"/>
      <c r="F532" s="28" t="n"/>
      <c r="G532" s="28" t="n"/>
      <c r="H532" s="28" t="n"/>
      <c r="I532" s="28" t="n"/>
      <c r="J532" s="28" t="n"/>
      <c r="K532" s="28" t="n"/>
    </row>
    <row r="533" ht="12.75" customHeight="1">
      <c r="A533" s="28" t="n"/>
      <c r="B533" s="28" t="n"/>
      <c r="C533" s="28" t="n"/>
      <c r="D533" s="28" t="n"/>
      <c r="E533" s="28" t="n"/>
      <c r="F533" s="28" t="n"/>
      <c r="G533" s="28" t="n"/>
      <c r="H533" s="28" t="n"/>
      <c r="I533" s="28" t="n"/>
      <c r="J533" s="28" t="n"/>
      <c r="K533" s="28" t="n"/>
    </row>
    <row r="534" ht="12.75" customHeight="1">
      <c r="A534" s="28" t="n"/>
      <c r="B534" s="28" t="n"/>
      <c r="C534" s="28" t="n"/>
      <c r="D534" s="28" t="n"/>
      <c r="E534" s="28" t="n"/>
      <c r="F534" s="28" t="n"/>
      <c r="G534" s="28" t="n"/>
      <c r="H534" s="28" t="n"/>
      <c r="I534" s="28" t="n"/>
      <c r="J534" s="28" t="n"/>
      <c r="K534" s="28" t="n"/>
    </row>
    <row r="535" ht="12.75" customHeight="1">
      <c r="A535" s="28" t="n"/>
      <c r="B535" s="28" t="n"/>
      <c r="C535" s="28" t="n"/>
      <c r="D535" s="28" t="n"/>
      <c r="E535" s="28" t="n"/>
      <c r="F535" s="28" t="n"/>
      <c r="G535" s="28" t="n"/>
      <c r="H535" s="28" t="n"/>
      <c r="I535" s="28" t="n"/>
      <c r="J535" s="28" t="n"/>
      <c r="K535" s="28" t="n"/>
    </row>
    <row r="536" ht="12.75" customHeight="1">
      <c r="A536" s="28" t="n"/>
      <c r="B536" s="28" t="n"/>
      <c r="C536" s="28" t="n"/>
      <c r="D536" s="28" t="n"/>
      <c r="E536" s="28" t="n"/>
      <c r="F536" s="28" t="n"/>
      <c r="G536" s="28" t="n"/>
      <c r="H536" s="28" t="n"/>
      <c r="I536" s="28" t="n"/>
      <c r="J536" s="28" t="n"/>
      <c r="K536" s="28" t="n"/>
    </row>
    <row r="537" ht="12.75" customHeight="1">
      <c r="A537" s="28" t="n"/>
      <c r="B537" s="28" t="n"/>
      <c r="C537" s="28" t="n"/>
      <c r="D537" s="28" t="n"/>
      <c r="E537" s="28" t="n"/>
      <c r="F537" s="28" t="n"/>
      <c r="G537" s="28" t="n"/>
      <c r="H537" s="28" t="n"/>
      <c r="I537" s="28" t="n"/>
      <c r="J537" s="28" t="n"/>
      <c r="K537" s="28" t="n"/>
    </row>
    <row r="538" ht="12.75" customHeight="1">
      <c r="A538" s="28" t="n"/>
      <c r="B538" s="28" t="n"/>
      <c r="C538" s="28" t="n"/>
      <c r="D538" s="28" t="n"/>
      <c r="E538" s="28" t="n"/>
      <c r="F538" s="28" t="n"/>
      <c r="G538" s="28" t="n"/>
      <c r="H538" s="28" t="n"/>
      <c r="I538" s="28" t="n"/>
      <c r="J538" s="28" t="n"/>
      <c r="K538" s="28" t="n"/>
    </row>
    <row r="539" ht="12.75" customHeight="1">
      <c r="A539" s="28" t="n"/>
      <c r="B539" s="28" t="n"/>
      <c r="C539" s="28" t="n"/>
      <c r="D539" s="28" t="n"/>
      <c r="E539" s="28" t="n"/>
      <c r="F539" s="28" t="n"/>
      <c r="G539" s="28" t="n"/>
      <c r="H539" s="28" t="n"/>
      <c r="I539" s="28" t="n"/>
      <c r="J539" s="28" t="n"/>
      <c r="K539" s="28" t="n"/>
    </row>
    <row r="540" ht="12.75" customHeight="1">
      <c r="A540" s="28" t="n"/>
      <c r="B540" s="28" t="n"/>
      <c r="C540" s="28" t="n"/>
      <c r="D540" s="28" t="n"/>
      <c r="E540" s="28" t="n"/>
      <c r="F540" s="28" t="n"/>
      <c r="G540" s="28" t="n"/>
      <c r="H540" s="28" t="n"/>
      <c r="I540" s="28" t="n"/>
      <c r="J540" s="28" t="n"/>
      <c r="K540" s="28" t="n"/>
    </row>
    <row r="541" ht="12.75" customHeight="1">
      <c r="A541" s="28" t="n"/>
      <c r="B541" s="28" t="n"/>
      <c r="C541" s="28" t="n"/>
      <c r="D541" s="28" t="n"/>
      <c r="E541" s="28" t="n"/>
      <c r="F541" s="28" t="n"/>
      <c r="G541" s="28" t="n"/>
      <c r="H541" s="28" t="n"/>
      <c r="I541" s="28" t="n"/>
      <c r="J541" s="28" t="n"/>
      <c r="K541" s="28" t="n"/>
    </row>
    <row r="542" ht="12.75" customHeight="1">
      <c r="A542" s="28" t="n"/>
      <c r="B542" s="28" t="n"/>
      <c r="C542" s="28" t="n"/>
      <c r="D542" s="28" t="n"/>
      <c r="E542" s="28" t="n"/>
      <c r="F542" s="28" t="n"/>
      <c r="G542" s="28" t="n"/>
      <c r="H542" s="28" t="n"/>
      <c r="I542" s="28" t="n"/>
      <c r="J542" s="28" t="n"/>
      <c r="K542" s="28" t="n"/>
    </row>
    <row r="543" ht="12.75" customHeight="1">
      <c r="A543" s="28" t="n"/>
      <c r="B543" s="28" t="n"/>
      <c r="C543" s="28" t="n"/>
      <c r="D543" s="28" t="n"/>
      <c r="E543" s="28" t="n"/>
      <c r="F543" s="28" t="n"/>
      <c r="G543" s="28" t="n"/>
      <c r="H543" s="28" t="n"/>
      <c r="I543" s="28" t="n"/>
      <c r="J543" s="28" t="n"/>
      <c r="K543" s="28" t="n"/>
    </row>
    <row r="544" ht="12.75" customHeight="1">
      <c r="A544" s="28" t="n"/>
      <c r="B544" s="28" t="n"/>
      <c r="C544" s="28" t="n"/>
      <c r="D544" s="28" t="n"/>
      <c r="E544" s="28" t="n"/>
      <c r="F544" s="28" t="n"/>
      <c r="G544" s="28" t="n"/>
      <c r="H544" s="28" t="n"/>
      <c r="I544" s="28" t="n"/>
      <c r="J544" s="28" t="n"/>
      <c r="K544" s="28" t="n"/>
    </row>
    <row r="545" ht="12.75" customHeight="1">
      <c r="A545" s="28" t="n"/>
      <c r="B545" s="28" t="n"/>
      <c r="C545" s="28" t="n"/>
      <c r="D545" s="28" t="n"/>
      <c r="E545" s="28" t="n"/>
      <c r="F545" s="28" t="n"/>
      <c r="G545" s="28" t="n"/>
      <c r="H545" s="28" t="n"/>
      <c r="I545" s="28" t="n"/>
      <c r="J545" s="28" t="n"/>
      <c r="K545" s="28" t="n"/>
    </row>
    <row r="546" ht="12.75" customHeight="1">
      <c r="A546" s="28" t="n"/>
      <c r="B546" s="28" t="n"/>
      <c r="C546" s="28" t="n"/>
      <c r="D546" s="28" t="n"/>
      <c r="E546" s="28" t="n"/>
      <c r="F546" s="28" t="n"/>
      <c r="G546" s="28" t="n"/>
      <c r="H546" s="28" t="n"/>
      <c r="I546" s="28" t="n"/>
      <c r="J546" s="28" t="n"/>
      <c r="K546" s="28" t="n"/>
    </row>
    <row r="547" ht="12.75" customHeight="1">
      <c r="A547" s="28" t="n"/>
      <c r="B547" s="28" t="n"/>
      <c r="C547" s="28" t="n"/>
      <c r="D547" s="28" t="n"/>
      <c r="E547" s="28" t="n"/>
      <c r="F547" s="28" t="n"/>
      <c r="G547" s="28" t="n"/>
      <c r="H547" s="28" t="n"/>
      <c r="I547" s="28" t="n"/>
      <c r="J547" s="28" t="n"/>
      <c r="K547" s="28" t="n"/>
    </row>
    <row r="548" ht="12.75" customHeight="1">
      <c r="A548" s="28" t="n"/>
      <c r="B548" s="28" t="n"/>
      <c r="C548" s="28" t="n"/>
      <c r="D548" s="28" t="n"/>
      <c r="E548" s="28" t="n"/>
      <c r="F548" s="28" t="n"/>
      <c r="G548" s="28" t="n"/>
      <c r="H548" s="28" t="n"/>
      <c r="I548" s="28" t="n"/>
      <c r="J548" s="28" t="n"/>
      <c r="K548" s="28" t="n"/>
    </row>
    <row r="549" ht="12.75" customHeight="1">
      <c r="A549" s="28" t="n"/>
      <c r="B549" s="28" t="n"/>
      <c r="C549" s="28" t="n"/>
      <c r="D549" s="28" t="n"/>
      <c r="E549" s="28" t="n"/>
      <c r="F549" s="28" t="n"/>
      <c r="G549" s="28" t="n"/>
      <c r="H549" s="28" t="n"/>
      <c r="I549" s="28" t="n"/>
      <c r="J549" s="28" t="n"/>
      <c r="K549" s="28" t="n"/>
    </row>
    <row r="550" ht="12.75" customHeight="1">
      <c r="A550" s="28" t="n"/>
      <c r="B550" s="28" t="n"/>
      <c r="C550" s="28" t="n"/>
      <c r="D550" s="28" t="n"/>
      <c r="E550" s="28" t="n"/>
      <c r="F550" s="28" t="n"/>
      <c r="G550" s="28" t="n"/>
      <c r="H550" s="28" t="n"/>
      <c r="I550" s="28" t="n"/>
      <c r="J550" s="28" t="n"/>
      <c r="K550" s="28" t="n"/>
    </row>
    <row r="551" ht="12.75" customHeight="1">
      <c r="A551" s="28" t="n"/>
      <c r="B551" s="28" t="n"/>
      <c r="C551" s="28" t="n"/>
      <c r="D551" s="28" t="n"/>
      <c r="E551" s="28" t="n"/>
      <c r="F551" s="28" t="n"/>
      <c r="G551" s="28" t="n"/>
      <c r="H551" s="28" t="n"/>
      <c r="I551" s="28" t="n"/>
      <c r="J551" s="28" t="n"/>
      <c r="K551" s="28" t="n"/>
    </row>
    <row r="552" ht="12.75" customHeight="1">
      <c r="A552" s="28" t="n"/>
      <c r="B552" s="28" t="n"/>
      <c r="C552" s="28" t="n"/>
      <c r="D552" s="28" t="n"/>
      <c r="E552" s="28" t="n"/>
      <c r="F552" s="28" t="n"/>
      <c r="G552" s="28" t="n"/>
      <c r="H552" s="28" t="n"/>
      <c r="I552" s="28" t="n"/>
      <c r="J552" s="28" t="n"/>
      <c r="K552" s="28" t="n"/>
    </row>
    <row r="553" ht="12.75" customHeight="1">
      <c r="A553" s="28" t="n"/>
      <c r="B553" s="28" t="n"/>
      <c r="C553" s="28" t="n"/>
      <c r="D553" s="28" t="n"/>
      <c r="E553" s="28" t="n"/>
      <c r="F553" s="28" t="n"/>
      <c r="G553" s="28" t="n"/>
      <c r="H553" s="28" t="n"/>
      <c r="I553" s="28" t="n"/>
      <c r="J553" s="28" t="n"/>
      <c r="K553" s="28" t="n"/>
    </row>
    <row r="554" ht="12.75" customHeight="1">
      <c r="A554" s="28" t="n"/>
      <c r="B554" s="28" t="n"/>
      <c r="C554" s="28" t="n"/>
      <c r="D554" s="28" t="n"/>
      <c r="E554" s="28" t="n"/>
      <c r="F554" s="28" t="n"/>
      <c r="G554" s="28" t="n"/>
      <c r="H554" s="28" t="n"/>
      <c r="I554" s="28" t="n"/>
      <c r="J554" s="28" t="n"/>
      <c r="K554" s="28" t="n"/>
    </row>
    <row r="555" ht="12.75" customHeight="1">
      <c r="A555" s="28" t="n"/>
      <c r="B555" s="28" t="n"/>
      <c r="C555" s="28" t="n"/>
      <c r="D555" s="28" t="n"/>
      <c r="E555" s="28" t="n"/>
      <c r="F555" s="28" t="n"/>
      <c r="G555" s="28" t="n"/>
      <c r="H555" s="28" t="n"/>
      <c r="I555" s="28" t="n"/>
      <c r="J555" s="28" t="n"/>
      <c r="K555" s="28" t="n"/>
    </row>
    <row r="556" ht="12.75" customHeight="1">
      <c r="A556" s="28" t="n"/>
      <c r="B556" s="28" t="n"/>
      <c r="C556" s="28" t="n"/>
      <c r="D556" s="28" t="n"/>
      <c r="E556" s="28" t="n"/>
      <c r="F556" s="28" t="n"/>
      <c r="G556" s="28" t="n"/>
      <c r="H556" s="28" t="n"/>
      <c r="I556" s="28" t="n"/>
      <c r="J556" s="28" t="n"/>
      <c r="K556" s="28" t="n"/>
    </row>
    <row r="557" ht="12.75" customHeight="1">
      <c r="A557" s="28" t="n"/>
      <c r="B557" s="28" t="n"/>
      <c r="C557" s="28" t="n"/>
      <c r="D557" s="28" t="n"/>
      <c r="E557" s="28" t="n"/>
      <c r="F557" s="28" t="n"/>
      <c r="G557" s="28" t="n"/>
      <c r="H557" s="28" t="n"/>
      <c r="I557" s="28" t="n"/>
      <c r="J557" s="28" t="n"/>
      <c r="K557" s="28" t="n"/>
    </row>
    <row r="558" ht="12.75" customHeight="1">
      <c r="A558" s="28" t="n"/>
      <c r="B558" s="28" t="n"/>
      <c r="C558" s="28" t="n"/>
      <c r="D558" s="28" t="n"/>
      <c r="E558" s="28" t="n"/>
      <c r="F558" s="28" t="n"/>
      <c r="G558" s="28" t="n"/>
      <c r="H558" s="28" t="n"/>
      <c r="I558" s="28" t="n"/>
      <c r="J558" s="28" t="n"/>
      <c r="K558" s="28" t="n"/>
    </row>
    <row r="559" ht="12.75" customHeight="1">
      <c r="A559" s="28" t="n"/>
      <c r="B559" s="28" t="n"/>
      <c r="C559" s="28" t="n"/>
      <c r="D559" s="28" t="n"/>
      <c r="E559" s="28" t="n"/>
      <c r="F559" s="28" t="n"/>
      <c r="G559" s="28" t="n"/>
      <c r="H559" s="28" t="n"/>
      <c r="I559" s="28" t="n"/>
      <c r="J559" s="28" t="n"/>
      <c r="K559" s="28" t="n"/>
    </row>
    <row r="560" ht="12.75" customHeight="1">
      <c r="A560" s="28" t="n"/>
      <c r="B560" s="28" t="n"/>
      <c r="C560" s="28" t="n"/>
      <c r="D560" s="28" t="n"/>
      <c r="E560" s="28" t="n"/>
      <c r="F560" s="28" t="n"/>
      <c r="G560" s="28" t="n"/>
      <c r="H560" s="28" t="n"/>
      <c r="I560" s="28" t="n"/>
      <c r="J560" s="28" t="n"/>
      <c r="K560" s="28" t="n"/>
    </row>
    <row r="561" ht="12.75" customHeight="1">
      <c r="A561" s="28" t="n"/>
      <c r="B561" s="28" t="n"/>
      <c r="C561" s="28" t="n"/>
      <c r="D561" s="28" t="n"/>
      <c r="E561" s="28" t="n"/>
      <c r="F561" s="28" t="n"/>
      <c r="G561" s="28" t="n"/>
      <c r="H561" s="28" t="n"/>
      <c r="I561" s="28" t="n"/>
      <c r="J561" s="28" t="n"/>
      <c r="K561" s="28" t="n"/>
    </row>
    <row r="562" ht="12.75" customHeight="1">
      <c r="A562" s="28" t="n"/>
      <c r="B562" s="28" t="n"/>
      <c r="C562" s="28" t="n"/>
      <c r="D562" s="28" t="n"/>
      <c r="E562" s="28" t="n"/>
      <c r="F562" s="28" t="n"/>
      <c r="G562" s="28" t="n"/>
      <c r="H562" s="28" t="n"/>
      <c r="I562" s="28" t="n"/>
      <c r="J562" s="28" t="n"/>
      <c r="K562" s="28" t="n"/>
    </row>
    <row r="563" ht="12.75" customHeight="1">
      <c r="A563" s="28" t="n"/>
      <c r="B563" s="28" t="n"/>
      <c r="C563" s="28" t="n"/>
      <c r="D563" s="28" t="n"/>
      <c r="E563" s="28" t="n"/>
      <c r="F563" s="28" t="n"/>
      <c r="G563" s="28" t="n"/>
      <c r="H563" s="28" t="n"/>
      <c r="I563" s="28" t="n"/>
      <c r="J563" s="28" t="n"/>
      <c r="K563" s="28" t="n"/>
    </row>
    <row r="564" ht="12.75" customHeight="1">
      <c r="A564" s="28" t="n"/>
      <c r="B564" s="28" t="n"/>
      <c r="C564" s="28" t="n"/>
      <c r="D564" s="28" t="n"/>
      <c r="E564" s="28" t="n"/>
      <c r="F564" s="28" t="n"/>
      <c r="G564" s="28" t="n"/>
      <c r="H564" s="28" t="n"/>
      <c r="I564" s="28" t="n"/>
      <c r="J564" s="28" t="n"/>
      <c r="K564" s="28" t="n"/>
    </row>
    <row r="565" ht="12.75" customHeight="1">
      <c r="A565" s="28" t="n"/>
      <c r="B565" s="28" t="n"/>
      <c r="C565" s="28" t="n"/>
      <c r="D565" s="28" t="n"/>
      <c r="E565" s="28" t="n"/>
      <c r="F565" s="28" t="n"/>
      <c r="G565" s="28" t="n"/>
      <c r="H565" s="28" t="n"/>
      <c r="I565" s="28" t="n"/>
      <c r="J565" s="28" t="n"/>
      <c r="K565" s="28" t="n"/>
    </row>
    <row r="566" ht="12.75" customHeight="1">
      <c r="A566" s="28" t="n"/>
      <c r="B566" s="28" t="n"/>
      <c r="C566" s="28" t="n"/>
      <c r="D566" s="28" t="n"/>
      <c r="E566" s="28" t="n"/>
      <c r="F566" s="28" t="n"/>
      <c r="G566" s="28" t="n"/>
      <c r="H566" s="28" t="n"/>
      <c r="I566" s="28" t="n"/>
      <c r="J566" s="28" t="n"/>
      <c r="K566" s="28" t="n"/>
    </row>
    <row r="567" ht="12.75" customHeight="1">
      <c r="A567" s="28" t="n"/>
      <c r="B567" s="28" t="n"/>
      <c r="C567" s="28" t="n"/>
      <c r="D567" s="28" t="n"/>
      <c r="E567" s="28" t="n"/>
      <c r="F567" s="28" t="n"/>
      <c r="G567" s="28" t="n"/>
      <c r="H567" s="28" t="n"/>
      <c r="I567" s="28" t="n"/>
      <c r="J567" s="28" t="n"/>
      <c r="K567" s="28" t="n"/>
    </row>
    <row r="568" ht="12.75" customHeight="1">
      <c r="A568" s="28" t="n"/>
      <c r="B568" s="28" t="n"/>
      <c r="C568" s="28" t="n"/>
      <c r="D568" s="28" t="n"/>
      <c r="E568" s="28" t="n"/>
      <c r="F568" s="28" t="n"/>
      <c r="G568" s="28" t="n"/>
      <c r="H568" s="28" t="n"/>
      <c r="I568" s="28" t="n"/>
      <c r="J568" s="28" t="n"/>
      <c r="K568" s="28" t="n"/>
    </row>
    <row r="569" ht="12.75" customHeight="1">
      <c r="A569" s="28" t="n"/>
      <c r="B569" s="28" t="n"/>
      <c r="C569" s="28" t="n"/>
      <c r="D569" s="28" t="n"/>
      <c r="E569" s="28" t="n"/>
      <c r="F569" s="28" t="n"/>
      <c r="G569" s="28" t="n"/>
      <c r="H569" s="28" t="n"/>
      <c r="I569" s="28" t="n"/>
      <c r="J569" s="28" t="n"/>
      <c r="K569" s="28" t="n"/>
    </row>
    <row r="570" ht="12.75" customHeight="1">
      <c r="A570" s="28" t="n"/>
      <c r="B570" s="28" t="n"/>
      <c r="C570" s="28" t="n"/>
      <c r="D570" s="28" t="n"/>
      <c r="E570" s="28" t="n"/>
      <c r="F570" s="28" t="n"/>
      <c r="G570" s="28" t="n"/>
      <c r="H570" s="28" t="n"/>
      <c r="I570" s="28" t="n"/>
      <c r="J570" s="28" t="n"/>
      <c r="K570" s="28" t="n"/>
    </row>
    <row r="571" ht="12.75" customHeight="1">
      <c r="A571" s="28" t="n"/>
      <c r="B571" s="28" t="n"/>
      <c r="C571" s="28" t="n"/>
      <c r="D571" s="28" t="n"/>
      <c r="E571" s="28" t="n"/>
      <c r="F571" s="28" t="n"/>
      <c r="G571" s="28" t="n"/>
      <c r="H571" s="28" t="n"/>
      <c r="I571" s="28" t="n"/>
      <c r="J571" s="28" t="n"/>
      <c r="K571" s="28" t="n"/>
    </row>
    <row r="572" ht="12.75" customHeight="1">
      <c r="A572" s="28" t="n"/>
      <c r="B572" s="28" t="n"/>
      <c r="C572" s="28" t="n"/>
      <c r="D572" s="28" t="n"/>
      <c r="E572" s="28" t="n"/>
      <c r="F572" s="28" t="n"/>
      <c r="G572" s="28" t="n"/>
      <c r="H572" s="28" t="n"/>
      <c r="I572" s="28" t="n"/>
      <c r="J572" s="28" t="n"/>
      <c r="K572" s="28" t="n"/>
    </row>
    <row r="573" ht="12.75" customHeight="1">
      <c r="A573" s="28" t="n"/>
      <c r="B573" s="28" t="n"/>
      <c r="C573" s="28" t="n"/>
      <c r="D573" s="28" t="n"/>
      <c r="E573" s="28" t="n"/>
      <c r="F573" s="28" t="n"/>
      <c r="G573" s="28" t="n"/>
      <c r="H573" s="28" t="n"/>
      <c r="I573" s="28" t="n"/>
      <c r="J573" s="28" t="n"/>
      <c r="K573" s="28" t="n"/>
    </row>
    <row r="574" ht="12.75" customHeight="1">
      <c r="A574" s="28" t="n"/>
      <c r="B574" s="28" t="n"/>
      <c r="C574" s="28" t="n"/>
      <c r="D574" s="28" t="n"/>
      <c r="E574" s="28" t="n"/>
      <c r="F574" s="28" t="n"/>
      <c r="G574" s="28" t="n"/>
      <c r="H574" s="28" t="n"/>
      <c r="I574" s="28" t="n"/>
      <c r="J574" s="28" t="n"/>
      <c r="K574" s="28" t="n"/>
    </row>
    <row r="575" ht="12.75" customHeight="1">
      <c r="A575" s="28" t="n"/>
      <c r="B575" s="28" t="n"/>
      <c r="C575" s="28" t="n"/>
      <c r="D575" s="28" t="n"/>
      <c r="E575" s="28" t="n"/>
      <c r="F575" s="28" t="n"/>
      <c r="G575" s="28" t="n"/>
      <c r="H575" s="28" t="n"/>
      <c r="I575" s="28" t="n"/>
      <c r="J575" s="28" t="n"/>
      <c r="K575" s="28" t="n"/>
    </row>
    <row r="576" ht="12.75" customHeight="1">
      <c r="A576" s="28" t="n"/>
      <c r="B576" s="28" t="n"/>
      <c r="C576" s="28" t="n"/>
      <c r="D576" s="28" t="n"/>
      <c r="E576" s="28" t="n"/>
      <c r="F576" s="28" t="n"/>
      <c r="G576" s="28" t="n"/>
      <c r="H576" s="28" t="n"/>
      <c r="I576" s="28" t="n"/>
      <c r="J576" s="28" t="n"/>
      <c r="K576" s="28" t="n"/>
    </row>
    <row r="577" ht="12.75" customHeight="1">
      <c r="A577" s="28" t="n"/>
      <c r="B577" s="28" t="n"/>
      <c r="C577" s="28" t="n"/>
      <c r="D577" s="28" t="n"/>
      <c r="E577" s="28" t="n"/>
      <c r="F577" s="28" t="n"/>
      <c r="G577" s="28" t="n"/>
      <c r="H577" s="28" t="n"/>
      <c r="I577" s="28" t="n"/>
      <c r="J577" s="28" t="n"/>
      <c r="K577" s="28" t="n"/>
    </row>
    <row r="578" ht="12.75" customHeight="1">
      <c r="A578" s="28" t="n"/>
      <c r="B578" s="28" t="n"/>
      <c r="C578" s="28" t="n"/>
      <c r="D578" s="28" t="n"/>
      <c r="E578" s="28" t="n"/>
      <c r="F578" s="28" t="n"/>
      <c r="G578" s="28" t="n"/>
      <c r="H578" s="28" t="n"/>
      <c r="I578" s="28" t="n"/>
      <c r="J578" s="28" t="n"/>
      <c r="K578" s="28" t="n"/>
    </row>
    <row r="579" ht="12.75" customHeight="1">
      <c r="A579" s="28" t="n"/>
      <c r="B579" s="28" t="n"/>
      <c r="C579" s="28" t="n"/>
      <c r="D579" s="28" t="n"/>
      <c r="E579" s="28" t="n"/>
      <c r="F579" s="28" t="n"/>
      <c r="G579" s="28" t="n"/>
      <c r="H579" s="28" t="n"/>
      <c r="I579" s="28" t="n"/>
      <c r="J579" s="28" t="n"/>
      <c r="K579" s="28" t="n"/>
    </row>
    <row r="580" ht="12.75" customHeight="1">
      <c r="A580" s="28" t="n"/>
      <c r="B580" s="28" t="n"/>
      <c r="C580" s="28" t="n"/>
      <c r="D580" s="28" t="n"/>
      <c r="E580" s="28" t="n"/>
      <c r="F580" s="28" t="n"/>
      <c r="G580" s="28" t="n"/>
      <c r="H580" s="28" t="n"/>
      <c r="I580" s="28" t="n"/>
      <c r="J580" s="28" t="n"/>
      <c r="K580" s="28" t="n"/>
    </row>
    <row r="581" ht="12.75" customHeight="1">
      <c r="A581" s="28" t="n"/>
      <c r="B581" s="28" t="n"/>
      <c r="C581" s="28" t="n"/>
      <c r="D581" s="28" t="n"/>
      <c r="E581" s="28" t="n"/>
      <c r="F581" s="28" t="n"/>
      <c r="G581" s="28" t="n"/>
      <c r="H581" s="28" t="n"/>
      <c r="I581" s="28" t="n"/>
      <c r="J581" s="28" t="n"/>
      <c r="K581" s="28" t="n"/>
    </row>
    <row r="582" ht="12.75" customHeight="1">
      <c r="A582" s="28" t="n"/>
      <c r="B582" s="28" t="n"/>
      <c r="C582" s="28" t="n"/>
      <c r="D582" s="28" t="n"/>
      <c r="E582" s="28" t="n"/>
      <c r="F582" s="28" t="n"/>
      <c r="G582" s="28" t="n"/>
      <c r="H582" s="28" t="n"/>
      <c r="I582" s="28" t="n"/>
      <c r="J582" s="28" t="n"/>
      <c r="K582" s="28" t="n"/>
    </row>
    <row r="583" ht="12.75" customHeight="1">
      <c r="A583" s="28" t="n"/>
      <c r="B583" s="28" t="n"/>
      <c r="C583" s="28" t="n"/>
      <c r="D583" s="28" t="n"/>
      <c r="E583" s="28" t="n"/>
      <c r="F583" s="28" t="n"/>
      <c r="G583" s="28" t="n"/>
      <c r="H583" s="28" t="n"/>
      <c r="I583" s="28" t="n"/>
      <c r="J583" s="28" t="n"/>
      <c r="K583" s="28" t="n"/>
    </row>
    <row r="584" ht="12.75" customHeight="1">
      <c r="A584" s="28" t="n"/>
      <c r="B584" s="28" t="n"/>
      <c r="C584" s="28" t="n"/>
      <c r="D584" s="28" t="n"/>
      <c r="E584" s="28" t="n"/>
      <c r="F584" s="28" t="n"/>
      <c r="G584" s="28" t="n"/>
      <c r="H584" s="28" t="n"/>
      <c r="I584" s="28" t="n"/>
      <c r="J584" s="28" t="n"/>
      <c r="K584" s="28" t="n"/>
    </row>
    <row r="585" ht="12.75" customHeight="1">
      <c r="A585" s="28" t="n"/>
      <c r="B585" s="28" t="n"/>
      <c r="C585" s="28" t="n"/>
      <c r="D585" s="28" t="n"/>
      <c r="E585" s="28" t="n"/>
      <c r="F585" s="28" t="n"/>
      <c r="G585" s="28" t="n"/>
      <c r="H585" s="28" t="n"/>
      <c r="I585" s="28" t="n"/>
      <c r="J585" s="28" t="n"/>
      <c r="K585" s="28" t="n"/>
    </row>
    <row r="586" ht="12.75" customHeight="1">
      <c r="A586" s="28" t="n"/>
      <c r="B586" s="28" t="n"/>
      <c r="C586" s="28" t="n"/>
      <c r="D586" s="28" t="n"/>
      <c r="E586" s="28" t="n"/>
      <c r="F586" s="28" t="n"/>
      <c r="G586" s="28" t="n"/>
      <c r="H586" s="28" t="n"/>
      <c r="I586" s="28" t="n"/>
      <c r="J586" s="28" t="n"/>
      <c r="K586" s="28" t="n"/>
    </row>
    <row r="587" ht="12.75" customHeight="1">
      <c r="A587" s="28" t="n"/>
      <c r="B587" s="28" t="n"/>
      <c r="C587" s="28" t="n"/>
      <c r="D587" s="28" t="n"/>
      <c r="E587" s="28" t="n"/>
      <c r="F587" s="28" t="n"/>
      <c r="G587" s="28" t="n"/>
      <c r="H587" s="28" t="n"/>
      <c r="I587" s="28" t="n"/>
      <c r="J587" s="28" t="n"/>
      <c r="K587" s="28" t="n"/>
    </row>
    <row r="588" ht="12.75" customHeight="1">
      <c r="A588" s="28" t="n"/>
      <c r="B588" s="28" t="n"/>
      <c r="C588" s="28" t="n"/>
      <c r="D588" s="28" t="n"/>
      <c r="E588" s="28" t="n"/>
      <c r="F588" s="28" t="n"/>
      <c r="G588" s="28" t="n"/>
      <c r="H588" s="28" t="n"/>
      <c r="I588" s="28" t="n"/>
      <c r="J588" s="28" t="n"/>
      <c r="K588" s="28" t="n"/>
    </row>
    <row r="589" ht="12.75" customHeight="1">
      <c r="A589" s="28" t="n"/>
      <c r="B589" s="28" t="n"/>
      <c r="C589" s="28" t="n"/>
      <c r="D589" s="28" t="n"/>
      <c r="E589" s="28" t="n"/>
      <c r="F589" s="28" t="n"/>
      <c r="G589" s="28" t="n"/>
      <c r="H589" s="28" t="n"/>
      <c r="I589" s="28" t="n"/>
      <c r="J589" s="28" t="n"/>
      <c r="K589" s="28" t="n"/>
    </row>
    <row r="590" ht="12.75" customHeight="1">
      <c r="A590" s="28" t="n"/>
      <c r="B590" s="28" t="n"/>
      <c r="C590" s="28" t="n"/>
      <c r="D590" s="28" t="n"/>
      <c r="E590" s="28" t="n"/>
      <c r="F590" s="28" t="n"/>
      <c r="G590" s="28" t="n"/>
      <c r="H590" s="28" t="n"/>
      <c r="I590" s="28" t="n"/>
      <c r="J590" s="28" t="n"/>
      <c r="K590" s="28" t="n"/>
    </row>
    <row r="591" ht="12.75" customHeight="1">
      <c r="A591" s="28" t="n"/>
      <c r="B591" s="28" t="n"/>
      <c r="C591" s="28" t="n"/>
      <c r="D591" s="28" t="n"/>
      <c r="E591" s="28" t="n"/>
      <c r="F591" s="28" t="n"/>
      <c r="G591" s="28" t="n"/>
      <c r="H591" s="28" t="n"/>
      <c r="I591" s="28" t="n"/>
      <c r="J591" s="28" t="n"/>
      <c r="K591" s="28" t="n"/>
    </row>
    <row r="592" ht="12.75" customHeight="1">
      <c r="A592" s="28" t="n"/>
      <c r="B592" s="28" t="n"/>
      <c r="C592" s="28" t="n"/>
      <c r="D592" s="28" t="n"/>
      <c r="E592" s="28" t="n"/>
      <c r="F592" s="28" t="n"/>
      <c r="G592" s="28" t="n"/>
      <c r="H592" s="28" t="n"/>
      <c r="I592" s="28" t="n"/>
      <c r="J592" s="28" t="n"/>
      <c r="K592" s="28" t="n"/>
    </row>
    <row r="593" ht="12.75" customHeight="1">
      <c r="A593" s="28" t="n"/>
      <c r="B593" s="28" t="n"/>
      <c r="C593" s="28" t="n"/>
      <c r="D593" s="28" t="n"/>
      <c r="E593" s="28" t="n"/>
      <c r="F593" s="28" t="n"/>
      <c r="G593" s="28" t="n"/>
      <c r="H593" s="28" t="n"/>
      <c r="I593" s="28" t="n"/>
      <c r="J593" s="28" t="n"/>
      <c r="K593" s="28" t="n"/>
    </row>
    <row r="594" ht="12.75" customHeight="1">
      <c r="A594" s="28" t="n"/>
      <c r="B594" s="28" t="n"/>
      <c r="C594" s="28" t="n"/>
      <c r="D594" s="28" t="n"/>
      <c r="E594" s="28" t="n"/>
      <c r="F594" s="28" t="n"/>
      <c r="G594" s="28" t="n"/>
      <c r="H594" s="28" t="n"/>
      <c r="I594" s="28" t="n"/>
      <c r="J594" s="28" t="n"/>
      <c r="K594" s="28" t="n"/>
    </row>
    <row r="595" ht="12.75" customHeight="1">
      <c r="A595" s="28" t="n"/>
      <c r="B595" s="28" t="n"/>
      <c r="C595" s="28" t="n"/>
      <c r="D595" s="28" t="n"/>
      <c r="E595" s="28" t="n"/>
      <c r="F595" s="28" t="n"/>
      <c r="G595" s="28" t="n"/>
      <c r="H595" s="28" t="n"/>
      <c r="I595" s="28" t="n"/>
      <c r="J595" s="28" t="n"/>
      <c r="K595" s="28" t="n"/>
    </row>
    <row r="596" ht="12.75" customHeight="1">
      <c r="A596" s="28" t="n"/>
      <c r="B596" s="28" t="n"/>
      <c r="C596" s="28" t="n"/>
      <c r="D596" s="28" t="n"/>
      <c r="E596" s="28" t="n"/>
      <c r="F596" s="28" t="n"/>
      <c r="G596" s="28" t="n"/>
      <c r="H596" s="28" t="n"/>
      <c r="I596" s="28" t="n"/>
      <c r="J596" s="28" t="n"/>
      <c r="K596" s="28" t="n"/>
    </row>
    <row r="597" ht="12.75" customHeight="1">
      <c r="A597" s="28" t="n"/>
      <c r="B597" s="28" t="n"/>
      <c r="C597" s="28" t="n"/>
      <c r="D597" s="28" t="n"/>
      <c r="E597" s="28" t="n"/>
      <c r="F597" s="28" t="n"/>
      <c r="G597" s="28" t="n"/>
      <c r="H597" s="28" t="n"/>
      <c r="I597" s="28" t="n"/>
      <c r="J597" s="28" t="n"/>
      <c r="K597" s="28" t="n"/>
    </row>
    <row r="598" ht="12.75" customHeight="1">
      <c r="A598" s="28" t="n"/>
      <c r="B598" s="28" t="n"/>
      <c r="C598" s="28" t="n"/>
      <c r="D598" s="28" t="n"/>
      <c r="E598" s="28" t="n"/>
      <c r="F598" s="28" t="n"/>
      <c r="G598" s="28" t="n"/>
      <c r="H598" s="28" t="n"/>
      <c r="I598" s="28" t="n"/>
      <c r="J598" s="28" t="n"/>
      <c r="K598" s="28" t="n"/>
    </row>
    <row r="599" ht="12.75" customHeight="1">
      <c r="A599" s="28" t="n"/>
      <c r="B599" s="28" t="n"/>
      <c r="C599" s="28" t="n"/>
      <c r="D599" s="28" t="n"/>
      <c r="E599" s="28" t="n"/>
      <c r="F599" s="28" t="n"/>
      <c r="G599" s="28" t="n"/>
      <c r="H599" s="28" t="n"/>
      <c r="I599" s="28" t="n"/>
      <c r="J599" s="28" t="n"/>
      <c r="K599" s="28" t="n"/>
    </row>
    <row r="600" ht="12.75" customHeight="1">
      <c r="A600" s="28" t="n"/>
      <c r="B600" s="28" t="n"/>
      <c r="C600" s="28" t="n"/>
      <c r="D600" s="28" t="n"/>
      <c r="E600" s="28" t="n"/>
      <c r="F600" s="28" t="n"/>
      <c r="G600" s="28" t="n"/>
      <c r="H600" s="28" t="n"/>
      <c r="I600" s="28" t="n"/>
      <c r="J600" s="28" t="n"/>
      <c r="K600" s="28" t="n"/>
    </row>
    <row r="601" ht="12.75" customHeight="1">
      <c r="A601" s="28" t="n"/>
      <c r="B601" s="28" t="n"/>
      <c r="C601" s="28" t="n"/>
      <c r="D601" s="28" t="n"/>
      <c r="E601" s="28" t="n"/>
      <c r="F601" s="28" t="n"/>
      <c r="G601" s="28" t="n"/>
      <c r="H601" s="28" t="n"/>
      <c r="I601" s="28" t="n"/>
      <c r="J601" s="28" t="n"/>
      <c r="K601" s="28" t="n"/>
    </row>
    <row r="602" ht="12.75" customHeight="1">
      <c r="A602" s="28" t="n"/>
      <c r="B602" s="28" t="n"/>
      <c r="C602" s="28" t="n"/>
      <c r="D602" s="28" t="n"/>
      <c r="E602" s="28" t="n"/>
      <c r="F602" s="28" t="n"/>
      <c r="G602" s="28" t="n"/>
      <c r="H602" s="28" t="n"/>
      <c r="I602" s="28" t="n"/>
      <c r="J602" s="28" t="n"/>
      <c r="K602" s="28" t="n"/>
    </row>
    <row r="603" ht="12.75" customHeight="1">
      <c r="A603" s="28" t="n"/>
      <c r="B603" s="28" t="n"/>
      <c r="C603" s="28" t="n"/>
      <c r="D603" s="28" t="n"/>
      <c r="E603" s="28" t="n"/>
      <c r="F603" s="28" t="n"/>
      <c r="G603" s="28" t="n"/>
      <c r="H603" s="28" t="n"/>
      <c r="I603" s="28" t="n"/>
      <c r="J603" s="28" t="n"/>
      <c r="K603" s="28" t="n"/>
    </row>
    <row r="604" ht="12.75" customHeight="1">
      <c r="A604" s="28" t="n"/>
      <c r="B604" s="28" t="n"/>
      <c r="C604" s="28" t="n"/>
      <c r="D604" s="28" t="n"/>
      <c r="E604" s="28" t="n"/>
      <c r="F604" s="28" t="n"/>
      <c r="G604" s="28" t="n"/>
      <c r="H604" s="28" t="n"/>
      <c r="I604" s="28" t="n"/>
      <c r="J604" s="28" t="n"/>
      <c r="K604" s="28" t="n"/>
    </row>
    <row r="605" ht="12.75" customHeight="1">
      <c r="A605" s="28" t="n"/>
      <c r="B605" s="28" t="n"/>
      <c r="C605" s="28" t="n"/>
      <c r="D605" s="28" t="n"/>
      <c r="E605" s="28" t="n"/>
      <c r="F605" s="28" t="n"/>
      <c r="G605" s="28" t="n"/>
      <c r="H605" s="28" t="n"/>
      <c r="I605" s="28" t="n"/>
      <c r="J605" s="28" t="n"/>
      <c r="K605" s="28" t="n"/>
    </row>
    <row r="606" ht="12.75" customHeight="1">
      <c r="A606" s="28" t="n"/>
      <c r="B606" s="28" t="n"/>
      <c r="C606" s="28" t="n"/>
      <c r="D606" s="28" t="n"/>
      <c r="E606" s="28" t="n"/>
      <c r="F606" s="28" t="n"/>
      <c r="G606" s="28" t="n"/>
      <c r="H606" s="28" t="n"/>
      <c r="I606" s="28" t="n"/>
      <c r="J606" s="28" t="n"/>
      <c r="K606" s="28" t="n"/>
    </row>
    <row r="607" ht="12.75" customHeight="1">
      <c r="A607" s="28" t="n"/>
      <c r="B607" s="28" t="n"/>
      <c r="C607" s="28" t="n"/>
      <c r="D607" s="28" t="n"/>
      <c r="E607" s="28" t="n"/>
      <c r="F607" s="28" t="n"/>
      <c r="G607" s="28" t="n"/>
      <c r="H607" s="28" t="n"/>
      <c r="I607" s="28" t="n"/>
      <c r="J607" s="28" t="n"/>
      <c r="K607" s="28" t="n"/>
    </row>
    <row r="608" ht="12.75" customHeight="1">
      <c r="A608" s="28" t="n"/>
      <c r="B608" s="28" t="n"/>
      <c r="C608" s="28" t="n"/>
      <c r="D608" s="28" t="n"/>
      <c r="E608" s="28" t="n"/>
      <c r="F608" s="28" t="n"/>
      <c r="G608" s="28" t="n"/>
      <c r="H608" s="28" t="n"/>
      <c r="I608" s="28" t="n"/>
      <c r="J608" s="28" t="n"/>
      <c r="K608" s="28" t="n"/>
    </row>
    <row r="609" ht="12.75" customHeight="1">
      <c r="A609" s="28" t="n"/>
      <c r="B609" s="28" t="n"/>
      <c r="C609" s="28" t="n"/>
      <c r="D609" s="28" t="n"/>
      <c r="E609" s="28" t="n"/>
      <c r="F609" s="28" t="n"/>
      <c r="G609" s="28" t="n"/>
      <c r="H609" s="28" t="n"/>
      <c r="I609" s="28" t="n"/>
      <c r="J609" s="28" t="n"/>
      <c r="K609" s="28" t="n"/>
    </row>
    <row r="610" ht="12.75" customHeight="1">
      <c r="A610" s="28" t="n"/>
      <c r="B610" s="28" t="n"/>
      <c r="C610" s="28" t="n"/>
      <c r="D610" s="28" t="n"/>
      <c r="E610" s="28" t="n"/>
      <c r="F610" s="28" t="n"/>
      <c r="G610" s="28" t="n"/>
      <c r="H610" s="28" t="n"/>
      <c r="I610" s="28" t="n"/>
      <c r="J610" s="28" t="n"/>
      <c r="K610" s="28" t="n"/>
    </row>
    <row r="611" ht="12.75" customHeight="1">
      <c r="A611" s="28" t="n"/>
      <c r="B611" s="28" t="n"/>
      <c r="C611" s="28" t="n"/>
      <c r="D611" s="28" t="n"/>
      <c r="E611" s="28" t="n"/>
      <c r="F611" s="28" t="n"/>
      <c r="G611" s="28" t="n"/>
      <c r="H611" s="28" t="n"/>
      <c r="I611" s="28" t="n"/>
      <c r="J611" s="28" t="n"/>
      <c r="K611" s="28" t="n"/>
    </row>
    <row r="612" ht="12.75" customHeight="1">
      <c r="A612" s="28" t="n"/>
      <c r="B612" s="28" t="n"/>
      <c r="C612" s="28" t="n"/>
      <c r="D612" s="28" t="n"/>
      <c r="E612" s="28" t="n"/>
      <c r="F612" s="28" t="n"/>
      <c r="G612" s="28" t="n"/>
      <c r="H612" s="28" t="n"/>
      <c r="I612" s="28" t="n"/>
      <c r="J612" s="28" t="n"/>
      <c r="K612" s="28" t="n"/>
    </row>
    <row r="613" ht="12.75" customHeight="1">
      <c r="A613" s="28" t="n"/>
      <c r="B613" s="28" t="n"/>
      <c r="C613" s="28" t="n"/>
      <c r="D613" s="28" t="n"/>
      <c r="E613" s="28" t="n"/>
      <c r="F613" s="28" t="n"/>
      <c r="G613" s="28" t="n"/>
      <c r="H613" s="28" t="n"/>
      <c r="I613" s="28" t="n"/>
      <c r="J613" s="28" t="n"/>
      <c r="K613" s="28" t="n"/>
    </row>
    <row r="614" ht="12.75" customHeight="1">
      <c r="A614" s="28" t="n"/>
      <c r="B614" s="28" t="n"/>
      <c r="C614" s="28" t="n"/>
      <c r="D614" s="28" t="n"/>
      <c r="E614" s="28" t="n"/>
      <c r="F614" s="28" t="n"/>
      <c r="G614" s="28" t="n"/>
      <c r="H614" s="28" t="n"/>
      <c r="I614" s="28" t="n"/>
      <c r="J614" s="28" t="n"/>
      <c r="K614" s="28" t="n"/>
    </row>
    <row r="615" ht="12.75" customHeight="1">
      <c r="A615" s="28" t="n"/>
      <c r="B615" s="28" t="n"/>
      <c r="C615" s="28" t="n"/>
      <c r="D615" s="28" t="n"/>
      <c r="E615" s="28" t="n"/>
      <c r="F615" s="28" t="n"/>
      <c r="G615" s="28" t="n"/>
      <c r="H615" s="28" t="n"/>
      <c r="I615" s="28" t="n"/>
      <c r="J615" s="28" t="n"/>
      <c r="K615" s="28" t="n"/>
    </row>
    <row r="616" ht="12.75" customHeight="1">
      <c r="A616" s="28" t="n"/>
      <c r="B616" s="28" t="n"/>
      <c r="C616" s="28" t="n"/>
      <c r="D616" s="28" t="n"/>
      <c r="E616" s="28" t="n"/>
      <c r="F616" s="28" t="n"/>
      <c r="G616" s="28" t="n"/>
      <c r="H616" s="28" t="n"/>
      <c r="I616" s="28" t="n"/>
      <c r="J616" s="28" t="n"/>
      <c r="K616" s="28" t="n"/>
    </row>
    <row r="617" ht="12.75" customHeight="1">
      <c r="A617" s="28" t="n"/>
      <c r="B617" s="28" t="n"/>
      <c r="C617" s="28" t="n"/>
      <c r="D617" s="28" t="n"/>
      <c r="E617" s="28" t="n"/>
      <c r="F617" s="28" t="n"/>
      <c r="G617" s="28" t="n"/>
      <c r="H617" s="28" t="n"/>
      <c r="I617" s="28" t="n"/>
      <c r="J617" s="28" t="n"/>
      <c r="K617" s="28" t="n"/>
    </row>
    <row r="618" ht="12.75" customHeight="1">
      <c r="A618" s="28" t="n"/>
      <c r="B618" s="28" t="n"/>
      <c r="C618" s="28" t="n"/>
      <c r="D618" s="28" t="n"/>
      <c r="E618" s="28" t="n"/>
      <c r="F618" s="28" t="n"/>
      <c r="G618" s="28" t="n"/>
      <c r="H618" s="28" t="n"/>
      <c r="I618" s="28" t="n"/>
      <c r="J618" s="28" t="n"/>
      <c r="K618" s="28" t="n"/>
    </row>
    <row r="619" ht="12.75" customHeight="1">
      <c r="A619" s="28" t="n"/>
      <c r="B619" s="28" t="n"/>
      <c r="C619" s="28" t="n"/>
      <c r="D619" s="28" t="n"/>
      <c r="E619" s="28" t="n"/>
      <c r="F619" s="28" t="n"/>
      <c r="G619" s="28" t="n"/>
      <c r="H619" s="28" t="n"/>
      <c r="I619" s="28" t="n"/>
      <c r="J619" s="28" t="n"/>
      <c r="K619" s="28" t="n"/>
    </row>
    <row r="620" ht="12.75" customHeight="1">
      <c r="A620" s="28" t="n"/>
      <c r="B620" s="28" t="n"/>
      <c r="C620" s="28" t="n"/>
      <c r="D620" s="28" t="n"/>
      <c r="E620" s="28" t="n"/>
      <c r="F620" s="28" t="n"/>
      <c r="G620" s="28" t="n"/>
      <c r="H620" s="28" t="n"/>
      <c r="I620" s="28" t="n"/>
      <c r="J620" s="28" t="n"/>
      <c r="K620" s="28" t="n"/>
    </row>
    <row r="621" ht="12.75" customHeight="1">
      <c r="A621" s="28" t="n"/>
      <c r="B621" s="28" t="n"/>
      <c r="C621" s="28" t="n"/>
      <c r="D621" s="28" t="n"/>
      <c r="E621" s="28" t="n"/>
      <c r="F621" s="28" t="n"/>
      <c r="G621" s="28" t="n"/>
      <c r="H621" s="28" t="n"/>
      <c r="I621" s="28" t="n"/>
      <c r="J621" s="28" t="n"/>
      <c r="K621" s="28" t="n"/>
    </row>
    <row r="622" ht="12.75" customHeight="1">
      <c r="A622" s="28" t="n"/>
      <c r="B622" s="28" t="n"/>
      <c r="C622" s="28" t="n"/>
      <c r="D622" s="28" t="n"/>
      <c r="E622" s="28" t="n"/>
      <c r="F622" s="28" t="n"/>
      <c r="G622" s="28" t="n"/>
      <c r="H622" s="28" t="n"/>
      <c r="I622" s="28" t="n"/>
      <c r="J622" s="28" t="n"/>
      <c r="K622" s="28" t="n"/>
    </row>
    <row r="623" ht="12.75" customHeight="1">
      <c r="A623" s="28" t="n"/>
      <c r="B623" s="28" t="n"/>
      <c r="C623" s="28" t="n"/>
      <c r="D623" s="28" t="n"/>
      <c r="E623" s="28" t="n"/>
      <c r="F623" s="28" t="n"/>
      <c r="G623" s="28" t="n"/>
      <c r="H623" s="28" t="n"/>
      <c r="I623" s="28" t="n"/>
      <c r="J623" s="28" t="n"/>
      <c r="K623" s="28" t="n"/>
    </row>
    <row r="624" ht="12.75" customHeight="1">
      <c r="A624" s="28" t="n"/>
      <c r="B624" s="28" t="n"/>
      <c r="C624" s="28" t="n"/>
      <c r="D624" s="28" t="n"/>
      <c r="E624" s="28" t="n"/>
      <c r="F624" s="28" t="n"/>
      <c r="G624" s="28" t="n"/>
      <c r="H624" s="28" t="n"/>
      <c r="I624" s="28" t="n"/>
      <c r="J624" s="28" t="n"/>
      <c r="K624" s="28" t="n"/>
    </row>
    <row r="625" ht="12.75" customHeight="1">
      <c r="A625" s="28" t="n"/>
      <c r="B625" s="28" t="n"/>
      <c r="C625" s="28" t="n"/>
      <c r="D625" s="28" t="n"/>
      <c r="E625" s="28" t="n"/>
      <c r="F625" s="28" t="n"/>
      <c r="G625" s="28" t="n"/>
      <c r="H625" s="28" t="n"/>
      <c r="I625" s="28" t="n"/>
      <c r="J625" s="28" t="n"/>
      <c r="K625" s="28" t="n"/>
    </row>
    <row r="626" ht="12.75" customHeight="1">
      <c r="A626" s="28" t="n"/>
      <c r="B626" s="28" t="n"/>
      <c r="C626" s="28" t="n"/>
      <c r="D626" s="28" t="n"/>
      <c r="E626" s="28" t="n"/>
      <c r="F626" s="28" t="n"/>
      <c r="G626" s="28" t="n"/>
      <c r="H626" s="28" t="n"/>
      <c r="I626" s="28" t="n"/>
      <c r="J626" s="28" t="n"/>
      <c r="K626" s="28" t="n"/>
    </row>
    <row r="627" ht="12.75" customHeight="1">
      <c r="A627" s="28" t="n"/>
      <c r="B627" s="28" t="n"/>
      <c r="C627" s="28" t="n"/>
      <c r="D627" s="28" t="n"/>
      <c r="E627" s="28" t="n"/>
      <c r="F627" s="28" t="n"/>
      <c r="G627" s="28" t="n"/>
      <c r="H627" s="28" t="n"/>
      <c r="I627" s="28" t="n"/>
      <c r="J627" s="28" t="n"/>
      <c r="K627" s="28" t="n"/>
    </row>
    <row r="628" ht="12.75" customHeight="1">
      <c r="A628" s="28" t="n"/>
      <c r="B628" s="28" t="n"/>
      <c r="C628" s="28" t="n"/>
      <c r="D628" s="28" t="n"/>
      <c r="E628" s="28" t="n"/>
      <c r="F628" s="28" t="n"/>
      <c r="G628" s="28" t="n"/>
      <c r="H628" s="28" t="n"/>
      <c r="I628" s="28" t="n"/>
      <c r="J628" s="28" t="n"/>
      <c r="K628" s="28" t="n"/>
    </row>
    <row r="629" ht="12.75" customHeight="1">
      <c r="A629" s="28" t="n"/>
      <c r="B629" s="28" t="n"/>
      <c r="C629" s="28" t="n"/>
      <c r="D629" s="28" t="n"/>
      <c r="E629" s="28" t="n"/>
      <c r="F629" s="28" t="n"/>
      <c r="G629" s="28" t="n"/>
      <c r="H629" s="28" t="n"/>
      <c r="I629" s="28" t="n"/>
      <c r="J629" s="28" t="n"/>
      <c r="K629" s="28" t="n"/>
    </row>
    <row r="630" ht="12.75" customHeight="1">
      <c r="A630" s="28" t="n"/>
      <c r="B630" s="28" t="n"/>
      <c r="C630" s="28" t="n"/>
      <c r="D630" s="28" t="n"/>
      <c r="E630" s="28" t="n"/>
      <c r="F630" s="28" t="n"/>
      <c r="G630" s="28" t="n"/>
      <c r="H630" s="28" t="n"/>
      <c r="I630" s="28" t="n"/>
      <c r="J630" s="28" t="n"/>
      <c r="K630" s="28" t="n"/>
    </row>
    <row r="631" ht="12.75" customHeight="1">
      <c r="A631" s="28" t="n"/>
      <c r="B631" s="28" t="n"/>
      <c r="C631" s="28" t="n"/>
      <c r="D631" s="28" t="n"/>
      <c r="E631" s="28" t="n"/>
      <c r="F631" s="28" t="n"/>
      <c r="G631" s="28" t="n"/>
      <c r="H631" s="28" t="n"/>
      <c r="I631" s="28" t="n"/>
      <c r="J631" s="28" t="n"/>
      <c r="K631" s="28" t="n"/>
    </row>
    <row r="632" ht="12.75" customHeight="1">
      <c r="A632" s="28" t="n"/>
      <c r="B632" s="28" t="n"/>
      <c r="C632" s="28" t="n"/>
      <c r="D632" s="28" t="n"/>
      <c r="E632" s="28" t="n"/>
      <c r="F632" s="28" t="n"/>
      <c r="G632" s="28" t="n"/>
      <c r="H632" s="28" t="n"/>
      <c r="I632" s="28" t="n"/>
      <c r="J632" s="28" t="n"/>
      <c r="K632" s="28" t="n"/>
    </row>
    <row r="633" ht="12.75" customHeight="1">
      <c r="A633" s="28" t="n"/>
      <c r="B633" s="28" t="n"/>
      <c r="C633" s="28" t="n"/>
      <c r="D633" s="28" t="n"/>
      <c r="E633" s="28" t="n"/>
      <c r="F633" s="28" t="n"/>
      <c r="G633" s="28" t="n"/>
      <c r="H633" s="28" t="n"/>
      <c r="I633" s="28" t="n"/>
      <c r="J633" s="28" t="n"/>
      <c r="K633" s="28" t="n"/>
    </row>
    <row r="634" ht="12.75" customHeight="1">
      <c r="A634" s="28" t="n"/>
      <c r="B634" s="28" t="n"/>
      <c r="C634" s="28" t="n"/>
      <c r="D634" s="28" t="n"/>
      <c r="E634" s="28" t="n"/>
      <c r="F634" s="28" t="n"/>
      <c r="G634" s="28" t="n"/>
      <c r="H634" s="28" t="n"/>
      <c r="I634" s="28" t="n"/>
      <c r="J634" s="28" t="n"/>
      <c r="K634" s="28" t="n"/>
    </row>
    <row r="635" ht="12.75" customHeight="1">
      <c r="A635" s="28" t="n"/>
      <c r="B635" s="28" t="n"/>
      <c r="C635" s="28" t="n"/>
      <c r="D635" s="28" t="n"/>
      <c r="E635" s="28" t="n"/>
      <c r="F635" s="28" t="n"/>
      <c r="G635" s="28" t="n"/>
      <c r="H635" s="28" t="n"/>
      <c r="I635" s="28" t="n"/>
      <c r="J635" s="28" t="n"/>
      <c r="K635" s="28" t="n"/>
    </row>
    <row r="636" ht="12.75" customHeight="1">
      <c r="A636" s="28" t="n"/>
      <c r="B636" s="28" t="n"/>
      <c r="C636" s="28" t="n"/>
      <c r="D636" s="28" t="n"/>
      <c r="E636" s="28" t="n"/>
      <c r="F636" s="28" t="n"/>
      <c r="G636" s="28" t="n"/>
      <c r="H636" s="28" t="n"/>
      <c r="I636" s="28" t="n"/>
      <c r="J636" s="28" t="n"/>
      <c r="K636" s="28" t="n"/>
    </row>
    <row r="637" ht="12.75" customHeight="1">
      <c r="A637" s="28" t="n"/>
      <c r="B637" s="28" t="n"/>
      <c r="C637" s="28" t="n"/>
      <c r="D637" s="28" t="n"/>
      <c r="E637" s="28" t="n"/>
      <c r="F637" s="28" t="n"/>
      <c r="G637" s="28" t="n"/>
      <c r="H637" s="28" t="n"/>
      <c r="I637" s="28" t="n"/>
      <c r="J637" s="28" t="n"/>
      <c r="K637" s="28" t="n"/>
    </row>
    <row r="638" ht="12.75" customHeight="1">
      <c r="A638" s="28" t="n"/>
      <c r="B638" s="28" t="n"/>
      <c r="C638" s="28" t="n"/>
      <c r="D638" s="28" t="n"/>
      <c r="E638" s="28" t="n"/>
      <c r="F638" s="28" t="n"/>
      <c r="G638" s="28" t="n"/>
      <c r="H638" s="28" t="n"/>
      <c r="I638" s="28" t="n"/>
      <c r="J638" s="28" t="n"/>
      <c r="K638" s="28" t="n"/>
    </row>
    <row r="639" ht="12.75" customHeight="1">
      <c r="A639" s="28" t="n"/>
      <c r="B639" s="28" t="n"/>
      <c r="C639" s="28" t="n"/>
      <c r="D639" s="28" t="n"/>
      <c r="E639" s="28" t="n"/>
      <c r="F639" s="28" t="n"/>
      <c r="G639" s="28" t="n"/>
      <c r="H639" s="28" t="n"/>
      <c r="I639" s="28" t="n"/>
      <c r="J639" s="28" t="n"/>
      <c r="K639" s="28" t="n"/>
    </row>
    <row r="640" ht="12.75" customHeight="1">
      <c r="A640" s="28" t="n"/>
      <c r="B640" s="28" t="n"/>
      <c r="C640" s="28" t="n"/>
      <c r="D640" s="28" t="n"/>
      <c r="E640" s="28" t="n"/>
      <c r="F640" s="28" t="n"/>
      <c r="G640" s="28" t="n"/>
      <c r="H640" s="28" t="n"/>
      <c r="I640" s="28" t="n"/>
      <c r="J640" s="28" t="n"/>
      <c r="K640" s="28" t="n"/>
    </row>
    <row r="641" ht="12.75" customHeight="1">
      <c r="A641" s="28" t="n"/>
      <c r="B641" s="28" t="n"/>
      <c r="C641" s="28" t="n"/>
      <c r="D641" s="28" t="n"/>
      <c r="E641" s="28" t="n"/>
      <c r="F641" s="28" t="n"/>
      <c r="G641" s="28" t="n"/>
      <c r="H641" s="28" t="n"/>
      <c r="I641" s="28" t="n"/>
      <c r="J641" s="28" t="n"/>
      <c r="K641" s="28" t="n"/>
    </row>
    <row r="642" ht="12.75" customHeight="1">
      <c r="A642" s="28" t="n"/>
      <c r="B642" s="28" t="n"/>
      <c r="C642" s="28" t="n"/>
      <c r="D642" s="28" t="n"/>
      <c r="E642" s="28" t="n"/>
      <c r="F642" s="28" t="n"/>
      <c r="G642" s="28" t="n"/>
      <c r="H642" s="28" t="n"/>
      <c r="I642" s="28" t="n"/>
      <c r="J642" s="28" t="n"/>
      <c r="K642" s="28" t="n"/>
    </row>
    <row r="643" ht="12.75" customHeight="1">
      <c r="A643" s="28" t="n"/>
      <c r="B643" s="28" t="n"/>
      <c r="C643" s="28" t="n"/>
      <c r="D643" s="28" t="n"/>
      <c r="E643" s="28" t="n"/>
      <c r="F643" s="28" t="n"/>
      <c r="G643" s="28" t="n"/>
      <c r="H643" s="28" t="n"/>
      <c r="I643" s="28" t="n"/>
      <c r="J643" s="28" t="n"/>
      <c r="K643" s="28" t="n"/>
    </row>
    <row r="644" ht="12.75" customHeight="1">
      <c r="A644" s="28" t="n"/>
      <c r="B644" s="28" t="n"/>
      <c r="C644" s="28" t="n"/>
      <c r="D644" s="28" t="n"/>
      <c r="E644" s="28" t="n"/>
      <c r="F644" s="28" t="n"/>
      <c r="G644" s="28" t="n"/>
      <c r="H644" s="28" t="n"/>
      <c r="I644" s="28" t="n"/>
      <c r="J644" s="28" t="n"/>
      <c r="K644" s="28" t="n"/>
    </row>
    <row r="645" ht="12.75" customHeight="1">
      <c r="A645" s="28" t="n"/>
      <c r="B645" s="28" t="n"/>
      <c r="C645" s="28" t="n"/>
      <c r="D645" s="28" t="n"/>
      <c r="E645" s="28" t="n"/>
      <c r="F645" s="28" t="n"/>
      <c r="G645" s="28" t="n"/>
      <c r="H645" s="28" t="n"/>
      <c r="I645" s="28" t="n"/>
      <c r="J645" s="28" t="n"/>
      <c r="K645" s="28" t="n"/>
    </row>
    <row r="646" ht="12.75" customHeight="1">
      <c r="A646" s="28" t="n"/>
      <c r="B646" s="28" t="n"/>
      <c r="C646" s="28" t="n"/>
      <c r="D646" s="28" t="n"/>
      <c r="E646" s="28" t="n"/>
      <c r="F646" s="28" t="n"/>
      <c r="G646" s="28" t="n"/>
      <c r="H646" s="28" t="n"/>
      <c r="I646" s="28" t="n"/>
      <c r="J646" s="28" t="n"/>
      <c r="K646" s="28" t="n"/>
    </row>
    <row r="647" ht="12.75" customHeight="1">
      <c r="A647" s="28" t="n"/>
      <c r="B647" s="28" t="n"/>
      <c r="C647" s="28" t="n"/>
      <c r="D647" s="28" t="n"/>
      <c r="E647" s="28" t="n"/>
      <c r="F647" s="28" t="n"/>
      <c r="G647" s="28" t="n"/>
      <c r="H647" s="28" t="n"/>
      <c r="I647" s="28" t="n"/>
      <c r="J647" s="28" t="n"/>
      <c r="K647" s="28" t="n"/>
    </row>
    <row r="648" ht="12.75" customHeight="1">
      <c r="A648" s="28" t="n"/>
      <c r="B648" s="28" t="n"/>
      <c r="C648" s="28" t="n"/>
      <c r="D648" s="28" t="n"/>
      <c r="E648" s="28" t="n"/>
      <c r="F648" s="28" t="n"/>
      <c r="G648" s="28" t="n"/>
      <c r="H648" s="28" t="n"/>
      <c r="I648" s="28" t="n"/>
      <c r="J648" s="28" t="n"/>
      <c r="K648" s="28" t="n"/>
    </row>
    <row r="649" ht="12.75" customHeight="1">
      <c r="A649" s="28" t="n"/>
      <c r="B649" s="28" t="n"/>
      <c r="C649" s="28" t="n"/>
      <c r="D649" s="28" t="n"/>
      <c r="E649" s="28" t="n"/>
      <c r="F649" s="28" t="n"/>
      <c r="G649" s="28" t="n"/>
      <c r="H649" s="28" t="n"/>
      <c r="I649" s="28" t="n"/>
      <c r="J649" s="28" t="n"/>
      <c r="K649" s="28" t="n"/>
    </row>
    <row r="650" ht="12.75" customHeight="1">
      <c r="A650" s="28" t="n"/>
      <c r="B650" s="28" t="n"/>
      <c r="C650" s="28" t="n"/>
      <c r="D650" s="28" t="n"/>
      <c r="E650" s="28" t="n"/>
      <c r="F650" s="28" t="n"/>
      <c r="G650" s="28" t="n"/>
      <c r="H650" s="28" t="n"/>
      <c r="I650" s="28" t="n"/>
      <c r="J650" s="28" t="n"/>
      <c r="K650" s="28" t="n"/>
    </row>
    <row r="651" ht="12.75" customHeight="1">
      <c r="A651" s="28" t="n"/>
      <c r="B651" s="28" t="n"/>
      <c r="C651" s="28" t="n"/>
      <c r="D651" s="28" t="n"/>
      <c r="E651" s="28" t="n"/>
      <c r="F651" s="28" t="n"/>
      <c r="G651" s="28" t="n"/>
      <c r="H651" s="28" t="n"/>
      <c r="I651" s="28" t="n"/>
      <c r="J651" s="28" t="n"/>
      <c r="K651" s="28" t="n"/>
    </row>
    <row r="652" ht="12.75" customHeight="1">
      <c r="A652" s="28" t="n"/>
      <c r="B652" s="28" t="n"/>
      <c r="C652" s="28" t="n"/>
      <c r="D652" s="28" t="n"/>
      <c r="E652" s="28" t="n"/>
      <c r="F652" s="28" t="n"/>
      <c r="G652" s="28" t="n"/>
      <c r="H652" s="28" t="n"/>
      <c r="I652" s="28" t="n"/>
      <c r="J652" s="28" t="n"/>
      <c r="K652" s="28" t="n"/>
    </row>
    <row r="653" ht="12.75" customHeight="1">
      <c r="A653" s="28" t="n"/>
      <c r="B653" s="28" t="n"/>
      <c r="C653" s="28" t="n"/>
      <c r="D653" s="28" t="n"/>
      <c r="E653" s="28" t="n"/>
      <c r="F653" s="28" t="n"/>
      <c r="G653" s="28" t="n"/>
      <c r="H653" s="28" t="n"/>
      <c r="I653" s="28" t="n"/>
      <c r="J653" s="28" t="n"/>
      <c r="K653" s="28" t="n"/>
    </row>
    <row r="654" ht="12.75" customHeight="1">
      <c r="A654" s="28" t="n"/>
      <c r="B654" s="28" t="n"/>
      <c r="C654" s="28" t="n"/>
      <c r="D654" s="28" t="n"/>
      <c r="E654" s="28" t="n"/>
      <c r="F654" s="28" t="n"/>
      <c r="G654" s="28" t="n"/>
      <c r="H654" s="28" t="n"/>
      <c r="I654" s="28" t="n"/>
      <c r="J654" s="28" t="n"/>
      <c r="K654" s="28" t="n"/>
    </row>
    <row r="655" ht="12.75" customHeight="1">
      <c r="A655" s="28" t="n"/>
      <c r="B655" s="28" t="n"/>
      <c r="C655" s="28" t="n"/>
      <c r="D655" s="28" t="n"/>
      <c r="E655" s="28" t="n"/>
      <c r="F655" s="28" t="n"/>
      <c r="G655" s="28" t="n"/>
      <c r="H655" s="28" t="n"/>
      <c r="I655" s="28" t="n"/>
      <c r="J655" s="28" t="n"/>
      <c r="K655" s="28" t="n"/>
    </row>
    <row r="656" ht="12.75" customHeight="1">
      <c r="A656" s="28" t="n"/>
      <c r="B656" s="28" t="n"/>
      <c r="C656" s="28" t="n"/>
      <c r="D656" s="28" t="n"/>
      <c r="E656" s="28" t="n"/>
      <c r="F656" s="28" t="n"/>
      <c r="G656" s="28" t="n"/>
      <c r="H656" s="28" t="n"/>
      <c r="I656" s="28" t="n"/>
      <c r="J656" s="28" t="n"/>
      <c r="K656" s="28" t="n"/>
    </row>
    <row r="657" ht="12.75" customHeight="1">
      <c r="A657" s="28" t="n"/>
      <c r="B657" s="28" t="n"/>
      <c r="C657" s="28" t="n"/>
      <c r="D657" s="28" t="n"/>
      <c r="E657" s="28" t="n"/>
      <c r="F657" s="28" t="n"/>
      <c r="G657" s="28" t="n"/>
      <c r="H657" s="28" t="n"/>
      <c r="I657" s="28" t="n"/>
      <c r="J657" s="28" t="n"/>
      <c r="K657" s="28" t="n"/>
    </row>
    <row r="658" ht="12.75" customHeight="1">
      <c r="A658" s="28" t="n"/>
      <c r="B658" s="28" t="n"/>
      <c r="C658" s="28" t="n"/>
      <c r="D658" s="28" t="n"/>
      <c r="E658" s="28" t="n"/>
      <c r="F658" s="28" t="n"/>
      <c r="G658" s="28" t="n"/>
      <c r="H658" s="28" t="n"/>
      <c r="I658" s="28" t="n"/>
      <c r="J658" s="28" t="n"/>
      <c r="K658" s="28" t="n"/>
    </row>
    <row r="659" ht="12.75" customHeight="1">
      <c r="A659" s="28" t="n"/>
      <c r="B659" s="28" t="n"/>
      <c r="C659" s="28" t="n"/>
      <c r="D659" s="28" t="n"/>
      <c r="E659" s="28" t="n"/>
      <c r="F659" s="28" t="n"/>
      <c r="G659" s="28" t="n"/>
      <c r="H659" s="28" t="n"/>
      <c r="I659" s="28" t="n"/>
      <c r="J659" s="28" t="n"/>
      <c r="K659" s="28" t="n"/>
    </row>
    <row r="660" ht="12.75" customHeight="1">
      <c r="A660" s="28" t="n"/>
      <c r="B660" s="28" t="n"/>
      <c r="C660" s="28" t="n"/>
      <c r="D660" s="28" t="n"/>
      <c r="E660" s="28" t="n"/>
      <c r="F660" s="28" t="n"/>
      <c r="G660" s="28" t="n"/>
      <c r="H660" s="28" t="n"/>
      <c r="I660" s="28" t="n"/>
      <c r="J660" s="28" t="n"/>
      <c r="K660" s="28" t="n"/>
    </row>
    <row r="661" ht="12.75" customHeight="1">
      <c r="A661" s="28" t="n"/>
      <c r="B661" s="28" t="n"/>
      <c r="C661" s="28" t="n"/>
      <c r="D661" s="28" t="n"/>
      <c r="E661" s="28" t="n"/>
      <c r="F661" s="28" t="n"/>
      <c r="G661" s="28" t="n"/>
      <c r="H661" s="28" t="n"/>
      <c r="I661" s="28" t="n"/>
      <c r="J661" s="28" t="n"/>
      <c r="K661" s="28" t="n"/>
    </row>
    <row r="662" ht="12.75" customHeight="1">
      <c r="A662" s="28" t="n"/>
      <c r="B662" s="28" t="n"/>
      <c r="C662" s="28" t="n"/>
      <c r="D662" s="28" t="n"/>
      <c r="E662" s="28" t="n"/>
      <c r="F662" s="28" t="n"/>
      <c r="G662" s="28" t="n"/>
      <c r="H662" s="28" t="n"/>
      <c r="I662" s="28" t="n"/>
      <c r="J662" s="28" t="n"/>
      <c r="K662" s="28" t="n"/>
    </row>
    <row r="663" ht="12.75" customHeight="1">
      <c r="A663" s="28" t="n"/>
      <c r="B663" s="28" t="n"/>
      <c r="C663" s="28" t="n"/>
      <c r="D663" s="28" t="n"/>
      <c r="E663" s="28" t="n"/>
      <c r="F663" s="28" t="n"/>
      <c r="G663" s="28" t="n"/>
      <c r="H663" s="28" t="n"/>
      <c r="I663" s="28" t="n"/>
      <c r="J663" s="28" t="n"/>
      <c r="K663" s="28" t="n"/>
    </row>
    <row r="664" ht="12.75" customHeight="1">
      <c r="A664" s="28" t="n"/>
      <c r="B664" s="28" t="n"/>
      <c r="C664" s="28" t="n"/>
      <c r="D664" s="28" t="n"/>
      <c r="E664" s="28" t="n"/>
      <c r="F664" s="28" t="n"/>
      <c r="G664" s="28" t="n"/>
      <c r="H664" s="28" t="n"/>
      <c r="I664" s="28" t="n"/>
      <c r="J664" s="28" t="n"/>
      <c r="K664" s="28" t="n"/>
    </row>
    <row r="665" ht="12.75" customHeight="1">
      <c r="A665" s="28" t="n"/>
      <c r="B665" s="28" t="n"/>
      <c r="C665" s="28" t="n"/>
      <c r="D665" s="28" t="n"/>
      <c r="E665" s="28" t="n"/>
      <c r="F665" s="28" t="n"/>
      <c r="G665" s="28" t="n"/>
      <c r="H665" s="28" t="n"/>
      <c r="I665" s="28" t="n"/>
      <c r="J665" s="28" t="n"/>
      <c r="K665" s="28" t="n"/>
    </row>
    <row r="666" ht="12.75" customHeight="1">
      <c r="A666" s="28" t="n"/>
      <c r="B666" s="28" t="n"/>
      <c r="C666" s="28" t="n"/>
      <c r="D666" s="28" t="n"/>
      <c r="E666" s="28" t="n"/>
      <c r="F666" s="28" t="n"/>
      <c r="G666" s="28" t="n"/>
      <c r="H666" s="28" t="n"/>
      <c r="I666" s="28" t="n"/>
      <c r="J666" s="28" t="n"/>
      <c r="K666" s="28" t="n"/>
    </row>
    <row r="667" ht="12.75" customHeight="1">
      <c r="A667" s="28" t="n"/>
      <c r="B667" s="28" t="n"/>
      <c r="C667" s="28" t="n"/>
      <c r="D667" s="28" t="n"/>
      <c r="E667" s="28" t="n"/>
      <c r="F667" s="28" t="n"/>
      <c r="G667" s="28" t="n"/>
      <c r="H667" s="28" t="n"/>
      <c r="I667" s="28" t="n"/>
      <c r="J667" s="28" t="n"/>
      <c r="K667" s="28" t="n"/>
    </row>
    <row r="668" ht="12.75" customHeight="1">
      <c r="A668" s="28" t="n"/>
      <c r="B668" s="28" t="n"/>
      <c r="C668" s="28" t="n"/>
      <c r="D668" s="28" t="n"/>
      <c r="E668" s="28" t="n"/>
      <c r="F668" s="28" t="n"/>
      <c r="G668" s="28" t="n"/>
      <c r="H668" s="28" t="n"/>
      <c r="I668" s="28" t="n"/>
      <c r="J668" s="28" t="n"/>
      <c r="K668" s="28" t="n"/>
    </row>
    <row r="669" ht="12.75" customHeight="1">
      <c r="A669" s="28" t="n"/>
      <c r="B669" s="28" t="n"/>
      <c r="C669" s="28" t="n"/>
      <c r="D669" s="28" t="n"/>
      <c r="E669" s="28" t="n"/>
      <c r="F669" s="28" t="n"/>
      <c r="G669" s="28" t="n"/>
      <c r="H669" s="28" t="n"/>
      <c r="I669" s="28" t="n"/>
      <c r="J669" s="28" t="n"/>
      <c r="K669" s="28" t="n"/>
    </row>
    <row r="670" ht="12.75" customHeight="1">
      <c r="A670" s="28" t="n"/>
      <c r="B670" s="28" t="n"/>
      <c r="C670" s="28" t="n"/>
      <c r="D670" s="28" t="n"/>
      <c r="E670" s="28" t="n"/>
      <c r="F670" s="28" t="n"/>
      <c r="G670" s="28" t="n"/>
      <c r="H670" s="28" t="n"/>
      <c r="I670" s="28" t="n"/>
      <c r="J670" s="28" t="n"/>
      <c r="K670" s="28" t="n"/>
    </row>
    <row r="671" ht="12.75" customHeight="1">
      <c r="A671" s="28" t="n"/>
      <c r="B671" s="28" t="n"/>
      <c r="C671" s="28" t="n"/>
      <c r="D671" s="28" t="n"/>
      <c r="E671" s="28" t="n"/>
      <c r="F671" s="28" t="n"/>
      <c r="G671" s="28" t="n"/>
      <c r="H671" s="28" t="n"/>
      <c r="I671" s="28" t="n"/>
      <c r="J671" s="28" t="n"/>
      <c r="K671" s="28" t="n"/>
    </row>
    <row r="672" ht="12.75" customHeight="1">
      <c r="A672" s="28" t="n"/>
      <c r="B672" s="28" t="n"/>
      <c r="C672" s="28" t="n"/>
      <c r="D672" s="28" t="n"/>
      <c r="E672" s="28" t="n"/>
      <c r="F672" s="28" t="n"/>
      <c r="G672" s="28" t="n"/>
      <c r="H672" s="28" t="n"/>
      <c r="I672" s="28" t="n"/>
      <c r="J672" s="28" t="n"/>
      <c r="K672" s="28" t="n"/>
    </row>
    <row r="673" ht="12.75" customHeight="1">
      <c r="A673" s="28" t="n"/>
      <c r="B673" s="28" t="n"/>
      <c r="C673" s="28" t="n"/>
      <c r="D673" s="28" t="n"/>
      <c r="E673" s="28" t="n"/>
      <c r="F673" s="28" t="n"/>
      <c r="G673" s="28" t="n"/>
      <c r="H673" s="28" t="n"/>
      <c r="I673" s="28" t="n"/>
      <c r="J673" s="28" t="n"/>
      <c r="K673" s="28" t="n"/>
    </row>
    <row r="674" ht="12.75" customHeight="1">
      <c r="A674" s="28" t="n"/>
      <c r="B674" s="28" t="n"/>
      <c r="C674" s="28" t="n"/>
      <c r="D674" s="28" t="n"/>
      <c r="E674" s="28" t="n"/>
      <c r="F674" s="28" t="n"/>
      <c r="G674" s="28" t="n"/>
      <c r="H674" s="28" t="n"/>
      <c r="I674" s="28" t="n"/>
      <c r="J674" s="28" t="n"/>
      <c r="K674" s="28" t="n"/>
    </row>
    <row r="675" ht="12.75" customHeight="1">
      <c r="A675" s="28" t="n"/>
      <c r="B675" s="28" t="n"/>
      <c r="C675" s="28" t="n"/>
      <c r="D675" s="28" t="n"/>
      <c r="E675" s="28" t="n"/>
      <c r="F675" s="28" t="n"/>
      <c r="G675" s="28" t="n"/>
      <c r="H675" s="28" t="n"/>
      <c r="I675" s="28" t="n"/>
      <c r="J675" s="28" t="n"/>
      <c r="K675" s="28" t="n"/>
    </row>
    <row r="676" ht="12.75" customHeight="1">
      <c r="A676" s="28" t="n"/>
      <c r="B676" s="28" t="n"/>
      <c r="C676" s="28" t="n"/>
      <c r="D676" s="28" t="n"/>
      <c r="E676" s="28" t="n"/>
      <c r="F676" s="28" t="n"/>
      <c r="G676" s="28" t="n"/>
      <c r="H676" s="28" t="n"/>
      <c r="I676" s="28" t="n"/>
      <c r="J676" s="28" t="n"/>
      <c r="K676" s="28" t="n"/>
    </row>
    <row r="677" ht="12.75" customHeight="1">
      <c r="A677" s="28" t="n"/>
      <c r="B677" s="28" t="n"/>
      <c r="C677" s="28" t="n"/>
      <c r="D677" s="28" t="n"/>
      <c r="E677" s="28" t="n"/>
      <c r="F677" s="28" t="n"/>
      <c r="G677" s="28" t="n"/>
      <c r="H677" s="28" t="n"/>
      <c r="I677" s="28" t="n"/>
      <c r="J677" s="28" t="n"/>
      <c r="K677" s="28" t="n"/>
    </row>
    <row r="678" ht="12.75" customHeight="1">
      <c r="A678" s="28" t="n"/>
      <c r="B678" s="28" t="n"/>
      <c r="C678" s="28" t="n"/>
      <c r="D678" s="28" t="n"/>
      <c r="E678" s="28" t="n"/>
      <c r="F678" s="28" t="n"/>
      <c r="G678" s="28" t="n"/>
      <c r="H678" s="28" t="n"/>
      <c r="I678" s="28" t="n"/>
      <c r="J678" s="28" t="n"/>
      <c r="K678" s="28" t="n"/>
    </row>
    <row r="679" ht="12.75" customHeight="1">
      <c r="A679" s="28" t="n"/>
      <c r="B679" s="28" t="n"/>
      <c r="C679" s="28" t="n"/>
      <c r="D679" s="28" t="n"/>
      <c r="E679" s="28" t="n"/>
      <c r="F679" s="28" t="n"/>
      <c r="G679" s="28" t="n"/>
      <c r="H679" s="28" t="n"/>
      <c r="I679" s="28" t="n"/>
      <c r="J679" s="28" t="n"/>
      <c r="K679" s="28" t="n"/>
    </row>
    <row r="680" ht="12.75" customHeight="1">
      <c r="A680" s="28" t="n"/>
      <c r="B680" s="28" t="n"/>
      <c r="C680" s="28" t="n"/>
      <c r="D680" s="28" t="n"/>
      <c r="E680" s="28" t="n"/>
      <c r="F680" s="28" t="n"/>
      <c r="G680" s="28" t="n"/>
      <c r="H680" s="28" t="n"/>
      <c r="I680" s="28" t="n"/>
      <c r="J680" s="28" t="n"/>
      <c r="K680" s="28" t="n"/>
    </row>
    <row r="681" ht="12.75" customHeight="1">
      <c r="A681" s="28" t="n"/>
      <c r="B681" s="28" t="n"/>
      <c r="C681" s="28" t="n"/>
      <c r="D681" s="28" t="n"/>
      <c r="E681" s="28" t="n"/>
      <c r="F681" s="28" t="n"/>
      <c r="G681" s="28" t="n"/>
      <c r="H681" s="28" t="n"/>
      <c r="I681" s="28" t="n"/>
      <c r="J681" s="28" t="n"/>
      <c r="K681" s="28" t="n"/>
    </row>
    <row r="682" ht="12.75" customHeight="1">
      <c r="A682" s="28" t="n"/>
      <c r="B682" s="28" t="n"/>
      <c r="C682" s="28" t="n"/>
      <c r="D682" s="28" t="n"/>
      <c r="E682" s="28" t="n"/>
      <c r="F682" s="28" t="n"/>
      <c r="G682" s="28" t="n"/>
      <c r="H682" s="28" t="n"/>
      <c r="I682" s="28" t="n"/>
      <c r="J682" s="28" t="n"/>
      <c r="K682" s="28" t="n"/>
    </row>
    <row r="683" ht="12.75" customHeight="1">
      <c r="A683" s="28" t="n"/>
      <c r="B683" s="28" t="n"/>
      <c r="C683" s="28" t="n"/>
      <c r="D683" s="28" t="n"/>
      <c r="E683" s="28" t="n"/>
      <c r="F683" s="28" t="n"/>
      <c r="G683" s="28" t="n"/>
      <c r="H683" s="28" t="n"/>
      <c r="I683" s="28" t="n"/>
      <c r="J683" s="28" t="n"/>
      <c r="K683" s="28" t="n"/>
    </row>
    <row r="684" ht="12.75" customHeight="1">
      <c r="A684" s="28" t="n"/>
      <c r="B684" s="28" t="n"/>
      <c r="C684" s="28" t="n"/>
      <c r="D684" s="28" t="n"/>
      <c r="E684" s="28" t="n"/>
      <c r="F684" s="28" t="n"/>
      <c r="G684" s="28" t="n"/>
      <c r="H684" s="28" t="n"/>
      <c r="I684" s="28" t="n"/>
      <c r="J684" s="28" t="n"/>
      <c r="K684" s="28" t="n"/>
    </row>
    <row r="685" ht="12.75" customHeight="1">
      <c r="A685" s="28" t="n"/>
      <c r="B685" s="28" t="n"/>
      <c r="C685" s="28" t="n"/>
      <c r="D685" s="28" t="n"/>
      <c r="E685" s="28" t="n"/>
      <c r="F685" s="28" t="n"/>
      <c r="G685" s="28" t="n"/>
      <c r="H685" s="28" t="n"/>
      <c r="I685" s="28" t="n"/>
      <c r="J685" s="28" t="n"/>
      <c r="K685" s="28" t="n"/>
    </row>
    <row r="686" ht="12.75" customHeight="1">
      <c r="A686" s="28" t="n"/>
      <c r="B686" s="28" t="n"/>
      <c r="C686" s="28" t="n"/>
      <c r="D686" s="28" t="n"/>
      <c r="E686" s="28" t="n"/>
      <c r="F686" s="28" t="n"/>
      <c r="G686" s="28" t="n"/>
      <c r="H686" s="28" t="n"/>
      <c r="I686" s="28" t="n"/>
      <c r="J686" s="28" t="n"/>
      <c r="K686" s="28" t="n"/>
    </row>
    <row r="687" ht="12.75" customHeight="1">
      <c r="A687" s="28" t="n"/>
      <c r="B687" s="28" t="n"/>
      <c r="C687" s="28" t="n"/>
      <c r="D687" s="28" t="n"/>
      <c r="E687" s="28" t="n"/>
      <c r="F687" s="28" t="n"/>
      <c r="G687" s="28" t="n"/>
      <c r="H687" s="28" t="n"/>
      <c r="I687" s="28" t="n"/>
      <c r="J687" s="28" t="n"/>
      <c r="K687" s="28" t="n"/>
    </row>
    <row r="688" ht="12.75" customHeight="1">
      <c r="A688" s="28" t="n"/>
      <c r="B688" s="28" t="n"/>
      <c r="C688" s="28" t="n"/>
      <c r="D688" s="28" t="n"/>
      <c r="E688" s="28" t="n"/>
      <c r="F688" s="28" t="n"/>
      <c r="G688" s="28" t="n"/>
      <c r="H688" s="28" t="n"/>
      <c r="I688" s="28" t="n"/>
      <c r="J688" s="28" t="n"/>
      <c r="K688" s="28" t="n"/>
    </row>
    <row r="689" ht="12.75" customHeight="1">
      <c r="A689" s="28" t="n"/>
      <c r="B689" s="28" t="n"/>
      <c r="C689" s="28" t="n"/>
      <c r="D689" s="28" t="n"/>
      <c r="E689" s="28" t="n"/>
      <c r="F689" s="28" t="n"/>
      <c r="G689" s="28" t="n"/>
      <c r="H689" s="28" t="n"/>
      <c r="I689" s="28" t="n"/>
      <c r="J689" s="28" t="n"/>
      <c r="K689" s="28" t="n"/>
    </row>
    <row r="690" ht="12.75" customHeight="1">
      <c r="A690" s="28" t="n"/>
      <c r="B690" s="28" t="n"/>
      <c r="C690" s="28" t="n"/>
      <c r="D690" s="28" t="n"/>
      <c r="E690" s="28" t="n"/>
      <c r="F690" s="28" t="n"/>
      <c r="G690" s="28" t="n"/>
      <c r="H690" s="28" t="n"/>
      <c r="I690" s="28" t="n"/>
      <c r="J690" s="28" t="n"/>
      <c r="K690" s="28" t="n"/>
    </row>
    <row r="691" ht="12.75" customHeight="1">
      <c r="A691" s="28" t="n"/>
      <c r="B691" s="28" t="n"/>
      <c r="C691" s="28" t="n"/>
      <c r="D691" s="28" t="n"/>
      <c r="E691" s="28" t="n"/>
      <c r="F691" s="28" t="n"/>
      <c r="G691" s="28" t="n"/>
      <c r="H691" s="28" t="n"/>
      <c r="I691" s="28" t="n"/>
      <c r="J691" s="28" t="n"/>
      <c r="K691" s="28" t="n"/>
    </row>
    <row r="692" ht="12.75" customHeight="1">
      <c r="A692" s="28" t="n"/>
      <c r="B692" s="28" t="n"/>
      <c r="C692" s="28" t="n"/>
      <c r="D692" s="28" t="n"/>
      <c r="E692" s="28" t="n"/>
      <c r="F692" s="28" t="n"/>
      <c r="G692" s="28" t="n"/>
      <c r="H692" s="28" t="n"/>
      <c r="I692" s="28" t="n"/>
      <c r="J692" s="28" t="n"/>
      <c r="K692" s="28" t="n"/>
    </row>
    <row r="693" ht="12.75" customHeight="1">
      <c r="A693" s="28" t="n"/>
      <c r="B693" s="28" t="n"/>
      <c r="C693" s="28" t="n"/>
      <c r="D693" s="28" t="n"/>
      <c r="E693" s="28" t="n"/>
      <c r="F693" s="28" t="n"/>
      <c r="G693" s="28" t="n"/>
      <c r="H693" s="28" t="n"/>
      <c r="I693" s="28" t="n"/>
      <c r="J693" s="28" t="n"/>
      <c r="K693" s="28" t="n"/>
    </row>
    <row r="694" ht="12.75" customHeight="1">
      <c r="A694" s="28" t="n"/>
      <c r="B694" s="28" t="n"/>
      <c r="C694" s="28" t="n"/>
      <c r="D694" s="28" t="n"/>
      <c r="E694" s="28" t="n"/>
      <c r="F694" s="28" t="n"/>
      <c r="G694" s="28" t="n"/>
      <c r="H694" s="28" t="n"/>
      <c r="I694" s="28" t="n"/>
      <c r="J694" s="28" t="n"/>
      <c r="K694" s="28" t="n"/>
    </row>
    <row r="695" ht="12.75" customHeight="1">
      <c r="A695" s="28" t="n"/>
      <c r="B695" s="28" t="n"/>
      <c r="C695" s="28" t="n"/>
      <c r="D695" s="28" t="n"/>
      <c r="E695" s="28" t="n"/>
      <c r="F695" s="28" t="n"/>
      <c r="G695" s="28" t="n"/>
      <c r="H695" s="28" t="n"/>
      <c r="I695" s="28" t="n"/>
      <c r="J695" s="28" t="n"/>
      <c r="K695" s="28" t="n"/>
    </row>
    <row r="696" ht="12.75" customHeight="1">
      <c r="A696" s="28" t="n"/>
      <c r="B696" s="28" t="n"/>
      <c r="C696" s="28" t="n"/>
      <c r="D696" s="28" t="n"/>
      <c r="E696" s="28" t="n"/>
      <c r="F696" s="28" t="n"/>
      <c r="G696" s="28" t="n"/>
      <c r="H696" s="28" t="n"/>
      <c r="I696" s="28" t="n"/>
      <c r="J696" s="28" t="n"/>
      <c r="K696" s="28" t="n"/>
    </row>
    <row r="697" ht="12.75" customHeight="1">
      <c r="A697" s="28" t="n"/>
      <c r="B697" s="28" t="n"/>
      <c r="C697" s="28" t="n"/>
      <c r="D697" s="28" t="n"/>
      <c r="E697" s="28" t="n"/>
      <c r="F697" s="28" t="n"/>
      <c r="G697" s="28" t="n"/>
      <c r="H697" s="28" t="n"/>
      <c r="I697" s="28" t="n"/>
      <c r="J697" s="28" t="n"/>
      <c r="K697" s="28" t="n"/>
    </row>
    <row r="698" ht="12.75" customHeight="1">
      <c r="A698" s="28" t="n"/>
      <c r="B698" s="28" t="n"/>
      <c r="C698" s="28" t="n"/>
      <c r="D698" s="28" t="n"/>
      <c r="E698" s="28" t="n"/>
      <c r="F698" s="28" t="n"/>
      <c r="G698" s="28" t="n"/>
      <c r="H698" s="28" t="n"/>
      <c r="I698" s="28" t="n"/>
      <c r="J698" s="28" t="n"/>
      <c r="K698" s="28" t="n"/>
    </row>
    <row r="699" ht="12.75" customHeight="1">
      <c r="A699" s="28" t="n"/>
      <c r="B699" s="28" t="n"/>
      <c r="C699" s="28" t="n"/>
      <c r="D699" s="28" t="n"/>
      <c r="E699" s="28" t="n"/>
      <c r="F699" s="28" t="n"/>
      <c r="G699" s="28" t="n"/>
      <c r="H699" s="28" t="n"/>
      <c r="I699" s="28" t="n"/>
      <c r="J699" s="28" t="n"/>
      <c r="K699" s="28" t="n"/>
    </row>
    <row r="700" ht="12.75" customHeight="1">
      <c r="A700" s="28" t="n"/>
      <c r="B700" s="28" t="n"/>
      <c r="C700" s="28" t="n"/>
      <c r="D700" s="28" t="n"/>
      <c r="E700" s="28" t="n"/>
      <c r="F700" s="28" t="n"/>
      <c r="G700" s="28" t="n"/>
      <c r="H700" s="28" t="n"/>
      <c r="I700" s="28" t="n"/>
      <c r="J700" s="28" t="n"/>
      <c r="K700" s="28" t="n"/>
    </row>
    <row r="701" ht="12.75" customHeight="1">
      <c r="A701" s="28" t="n"/>
      <c r="B701" s="28" t="n"/>
      <c r="C701" s="28" t="n"/>
      <c r="D701" s="28" t="n"/>
      <c r="E701" s="28" t="n"/>
      <c r="F701" s="28" t="n"/>
      <c r="G701" s="28" t="n"/>
      <c r="H701" s="28" t="n"/>
      <c r="I701" s="28" t="n"/>
      <c r="J701" s="28" t="n"/>
      <c r="K701" s="28" t="n"/>
    </row>
    <row r="702" ht="12.75" customHeight="1">
      <c r="A702" s="28" t="n"/>
      <c r="B702" s="28" t="n"/>
      <c r="C702" s="28" t="n"/>
      <c r="D702" s="28" t="n"/>
      <c r="E702" s="28" t="n"/>
      <c r="F702" s="28" t="n"/>
      <c r="G702" s="28" t="n"/>
      <c r="H702" s="28" t="n"/>
      <c r="I702" s="28" t="n"/>
      <c r="J702" s="28" t="n"/>
      <c r="K702" s="28" t="n"/>
    </row>
    <row r="703" ht="12.75" customHeight="1">
      <c r="A703" s="28" t="n"/>
      <c r="B703" s="28" t="n"/>
      <c r="C703" s="28" t="n"/>
      <c r="D703" s="28" t="n"/>
      <c r="E703" s="28" t="n"/>
      <c r="F703" s="28" t="n"/>
      <c r="G703" s="28" t="n"/>
      <c r="H703" s="28" t="n"/>
      <c r="I703" s="28" t="n"/>
      <c r="J703" s="28" t="n"/>
      <c r="K703" s="28" t="n"/>
    </row>
    <row r="704" ht="12.75" customHeight="1">
      <c r="A704" s="28" t="n"/>
      <c r="B704" s="28" t="n"/>
      <c r="C704" s="28" t="n"/>
      <c r="D704" s="28" t="n"/>
      <c r="E704" s="28" t="n"/>
      <c r="F704" s="28" t="n"/>
      <c r="G704" s="28" t="n"/>
      <c r="H704" s="28" t="n"/>
      <c r="I704" s="28" t="n"/>
      <c r="J704" s="28" t="n"/>
      <c r="K704" s="28" t="n"/>
    </row>
    <row r="705" ht="12.75" customHeight="1">
      <c r="A705" s="28" t="n"/>
      <c r="B705" s="28" t="n"/>
      <c r="C705" s="28" t="n"/>
      <c r="D705" s="28" t="n"/>
      <c r="E705" s="28" t="n"/>
      <c r="F705" s="28" t="n"/>
      <c r="G705" s="28" t="n"/>
      <c r="H705" s="28" t="n"/>
      <c r="I705" s="28" t="n"/>
      <c r="J705" s="28" t="n"/>
      <c r="K705" s="28" t="n"/>
    </row>
    <row r="706" ht="12.75" customHeight="1">
      <c r="A706" s="28" t="n"/>
      <c r="B706" s="28" t="n"/>
      <c r="C706" s="28" t="n"/>
      <c r="D706" s="28" t="n"/>
      <c r="E706" s="28" t="n"/>
      <c r="F706" s="28" t="n"/>
      <c r="G706" s="28" t="n"/>
      <c r="H706" s="28" t="n"/>
      <c r="I706" s="28" t="n"/>
      <c r="J706" s="28" t="n"/>
      <c r="K706" s="28" t="n"/>
    </row>
    <row r="707" ht="12.75" customHeight="1">
      <c r="A707" s="28" t="n"/>
      <c r="B707" s="28" t="n"/>
      <c r="C707" s="28" t="n"/>
      <c r="D707" s="28" t="n"/>
      <c r="E707" s="28" t="n"/>
      <c r="F707" s="28" t="n"/>
      <c r="G707" s="28" t="n"/>
      <c r="H707" s="28" t="n"/>
      <c r="I707" s="28" t="n"/>
      <c r="J707" s="28" t="n"/>
      <c r="K707" s="28" t="n"/>
    </row>
    <row r="708" ht="12.75" customHeight="1">
      <c r="A708" s="28" t="n"/>
      <c r="B708" s="28" t="n"/>
      <c r="C708" s="28" t="n"/>
      <c r="D708" s="28" t="n"/>
      <c r="E708" s="28" t="n"/>
      <c r="F708" s="28" t="n"/>
      <c r="G708" s="28" t="n"/>
      <c r="H708" s="28" t="n"/>
      <c r="I708" s="28" t="n"/>
      <c r="J708" s="28" t="n"/>
      <c r="K708" s="28" t="n"/>
    </row>
    <row r="709" ht="12.75" customHeight="1">
      <c r="A709" s="28" t="n"/>
      <c r="B709" s="28" t="n"/>
      <c r="C709" s="28" t="n"/>
      <c r="D709" s="28" t="n"/>
      <c r="E709" s="28" t="n"/>
      <c r="F709" s="28" t="n"/>
      <c r="G709" s="28" t="n"/>
      <c r="H709" s="28" t="n"/>
      <c r="I709" s="28" t="n"/>
      <c r="J709" s="28" t="n"/>
      <c r="K709" s="28" t="n"/>
    </row>
    <row r="710" ht="12.75" customHeight="1">
      <c r="A710" s="28" t="n"/>
      <c r="B710" s="28" t="n"/>
      <c r="C710" s="28" t="n"/>
      <c r="D710" s="28" t="n"/>
      <c r="E710" s="28" t="n"/>
      <c r="F710" s="28" t="n"/>
      <c r="G710" s="28" t="n"/>
      <c r="H710" s="28" t="n"/>
      <c r="I710" s="28" t="n"/>
      <c r="J710" s="28" t="n"/>
      <c r="K710" s="28" t="n"/>
    </row>
    <row r="711" ht="12.75" customHeight="1">
      <c r="A711" s="28" t="n"/>
      <c r="B711" s="28" t="n"/>
      <c r="C711" s="28" t="n"/>
      <c r="D711" s="28" t="n"/>
      <c r="E711" s="28" t="n"/>
      <c r="F711" s="28" t="n"/>
      <c r="G711" s="28" t="n"/>
      <c r="H711" s="28" t="n"/>
      <c r="I711" s="28" t="n"/>
      <c r="J711" s="28" t="n"/>
      <c r="K711" s="28" t="n"/>
    </row>
    <row r="712" ht="12.75" customHeight="1">
      <c r="A712" s="28" t="n"/>
      <c r="B712" s="28" t="n"/>
      <c r="C712" s="28" t="n"/>
      <c r="D712" s="28" t="n"/>
      <c r="E712" s="28" t="n"/>
      <c r="F712" s="28" t="n"/>
      <c r="G712" s="28" t="n"/>
      <c r="H712" s="28" t="n"/>
      <c r="I712" s="28" t="n"/>
      <c r="J712" s="28" t="n"/>
      <c r="K712" s="28" t="n"/>
    </row>
    <row r="713" ht="12.75" customHeight="1">
      <c r="A713" s="28" t="n"/>
      <c r="B713" s="28" t="n"/>
      <c r="C713" s="28" t="n"/>
      <c r="D713" s="28" t="n"/>
      <c r="E713" s="28" t="n"/>
      <c r="F713" s="28" t="n"/>
      <c r="G713" s="28" t="n"/>
      <c r="H713" s="28" t="n"/>
      <c r="I713" s="28" t="n"/>
      <c r="J713" s="28" t="n"/>
      <c r="K713" s="28" t="n"/>
    </row>
    <row r="714" ht="12.75" customHeight="1">
      <c r="A714" s="28" t="n"/>
      <c r="B714" s="28" t="n"/>
      <c r="C714" s="28" t="n"/>
      <c r="D714" s="28" t="n"/>
      <c r="E714" s="28" t="n"/>
      <c r="F714" s="28" t="n"/>
      <c r="G714" s="28" t="n"/>
      <c r="H714" s="28" t="n"/>
      <c r="I714" s="28" t="n"/>
      <c r="J714" s="28" t="n"/>
      <c r="K714" s="28" t="n"/>
    </row>
    <row r="715" ht="12.75" customHeight="1">
      <c r="A715" s="28" t="n"/>
      <c r="B715" s="28" t="n"/>
      <c r="C715" s="28" t="n"/>
      <c r="D715" s="28" t="n"/>
      <c r="E715" s="28" t="n"/>
      <c r="F715" s="28" t="n"/>
      <c r="G715" s="28" t="n"/>
      <c r="H715" s="28" t="n"/>
      <c r="I715" s="28" t="n"/>
      <c r="J715" s="28" t="n"/>
      <c r="K715" s="28" t="n"/>
    </row>
    <row r="716" ht="12.75" customHeight="1">
      <c r="A716" s="28" t="n"/>
      <c r="B716" s="28" t="n"/>
      <c r="C716" s="28" t="n"/>
      <c r="D716" s="28" t="n"/>
      <c r="E716" s="28" t="n"/>
      <c r="F716" s="28" t="n"/>
      <c r="G716" s="28" t="n"/>
      <c r="H716" s="28" t="n"/>
      <c r="I716" s="28" t="n"/>
      <c r="J716" s="28" t="n"/>
      <c r="K716" s="28" t="n"/>
    </row>
    <row r="717" ht="12.75" customHeight="1">
      <c r="A717" s="28" t="n"/>
      <c r="B717" s="28" t="n"/>
      <c r="C717" s="28" t="n"/>
      <c r="D717" s="28" t="n"/>
      <c r="E717" s="28" t="n"/>
      <c r="F717" s="28" t="n"/>
      <c r="G717" s="28" t="n"/>
      <c r="H717" s="28" t="n"/>
      <c r="I717" s="28" t="n"/>
      <c r="J717" s="28" t="n"/>
      <c r="K717" s="28" t="n"/>
    </row>
    <row r="718" ht="12.75" customHeight="1">
      <c r="A718" s="28" t="n"/>
      <c r="B718" s="28" t="n"/>
      <c r="C718" s="28" t="n"/>
      <c r="D718" s="28" t="n"/>
      <c r="E718" s="28" t="n"/>
      <c r="F718" s="28" t="n"/>
      <c r="G718" s="28" t="n"/>
      <c r="H718" s="28" t="n"/>
      <c r="I718" s="28" t="n"/>
      <c r="J718" s="28" t="n"/>
      <c r="K718" s="28" t="n"/>
    </row>
    <row r="719" ht="12.75" customHeight="1">
      <c r="A719" s="28" t="n"/>
      <c r="B719" s="28" t="n"/>
      <c r="C719" s="28" t="n"/>
      <c r="D719" s="28" t="n"/>
      <c r="E719" s="28" t="n"/>
      <c r="F719" s="28" t="n"/>
      <c r="G719" s="28" t="n"/>
      <c r="H719" s="28" t="n"/>
      <c r="I719" s="28" t="n"/>
      <c r="J719" s="28" t="n"/>
      <c r="K719" s="28" t="n"/>
    </row>
    <row r="720" ht="12.75" customHeight="1">
      <c r="A720" s="28" t="n"/>
      <c r="B720" s="28" t="n"/>
      <c r="C720" s="28" t="n"/>
      <c r="D720" s="28" t="n"/>
      <c r="E720" s="28" t="n"/>
      <c r="F720" s="28" t="n"/>
      <c r="G720" s="28" t="n"/>
      <c r="H720" s="28" t="n"/>
      <c r="I720" s="28" t="n"/>
      <c r="J720" s="28" t="n"/>
      <c r="K720" s="28" t="n"/>
    </row>
    <row r="721" ht="12.75" customHeight="1">
      <c r="A721" s="28" t="n"/>
      <c r="B721" s="28" t="n"/>
      <c r="C721" s="28" t="n"/>
      <c r="D721" s="28" t="n"/>
      <c r="E721" s="28" t="n"/>
      <c r="F721" s="28" t="n"/>
      <c r="G721" s="28" t="n"/>
      <c r="H721" s="28" t="n"/>
      <c r="I721" s="28" t="n"/>
      <c r="J721" s="28" t="n"/>
      <c r="K721" s="28" t="n"/>
    </row>
    <row r="722" ht="12.75" customHeight="1">
      <c r="A722" s="28" t="n"/>
      <c r="B722" s="28" t="n"/>
      <c r="C722" s="28" t="n"/>
      <c r="D722" s="28" t="n"/>
      <c r="E722" s="28" t="n"/>
      <c r="F722" s="28" t="n"/>
      <c r="G722" s="28" t="n"/>
      <c r="H722" s="28" t="n"/>
      <c r="I722" s="28" t="n"/>
      <c r="J722" s="28" t="n"/>
      <c r="K722" s="28" t="n"/>
    </row>
    <row r="723" ht="12.75" customHeight="1">
      <c r="A723" s="28" t="n"/>
      <c r="B723" s="28" t="n"/>
      <c r="C723" s="28" t="n"/>
      <c r="D723" s="28" t="n"/>
      <c r="E723" s="28" t="n"/>
      <c r="F723" s="28" t="n"/>
      <c r="G723" s="28" t="n"/>
      <c r="H723" s="28" t="n"/>
      <c r="I723" s="28" t="n"/>
      <c r="J723" s="28" t="n"/>
      <c r="K723" s="28" t="n"/>
    </row>
    <row r="724" ht="12.75" customHeight="1">
      <c r="A724" s="28" t="n"/>
      <c r="B724" s="28" t="n"/>
      <c r="C724" s="28" t="n"/>
      <c r="D724" s="28" t="n"/>
      <c r="E724" s="28" t="n"/>
      <c r="F724" s="28" t="n"/>
      <c r="G724" s="28" t="n"/>
      <c r="H724" s="28" t="n"/>
      <c r="I724" s="28" t="n"/>
      <c r="J724" s="28" t="n"/>
      <c r="K724" s="28" t="n"/>
    </row>
    <row r="725" ht="12.75" customHeight="1">
      <c r="A725" s="28" t="n"/>
      <c r="B725" s="28" t="n"/>
      <c r="C725" s="28" t="n"/>
      <c r="D725" s="28" t="n"/>
      <c r="E725" s="28" t="n"/>
      <c r="F725" s="28" t="n"/>
      <c r="G725" s="28" t="n"/>
      <c r="H725" s="28" t="n"/>
      <c r="I725" s="28" t="n"/>
      <c r="J725" s="28" t="n"/>
      <c r="K725" s="28" t="n"/>
    </row>
    <row r="726" ht="12.75" customHeight="1">
      <c r="A726" s="28" t="n"/>
      <c r="B726" s="28" t="n"/>
      <c r="C726" s="28" t="n"/>
      <c r="D726" s="28" t="n"/>
      <c r="E726" s="28" t="n"/>
      <c r="F726" s="28" t="n"/>
      <c r="G726" s="28" t="n"/>
      <c r="H726" s="28" t="n"/>
      <c r="I726" s="28" t="n"/>
      <c r="J726" s="28" t="n"/>
      <c r="K726" s="28" t="n"/>
    </row>
    <row r="727" ht="12.75" customHeight="1">
      <c r="A727" s="28" t="n"/>
      <c r="B727" s="28" t="n"/>
      <c r="C727" s="28" t="n"/>
      <c r="D727" s="28" t="n"/>
      <c r="E727" s="28" t="n"/>
      <c r="F727" s="28" t="n"/>
      <c r="G727" s="28" t="n"/>
      <c r="H727" s="28" t="n"/>
      <c r="I727" s="28" t="n"/>
      <c r="J727" s="28" t="n"/>
      <c r="K727" s="28" t="n"/>
    </row>
    <row r="728" ht="12.75" customHeight="1">
      <c r="A728" s="28" t="n"/>
      <c r="B728" s="28" t="n"/>
      <c r="C728" s="28" t="n"/>
      <c r="D728" s="28" t="n"/>
      <c r="E728" s="28" t="n"/>
      <c r="F728" s="28" t="n"/>
      <c r="G728" s="28" t="n"/>
      <c r="H728" s="28" t="n"/>
      <c r="I728" s="28" t="n"/>
      <c r="J728" s="28" t="n"/>
      <c r="K728" s="28" t="n"/>
    </row>
    <row r="729" ht="12.75" customHeight="1">
      <c r="A729" s="28" t="n"/>
      <c r="B729" s="28" t="n"/>
      <c r="C729" s="28" t="n"/>
      <c r="D729" s="28" t="n"/>
      <c r="E729" s="28" t="n"/>
      <c r="F729" s="28" t="n"/>
      <c r="G729" s="28" t="n"/>
      <c r="H729" s="28" t="n"/>
      <c r="I729" s="28" t="n"/>
      <c r="J729" s="28" t="n"/>
      <c r="K729" s="28" t="n"/>
    </row>
    <row r="730" ht="12.75" customHeight="1">
      <c r="A730" s="28" t="n"/>
      <c r="B730" s="28" t="n"/>
      <c r="C730" s="28" t="n"/>
      <c r="D730" s="28" t="n"/>
      <c r="E730" s="28" t="n"/>
      <c r="F730" s="28" t="n"/>
      <c r="G730" s="28" t="n"/>
      <c r="H730" s="28" t="n"/>
      <c r="I730" s="28" t="n"/>
      <c r="J730" s="28" t="n"/>
      <c r="K730" s="28" t="n"/>
    </row>
    <row r="731" ht="12.75" customHeight="1">
      <c r="A731" s="28" t="n"/>
      <c r="B731" s="28" t="n"/>
      <c r="C731" s="28" t="n"/>
      <c r="D731" s="28" t="n"/>
      <c r="E731" s="28" t="n"/>
      <c r="F731" s="28" t="n"/>
      <c r="G731" s="28" t="n"/>
      <c r="H731" s="28" t="n"/>
      <c r="I731" s="28" t="n"/>
      <c r="J731" s="28" t="n"/>
      <c r="K731" s="28" t="n"/>
    </row>
    <row r="732" ht="12.75" customHeight="1">
      <c r="A732" s="28" t="n"/>
      <c r="B732" s="28" t="n"/>
      <c r="C732" s="28" t="n"/>
      <c r="D732" s="28" t="n"/>
      <c r="E732" s="28" t="n"/>
      <c r="F732" s="28" t="n"/>
      <c r="G732" s="28" t="n"/>
      <c r="H732" s="28" t="n"/>
      <c r="I732" s="28" t="n"/>
      <c r="J732" s="28" t="n"/>
      <c r="K732" s="28" t="n"/>
    </row>
    <row r="733" ht="12.75" customHeight="1">
      <c r="A733" s="28" t="n"/>
      <c r="B733" s="28" t="n"/>
      <c r="C733" s="28" t="n"/>
      <c r="D733" s="28" t="n"/>
      <c r="E733" s="28" t="n"/>
      <c r="F733" s="28" t="n"/>
      <c r="G733" s="28" t="n"/>
      <c r="H733" s="28" t="n"/>
      <c r="I733" s="28" t="n"/>
      <c r="J733" s="28" t="n"/>
      <c r="K733" s="28" t="n"/>
    </row>
    <row r="734" ht="12.75" customHeight="1">
      <c r="A734" s="28" t="n"/>
      <c r="B734" s="28" t="n"/>
      <c r="C734" s="28" t="n"/>
      <c r="D734" s="28" t="n"/>
      <c r="E734" s="28" t="n"/>
      <c r="F734" s="28" t="n"/>
      <c r="G734" s="28" t="n"/>
      <c r="H734" s="28" t="n"/>
      <c r="I734" s="28" t="n"/>
      <c r="J734" s="28" t="n"/>
      <c r="K734" s="28" t="n"/>
    </row>
    <row r="735" ht="12.75" customHeight="1">
      <c r="A735" s="28" t="n"/>
      <c r="B735" s="28" t="n"/>
      <c r="C735" s="28" t="n"/>
      <c r="D735" s="28" t="n"/>
      <c r="E735" s="28" t="n"/>
      <c r="F735" s="28" t="n"/>
      <c r="G735" s="28" t="n"/>
      <c r="H735" s="28" t="n"/>
      <c r="I735" s="28" t="n"/>
      <c r="J735" s="28" t="n"/>
      <c r="K735" s="28" t="n"/>
    </row>
    <row r="736" ht="12.75" customHeight="1">
      <c r="A736" s="28" t="n"/>
      <c r="B736" s="28" t="n"/>
      <c r="C736" s="28" t="n"/>
      <c r="D736" s="28" t="n"/>
      <c r="E736" s="28" t="n"/>
      <c r="F736" s="28" t="n"/>
      <c r="G736" s="28" t="n"/>
      <c r="H736" s="28" t="n"/>
      <c r="I736" s="28" t="n"/>
      <c r="J736" s="28" t="n"/>
      <c r="K736" s="28" t="n"/>
    </row>
    <row r="737" ht="12.75" customHeight="1">
      <c r="A737" s="28" t="n"/>
      <c r="B737" s="28" t="n"/>
      <c r="C737" s="28" t="n"/>
      <c r="D737" s="28" t="n"/>
      <c r="E737" s="28" t="n"/>
      <c r="F737" s="28" t="n"/>
      <c r="G737" s="28" t="n"/>
      <c r="H737" s="28" t="n"/>
      <c r="I737" s="28" t="n"/>
      <c r="J737" s="28" t="n"/>
      <c r="K737" s="28" t="n"/>
    </row>
    <row r="738" ht="12.75" customHeight="1">
      <c r="A738" s="28" t="n"/>
      <c r="B738" s="28" t="n"/>
      <c r="C738" s="28" t="n"/>
      <c r="D738" s="28" t="n"/>
      <c r="E738" s="28" t="n"/>
      <c r="F738" s="28" t="n"/>
      <c r="G738" s="28" t="n"/>
      <c r="H738" s="28" t="n"/>
      <c r="I738" s="28" t="n"/>
      <c r="J738" s="28" t="n"/>
      <c r="K738" s="28" t="n"/>
    </row>
    <row r="739" ht="12.75" customHeight="1">
      <c r="A739" s="28" t="n"/>
      <c r="B739" s="28" t="n"/>
      <c r="C739" s="28" t="n"/>
      <c r="D739" s="28" t="n"/>
      <c r="E739" s="28" t="n"/>
      <c r="F739" s="28" t="n"/>
      <c r="G739" s="28" t="n"/>
      <c r="H739" s="28" t="n"/>
      <c r="I739" s="28" t="n"/>
      <c r="J739" s="28" t="n"/>
      <c r="K739" s="28" t="n"/>
    </row>
    <row r="740" ht="12.75" customHeight="1">
      <c r="A740" s="28" t="n"/>
      <c r="B740" s="28" t="n"/>
      <c r="C740" s="28" t="n"/>
      <c r="D740" s="28" t="n"/>
      <c r="E740" s="28" t="n"/>
      <c r="F740" s="28" t="n"/>
      <c r="G740" s="28" t="n"/>
      <c r="H740" s="28" t="n"/>
      <c r="I740" s="28" t="n"/>
      <c r="J740" s="28" t="n"/>
      <c r="K740" s="28" t="n"/>
    </row>
    <row r="741" ht="12.75" customHeight="1">
      <c r="A741" s="28" t="n"/>
      <c r="B741" s="28" t="n"/>
      <c r="C741" s="28" t="n"/>
      <c r="D741" s="28" t="n"/>
      <c r="E741" s="28" t="n"/>
      <c r="F741" s="28" t="n"/>
      <c r="G741" s="28" t="n"/>
      <c r="H741" s="28" t="n"/>
      <c r="I741" s="28" t="n"/>
      <c r="J741" s="28" t="n"/>
      <c r="K741" s="28" t="n"/>
    </row>
    <row r="742" ht="12.75" customHeight="1">
      <c r="A742" s="28" t="n"/>
      <c r="B742" s="28" t="n"/>
      <c r="C742" s="28" t="n"/>
      <c r="D742" s="28" t="n"/>
      <c r="E742" s="28" t="n"/>
      <c r="F742" s="28" t="n"/>
      <c r="G742" s="28" t="n"/>
      <c r="H742" s="28" t="n"/>
      <c r="I742" s="28" t="n"/>
      <c r="J742" s="28" t="n"/>
      <c r="K742" s="28" t="n"/>
    </row>
    <row r="743" ht="12.75" customHeight="1">
      <c r="A743" s="28" t="n"/>
      <c r="B743" s="28" t="n"/>
      <c r="C743" s="28" t="n"/>
      <c r="D743" s="28" t="n"/>
      <c r="E743" s="28" t="n"/>
      <c r="F743" s="28" t="n"/>
      <c r="G743" s="28" t="n"/>
      <c r="H743" s="28" t="n"/>
      <c r="I743" s="28" t="n"/>
      <c r="J743" s="28" t="n"/>
      <c r="K743" s="28" t="n"/>
    </row>
    <row r="744" ht="12.75" customHeight="1">
      <c r="A744" s="28" t="n"/>
      <c r="B744" s="28" t="n"/>
      <c r="C744" s="28" t="n"/>
      <c r="D744" s="28" t="n"/>
      <c r="E744" s="28" t="n"/>
      <c r="F744" s="28" t="n"/>
      <c r="G744" s="28" t="n"/>
      <c r="H744" s="28" t="n"/>
      <c r="I744" s="28" t="n"/>
      <c r="J744" s="28" t="n"/>
      <c r="K744" s="28" t="n"/>
    </row>
    <row r="745" ht="12.75" customHeight="1">
      <c r="A745" s="28" t="n"/>
      <c r="B745" s="28" t="n"/>
      <c r="C745" s="28" t="n"/>
      <c r="D745" s="28" t="n"/>
      <c r="E745" s="28" t="n"/>
      <c r="F745" s="28" t="n"/>
      <c r="G745" s="28" t="n"/>
      <c r="H745" s="28" t="n"/>
      <c r="I745" s="28" t="n"/>
      <c r="J745" s="28" t="n"/>
      <c r="K745" s="28" t="n"/>
    </row>
    <row r="746" ht="12.75" customHeight="1">
      <c r="A746" s="28" t="n"/>
      <c r="B746" s="28" t="n"/>
      <c r="C746" s="28" t="n"/>
      <c r="D746" s="28" t="n"/>
      <c r="E746" s="28" t="n"/>
      <c r="F746" s="28" t="n"/>
      <c r="G746" s="28" t="n"/>
      <c r="H746" s="28" t="n"/>
      <c r="I746" s="28" t="n"/>
      <c r="J746" s="28" t="n"/>
      <c r="K746" s="28" t="n"/>
    </row>
    <row r="747" ht="12.75" customHeight="1">
      <c r="A747" s="28" t="n"/>
      <c r="B747" s="28" t="n"/>
      <c r="C747" s="28" t="n"/>
      <c r="D747" s="28" t="n"/>
      <c r="E747" s="28" t="n"/>
      <c r="F747" s="28" t="n"/>
      <c r="G747" s="28" t="n"/>
      <c r="H747" s="28" t="n"/>
      <c r="I747" s="28" t="n"/>
      <c r="J747" s="28" t="n"/>
      <c r="K747" s="28" t="n"/>
    </row>
    <row r="748" ht="12.75" customHeight="1">
      <c r="A748" s="28" t="n"/>
      <c r="B748" s="28" t="n"/>
      <c r="C748" s="28" t="n"/>
      <c r="D748" s="28" t="n"/>
      <c r="E748" s="28" t="n"/>
      <c r="F748" s="28" t="n"/>
      <c r="G748" s="28" t="n"/>
      <c r="H748" s="28" t="n"/>
      <c r="I748" s="28" t="n"/>
      <c r="J748" s="28" t="n"/>
      <c r="K748" s="28" t="n"/>
    </row>
    <row r="749" ht="12.75" customHeight="1">
      <c r="A749" s="28" t="n"/>
      <c r="B749" s="28" t="n"/>
      <c r="C749" s="28" t="n"/>
      <c r="D749" s="28" t="n"/>
      <c r="E749" s="28" t="n"/>
      <c r="F749" s="28" t="n"/>
      <c r="G749" s="28" t="n"/>
      <c r="H749" s="28" t="n"/>
      <c r="I749" s="28" t="n"/>
      <c r="J749" s="28" t="n"/>
      <c r="K749" s="28" t="n"/>
    </row>
    <row r="750" ht="12.75" customHeight="1">
      <c r="A750" s="28" t="n"/>
      <c r="B750" s="28" t="n"/>
      <c r="C750" s="28" t="n"/>
      <c r="D750" s="28" t="n"/>
      <c r="E750" s="28" t="n"/>
      <c r="F750" s="28" t="n"/>
      <c r="G750" s="28" t="n"/>
      <c r="H750" s="28" t="n"/>
      <c r="I750" s="28" t="n"/>
      <c r="J750" s="28" t="n"/>
      <c r="K750" s="28" t="n"/>
    </row>
    <row r="751" ht="12.75" customHeight="1">
      <c r="A751" s="28" t="n"/>
      <c r="B751" s="28" t="n"/>
      <c r="C751" s="28" t="n"/>
      <c r="D751" s="28" t="n"/>
      <c r="E751" s="28" t="n"/>
      <c r="F751" s="28" t="n"/>
      <c r="G751" s="28" t="n"/>
      <c r="H751" s="28" t="n"/>
      <c r="I751" s="28" t="n"/>
      <c r="J751" s="28" t="n"/>
      <c r="K751" s="28" t="n"/>
    </row>
    <row r="752" ht="12.75" customHeight="1">
      <c r="A752" s="28" t="n"/>
      <c r="B752" s="28" t="n"/>
      <c r="C752" s="28" t="n"/>
      <c r="D752" s="28" t="n"/>
      <c r="E752" s="28" t="n"/>
      <c r="F752" s="28" t="n"/>
      <c r="G752" s="28" t="n"/>
      <c r="H752" s="28" t="n"/>
      <c r="I752" s="28" t="n"/>
      <c r="J752" s="28" t="n"/>
      <c r="K752" s="28" t="n"/>
    </row>
    <row r="753" ht="12.75" customHeight="1">
      <c r="A753" s="28" t="n"/>
      <c r="B753" s="28" t="n"/>
      <c r="C753" s="28" t="n"/>
      <c r="D753" s="28" t="n"/>
      <c r="E753" s="28" t="n"/>
      <c r="F753" s="28" t="n"/>
      <c r="G753" s="28" t="n"/>
      <c r="H753" s="28" t="n"/>
      <c r="I753" s="28" t="n"/>
      <c r="J753" s="28" t="n"/>
      <c r="K753" s="28" t="n"/>
    </row>
    <row r="754" ht="12.75" customHeight="1">
      <c r="A754" s="28" t="n"/>
      <c r="B754" s="28" t="n"/>
      <c r="C754" s="28" t="n"/>
      <c r="D754" s="28" t="n"/>
      <c r="E754" s="28" t="n"/>
      <c r="F754" s="28" t="n"/>
      <c r="G754" s="28" t="n"/>
      <c r="H754" s="28" t="n"/>
      <c r="I754" s="28" t="n"/>
      <c r="J754" s="28" t="n"/>
      <c r="K754" s="28" t="n"/>
    </row>
    <row r="755" ht="12.75" customHeight="1">
      <c r="A755" s="28" t="n"/>
      <c r="B755" s="28" t="n"/>
      <c r="C755" s="28" t="n"/>
      <c r="D755" s="28" t="n"/>
      <c r="E755" s="28" t="n"/>
      <c r="F755" s="28" t="n"/>
      <c r="G755" s="28" t="n"/>
      <c r="H755" s="28" t="n"/>
      <c r="I755" s="28" t="n"/>
      <c r="J755" s="28" t="n"/>
      <c r="K755" s="28" t="n"/>
    </row>
    <row r="756" ht="12.75" customHeight="1">
      <c r="A756" s="28" t="n"/>
      <c r="B756" s="28" t="n"/>
      <c r="C756" s="28" t="n"/>
      <c r="D756" s="28" t="n"/>
      <c r="E756" s="28" t="n"/>
      <c r="F756" s="28" t="n"/>
      <c r="G756" s="28" t="n"/>
      <c r="H756" s="28" t="n"/>
      <c r="I756" s="28" t="n"/>
      <c r="J756" s="28" t="n"/>
      <c r="K756" s="28" t="n"/>
    </row>
    <row r="757" ht="12.75" customHeight="1">
      <c r="A757" s="28" t="n"/>
      <c r="B757" s="28" t="n"/>
      <c r="C757" s="28" t="n"/>
      <c r="D757" s="28" t="n"/>
      <c r="E757" s="28" t="n"/>
      <c r="F757" s="28" t="n"/>
      <c r="G757" s="28" t="n"/>
      <c r="H757" s="28" t="n"/>
      <c r="I757" s="28" t="n"/>
      <c r="J757" s="28" t="n"/>
      <c r="K757" s="28" t="n"/>
    </row>
    <row r="758" ht="12.75" customHeight="1">
      <c r="A758" s="28" t="n"/>
      <c r="B758" s="28" t="n"/>
      <c r="C758" s="28" t="n"/>
      <c r="D758" s="28" t="n"/>
      <c r="E758" s="28" t="n"/>
      <c r="F758" s="28" t="n"/>
      <c r="G758" s="28" t="n"/>
      <c r="H758" s="28" t="n"/>
      <c r="I758" s="28" t="n"/>
      <c r="J758" s="28" t="n"/>
      <c r="K758" s="28" t="n"/>
    </row>
    <row r="759" ht="12.75" customHeight="1">
      <c r="A759" s="28" t="n"/>
      <c r="B759" s="28" t="n"/>
      <c r="C759" s="28" t="n"/>
      <c r="D759" s="28" t="n"/>
      <c r="E759" s="28" t="n"/>
      <c r="F759" s="28" t="n"/>
      <c r="G759" s="28" t="n"/>
      <c r="H759" s="28" t="n"/>
      <c r="I759" s="28" t="n"/>
      <c r="J759" s="28" t="n"/>
      <c r="K759" s="28" t="n"/>
    </row>
    <row r="760" ht="12.75" customHeight="1">
      <c r="A760" s="28" t="n"/>
      <c r="B760" s="28" t="n"/>
      <c r="C760" s="28" t="n"/>
      <c r="D760" s="28" t="n"/>
      <c r="E760" s="28" t="n"/>
      <c r="F760" s="28" t="n"/>
      <c r="G760" s="28" t="n"/>
      <c r="H760" s="28" t="n"/>
      <c r="I760" s="28" t="n"/>
      <c r="J760" s="28" t="n"/>
      <c r="K760" s="28" t="n"/>
    </row>
    <row r="761" ht="12.75" customHeight="1">
      <c r="A761" s="28" t="n"/>
      <c r="B761" s="28" t="n"/>
      <c r="C761" s="28" t="n"/>
      <c r="D761" s="28" t="n"/>
      <c r="E761" s="28" t="n"/>
      <c r="F761" s="28" t="n"/>
      <c r="G761" s="28" t="n"/>
      <c r="H761" s="28" t="n"/>
      <c r="I761" s="28" t="n"/>
      <c r="J761" s="28" t="n"/>
      <c r="K761" s="28" t="n"/>
    </row>
    <row r="762" ht="12.75" customHeight="1">
      <c r="A762" s="28" t="n"/>
      <c r="B762" s="28" t="n"/>
      <c r="C762" s="28" t="n"/>
      <c r="D762" s="28" t="n"/>
      <c r="E762" s="28" t="n"/>
      <c r="F762" s="28" t="n"/>
      <c r="G762" s="28" t="n"/>
      <c r="H762" s="28" t="n"/>
      <c r="I762" s="28" t="n"/>
      <c r="J762" s="28" t="n"/>
      <c r="K762" s="28" t="n"/>
    </row>
    <row r="763" ht="12.75" customHeight="1">
      <c r="A763" s="28" t="n"/>
      <c r="B763" s="28" t="n"/>
      <c r="C763" s="28" t="n"/>
      <c r="D763" s="28" t="n"/>
      <c r="E763" s="28" t="n"/>
      <c r="F763" s="28" t="n"/>
      <c r="G763" s="28" t="n"/>
      <c r="H763" s="28" t="n"/>
      <c r="I763" s="28" t="n"/>
      <c r="J763" s="28" t="n"/>
      <c r="K763" s="28" t="n"/>
    </row>
    <row r="764" ht="12.75" customHeight="1">
      <c r="A764" s="28" t="n"/>
      <c r="B764" s="28" t="n"/>
      <c r="C764" s="28" t="n"/>
      <c r="D764" s="28" t="n"/>
      <c r="E764" s="28" t="n"/>
      <c r="F764" s="28" t="n"/>
      <c r="G764" s="28" t="n"/>
      <c r="H764" s="28" t="n"/>
      <c r="I764" s="28" t="n"/>
      <c r="J764" s="28" t="n"/>
      <c r="K764" s="28" t="n"/>
    </row>
    <row r="765" ht="12.75" customHeight="1">
      <c r="A765" s="28" t="n"/>
      <c r="B765" s="28" t="n"/>
      <c r="C765" s="28" t="n"/>
      <c r="D765" s="28" t="n"/>
      <c r="E765" s="28" t="n"/>
      <c r="F765" s="28" t="n"/>
      <c r="G765" s="28" t="n"/>
      <c r="H765" s="28" t="n"/>
      <c r="I765" s="28" t="n"/>
      <c r="J765" s="28" t="n"/>
      <c r="K765" s="28" t="n"/>
    </row>
    <row r="766" ht="12.75" customHeight="1">
      <c r="A766" s="28" t="n"/>
      <c r="B766" s="28" t="n"/>
      <c r="C766" s="28" t="n"/>
      <c r="D766" s="28" t="n"/>
      <c r="E766" s="28" t="n"/>
      <c r="F766" s="28" t="n"/>
      <c r="G766" s="28" t="n"/>
      <c r="H766" s="28" t="n"/>
      <c r="I766" s="28" t="n"/>
      <c r="J766" s="28" t="n"/>
      <c r="K766" s="28" t="n"/>
    </row>
    <row r="767" ht="12.75" customHeight="1">
      <c r="A767" s="28" t="n"/>
      <c r="B767" s="28" t="n"/>
      <c r="C767" s="28" t="n"/>
      <c r="D767" s="28" t="n"/>
      <c r="E767" s="28" t="n"/>
      <c r="F767" s="28" t="n"/>
      <c r="G767" s="28" t="n"/>
      <c r="H767" s="28" t="n"/>
      <c r="I767" s="28" t="n"/>
      <c r="J767" s="28" t="n"/>
      <c r="K767" s="28" t="n"/>
    </row>
    <row r="768" ht="12.75" customHeight="1">
      <c r="A768" s="28" t="n"/>
      <c r="B768" s="28" t="n"/>
      <c r="C768" s="28" t="n"/>
      <c r="D768" s="28" t="n"/>
      <c r="E768" s="28" t="n"/>
      <c r="F768" s="28" t="n"/>
      <c r="G768" s="28" t="n"/>
      <c r="H768" s="28" t="n"/>
      <c r="I768" s="28" t="n"/>
      <c r="J768" s="28" t="n"/>
      <c r="K768" s="28" t="n"/>
    </row>
    <row r="769" ht="12.75" customHeight="1">
      <c r="A769" s="28" t="n"/>
      <c r="B769" s="28" t="n"/>
      <c r="C769" s="28" t="n"/>
      <c r="D769" s="28" t="n"/>
      <c r="E769" s="28" t="n"/>
      <c r="F769" s="28" t="n"/>
      <c r="G769" s="28" t="n"/>
      <c r="H769" s="28" t="n"/>
      <c r="I769" s="28" t="n"/>
      <c r="J769" s="28" t="n"/>
      <c r="K769" s="28" t="n"/>
    </row>
    <row r="770" ht="12.75" customHeight="1">
      <c r="A770" s="28" t="n"/>
      <c r="B770" s="28" t="n"/>
      <c r="C770" s="28" t="n"/>
      <c r="D770" s="28" t="n"/>
      <c r="E770" s="28" t="n"/>
      <c r="F770" s="28" t="n"/>
      <c r="G770" s="28" t="n"/>
      <c r="H770" s="28" t="n"/>
      <c r="I770" s="28" t="n"/>
      <c r="J770" s="28" t="n"/>
      <c r="K770" s="28" t="n"/>
    </row>
    <row r="771" ht="12.75" customHeight="1">
      <c r="A771" s="28" t="n"/>
      <c r="B771" s="28" t="n"/>
      <c r="C771" s="28" t="n"/>
      <c r="D771" s="28" t="n"/>
      <c r="E771" s="28" t="n"/>
      <c r="F771" s="28" t="n"/>
      <c r="G771" s="28" t="n"/>
      <c r="H771" s="28" t="n"/>
      <c r="I771" s="28" t="n"/>
      <c r="J771" s="28" t="n"/>
      <c r="K771" s="28" t="n"/>
    </row>
    <row r="772" ht="12.75" customHeight="1">
      <c r="A772" s="28" t="n"/>
      <c r="B772" s="28" t="n"/>
      <c r="C772" s="28" t="n"/>
      <c r="D772" s="28" t="n"/>
      <c r="E772" s="28" t="n"/>
      <c r="F772" s="28" t="n"/>
      <c r="G772" s="28" t="n"/>
      <c r="H772" s="28" t="n"/>
      <c r="I772" s="28" t="n"/>
      <c r="J772" s="28" t="n"/>
      <c r="K772" s="28" t="n"/>
    </row>
    <row r="773" ht="12.75" customHeight="1">
      <c r="A773" s="28" t="n"/>
      <c r="B773" s="28" t="n"/>
      <c r="C773" s="28" t="n"/>
      <c r="D773" s="28" t="n"/>
      <c r="E773" s="28" t="n"/>
      <c r="F773" s="28" t="n"/>
      <c r="G773" s="28" t="n"/>
      <c r="H773" s="28" t="n"/>
      <c r="I773" s="28" t="n"/>
      <c r="J773" s="28" t="n"/>
      <c r="K773" s="28" t="n"/>
    </row>
    <row r="774" ht="12.75" customHeight="1">
      <c r="A774" s="28" t="n"/>
      <c r="B774" s="28" t="n"/>
      <c r="C774" s="28" t="n"/>
      <c r="D774" s="28" t="n"/>
      <c r="E774" s="28" t="n"/>
      <c r="F774" s="28" t="n"/>
      <c r="G774" s="28" t="n"/>
      <c r="H774" s="28" t="n"/>
      <c r="I774" s="28" t="n"/>
      <c r="J774" s="28" t="n"/>
      <c r="K774" s="28" t="n"/>
    </row>
    <row r="775" ht="12.75" customHeight="1">
      <c r="A775" s="28" t="n"/>
      <c r="B775" s="28" t="n"/>
      <c r="C775" s="28" t="n"/>
      <c r="D775" s="28" t="n"/>
      <c r="E775" s="28" t="n"/>
      <c r="F775" s="28" t="n"/>
      <c r="G775" s="28" t="n"/>
      <c r="H775" s="28" t="n"/>
      <c r="I775" s="28" t="n"/>
      <c r="J775" s="28" t="n"/>
      <c r="K775" s="28" t="n"/>
    </row>
    <row r="776" ht="12.75" customHeight="1">
      <c r="A776" s="28" t="n"/>
      <c r="B776" s="28" t="n"/>
      <c r="C776" s="28" t="n"/>
      <c r="D776" s="28" t="n"/>
      <c r="E776" s="28" t="n"/>
      <c r="F776" s="28" t="n"/>
      <c r="G776" s="28" t="n"/>
      <c r="H776" s="28" t="n"/>
      <c r="I776" s="28" t="n"/>
      <c r="J776" s="28" t="n"/>
      <c r="K776" s="28" t="n"/>
    </row>
    <row r="777" ht="12.75" customHeight="1">
      <c r="A777" s="28" t="n"/>
      <c r="B777" s="28" t="n"/>
      <c r="C777" s="28" t="n"/>
      <c r="D777" s="28" t="n"/>
      <c r="E777" s="28" t="n"/>
      <c r="F777" s="28" t="n"/>
      <c r="G777" s="28" t="n"/>
      <c r="H777" s="28" t="n"/>
      <c r="I777" s="28" t="n"/>
      <c r="J777" s="28" t="n"/>
      <c r="K777" s="28" t="n"/>
    </row>
    <row r="778" ht="12.75" customHeight="1">
      <c r="A778" s="28" t="n"/>
      <c r="B778" s="28" t="n"/>
      <c r="C778" s="28" t="n"/>
      <c r="D778" s="28" t="n"/>
      <c r="E778" s="28" t="n"/>
      <c r="F778" s="28" t="n"/>
      <c r="G778" s="28" t="n"/>
      <c r="H778" s="28" t="n"/>
      <c r="I778" s="28" t="n"/>
      <c r="J778" s="28" t="n"/>
      <c r="K778" s="28" t="n"/>
    </row>
    <row r="779" ht="12.75" customHeight="1">
      <c r="A779" s="28" t="n"/>
      <c r="B779" s="28" t="n"/>
      <c r="C779" s="28" t="n"/>
      <c r="D779" s="28" t="n"/>
      <c r="E779" s="28" t="n"/>
      <c r="F779" s="28" t="n"/>
      <c r="G779" s="28" t="n"/>
      <c r="H779" s="28" t="n"/>
      <c r="I779" s="28" t="n"/>
      <c r="J779" s="28" t="n"/>
      <c r="K779" s="28" t="n"/>
    </row>
    <row r="780" ht="12.75" customHeight="1">
      <c r="A780" s="28" t="n"/>
      <c r="B780" s="28" t="n"/>
      <c r="C780" s="28" t="n"/>
      <c r="D780" s="28" t="n"/>
      <c r="E780" s="28" t="n"/>
      <c r="F780" s="28" t="n"/>
      <c r="G780" s="28" t="n"/>
      <c r="H780" s="28" t="n"/>
      <c r="I780" s="28" t="n"/>
      <c r="J780" s="28" t="n"/>
      <c r="K780" s="28" t="n"/>
    </row>
    <row r="781" ht="12.75" customHeight="1">
      <c r="A781" s="28" t="n"/>
      <c r="B781" s="28" t="n"/>
      <c r="C781" s="28" t="n"/>
      <c r="D781" s="28" t="n"/>
      <c r="E781" s="28" t="n"/>
      <c r="F781" s="28" t="n"/>
      <c r="G781" s="28" t="n"/>
      <c r="H781" s="28" t="n"/>
      <c r="I781" s="28" t="n"/>
      <c r="J781" s="28" t="n"/>
      <c r="K781" s="28" t="n"/>
    </row>
    <row r="782" ht="12.75" customHeight="1">
      <c r="A782" s="28" t="n"/>
      <c r="B782" s="28" t="n"/>
      <c r="C782" s="28" t="n"/>
      <c r="D782" s="28" t="n"/>
      <c r="E782" s="28" t="n"/>
      <c r="F782" s="28" t="n"/>
      <c r="G782" s="28" t="n"/>
      <c r="H782" s="28" t="n"/>
      <c r="I782" s="28" t="n"/>
      <c r="J782" s="28" t="n"/>
      <c r="K782" s="28" t="n"/>
    </row>
    <row r="783" ht="12.75" customHeight="1">
      <c r="A783" s="28" t="n"/>
      <c r="B783" s="28" t="n"/>
      <c r="C783" s="28" t="n"/>
      <c r="D783" s="28" t="n"/>
      <c r="E783" s="28" t="n"/>
      <c r="F783" s="28" t="n"/>
      <c r="G783" s="28" t="n"/>
      <c r="H783" s="28" t="n"/>
      <c r="I783" s="28" t="n"/>
      <c r="J783" s="28" t="n"/>
      <c r="K783" s="28" t="n"/>
    </row>
    <row r="784" ht="12.75" customHeight="1">
      <c r="A784" s="28" t="n"/>
      <c r="B784" s="28" t="n"/>
      <c r="C784" s="28" t="n"/>
      <c r="D784" s="28" t="n"/>
      <c r="E784" s="28" t="n"/>
      <c r="F784" s="28" t="n"/>
      <c r="G784" s="28" t="n"/>
      <c r="H784" s="28" t="n"/>
      <c r="I784" s="28" t="n"/>
      <c r="J784" s="28" t="n"/>
      <c r="K784" s="28" t="n"/>
    </row>
    <row r="785" ht="12.75" customHeight="1">
      <c r="A785" s="28" t="n"/>
      <c r="B785" s="28" t="n"/>
      <c r="C785" s="28" t="n"/>
      <c r="D785" s="28" t="n"/>
      <c r="E785" s="28" t="n"/>
      <c r="F785" s="28" t="n"/>
      <c r="G785" s="28" t="n"/>
      <c r="H785" s="28" t="n"/>
      <c r="I785" s="28" t="n"/>
      <c r="J785" s="28" t="n"/>
      <c r="K785" s="28" t="n"/>
    </row>
    <row r="786" ht="12.75" customHeight="1">
      <c r="A786" s="28" t="n"/>
      <c r="B786" s="28" t="n"/>
      <c r="C786" s="28" t="n"/>
      <c r="D786" s="28" t="n"/>
      <c r="E786" s="28" t="n"/>
      <c r="F786" s="28" t="n"/>
      <c r="G786" s="28" t="n"/>
      <c r="H786" s="28" t="n"/>
      <c r="I786" s="28" t="n"/>
      <c r="J786" s="28" t="n"/>
      <c r="K786" s="28" t="n"/>
    </row>
    <row r="787" ht="12.75" customHeight="1">
      <c r="A787" s="28" t="n"/>
      <c r="B787" s="28" t="n"/>
      <c r="C787" s="28" t="n"/>
      <c r="D787" s="28" t="n"/>
      <c r="E787" s="28" t="n"/>
      <c r="F787" s="28" t="n"/>
      <c r="G787" s="28" t="n"/>
      <c r="H787" s="28" t="n"/>
      <c r="I787" s="28" t="n"/>
      <c r="J787" s="28" t="n"/>
      <c r="K787" s="28" t="n"/>
    </row>
    <row r="788" ht="12.75" customHeight="1">
      <c r="A788" s="28" t="n"/>
      <c r="B788" s="28" t="n"/>
      <c r="C788" s="28" t="n"/>
      <c r="D788" s="28" t="n"/>
      <c r="E788" s="28" t="n"/>
      <c r="F788" s="28" t="n"/>
      <c r="G788" s="28" t="n"/>
      <c r="H788" s="28" t="n"/>
      <c r="I788" s="28" t="n"/>
      <c r="J788" s="28" t="n"/>
      <c r="K788" s="28" t="n"/>
    </row>
    <row r="789" ht="12.75" customHeight="1">
      <c r="A789" s="28" t="n"/>
      <c r="B789" s="28" t="n"/>
      <c r="C789" s="28" t="n"/>
      <c r="D789" s="28" t="n"/>
      <c r="E789" s="28" t="n"/>
      <c r="F789" s="28" t="n"/>
      <c r="G789" s="28" t="n"/>
      <c r="H789" s="28" t="n"/>
      <c r="I789" s="28" t="n"/>
      <c r="J789" s="28" t="n"/>
      <c r="K789" s="28" t="n"/>
    </row>
    <row r="790" ht="12.75" customHeight="1">
      <c r="A790" s="28" t="n"/>
      <c r="B790" s="28" t="n"/>
      <c r="C790" s="28" t="n"/>
      <c r="D790" s="28" t="n"/>
      <c r="E790" s="28" t="n"/>
      <c r="F790" s="28" t="n"/>
      <c r="G790" s="28" t="n"/>
      <c r="H790" s="28" t="n"/>
      <c r="I790" s="28" t="n"/>
      <c r="J790" s="28" t="n"/>
      <c r="K790" s="28" t="n"/>
    </row>
    <row r="791" ht="12.75" customHeight="1">
      <c r="A791" s="28" t="n"/>
      <c r="B791" s="28" t="n"/>
      <c r="C791" s="28" t="n"/>
      <c r="D791" s="28" t="n"/>
      <c r="E791" s="28" t="n"/>
      <c r="F791" s="28" t="n"/>
      <c r="G791" s="28" t="n"/>
      <c r="H791" s="28" t="n"/>
      <c r="I791" s="28" t="n"/>
      <c r="J791" s="28" t="n"/>
      <c r="K791" s="28" t="n"/>
    </row>
    <row r="792" ht="12.75" customHeight="1">
      <c r="A792" s="28" t="n"/>
      <c r="B792" s="28" t="n"/>
      <c r="C792" s="28" t="n"/>
      <c r="D792" s="28" t="n"/>
      <c r="E792" s="28" t="n"/>
      <c r="F792" s="28" t="n"/>
      <c r="G792" s="28" t="n"/>
      <c r="H792" s="28" t="n"/>
      <c r="I792" s="28" t="n"/>
      <c r="J792" s="28" t="n"/>
      <c r="K792" s="28" t="n"/>
    </row>
    <row r="793" ht="12.75" customHeight="1">
      <c r="A793" s="28" t="n"/>
      <c r="B793" s="28" t="n"/>
      <c r="C793" s="28" t="n"/>
      <c r="D793" s="28" t="n"/>
      <c r="E793" s="28" t="n"/>
      <c r="F793" s="28" t="n"/>
      <c r="G793" s="28" t="n"/>
      <c r="H793" s="28" t="n"/>
      <c r="I793" s="28" t="n"/>
      <c r="J793" s="28" t="n"/>
      <c r="K793" s="28" t="n"/>
    </row>
    <row r="794" ht="12.75" customHeight="1">
      <c r="A794" s="28" t="n"/>
      <c r="B794" s="28" t="n"/>
      <c r="C794" s="28" t="n"/>
      <c r="D794" s="28" t="n"/>
      <c r="E794" s="28" t="n"/>
      <c r="F794" s="28" t="n"/>
      <c r="G794" s="28" t="n"/>
      <c r="H794" s="28" t="n"/>
      <c r="I794" s="28" t="n"/>
      <c r="J794" s="28" t="n"/>
      <c r="K794" s="28" t="n"/>
    </row>
    <row r="795" ht="12.75" customHeight="1">
      <c r="A795" s="28" t="n"/>
      <c r="B795" s="28" t="n"/>
      <c r="C795" s="28" t="n"/>
      <c r="D795" s="28" t="n"/>
      <c r="E795" s="28" t="n"/>
      <c r="F795" s="28" t="n"/>
      <c r="G795" s="28" t="n"/>
      <c r="H795" s="28" t="n"/>
      <c r="I795" s="28" t="n"/>
      <c r="J795" s="28" t="n"/>
      <c r="K795" s="28" t="n"/>
    </row>
    <row r="796" ht="12.75" customHeight="1">
      <c r="A796" s="28" t="n"/>
      <c r="B796" s="28" t="n"/>
      <c r="C796" s="28" t="n"/>
      <c r="D796" s="28" t="n"/>
      <c r="E796" s="28" t="n"/>
      <c r="F796" s="28" t="n"/>
      <c r="G796" s="28" t="n"/>
      <c r="H796" s="28" t="n"/>
      <c r="I796" s="28" t="n"/>
      <c r="J796" s="28" t="n"/>
      <c r="K796" s="28" t="n"/>
    </row>
    <row r="797" ht="12.75" customHeight="1">
      <c r="A797" s="28" t="n"/>
      <c r="B797" s="28" t="n"/>
      <c r="C797" s="28" t="n"/>
      <c r="D797" s="28" t="n"/>
      <c r="E797" s="28" t="n"/>
      <c r="F797" s="28" t="n"/>
      <c r="G797" s="28" t="n"/>
      <c r="H797" s="28" t="n"/>
      <c r="I797" s="28" t="n"/>
      <c r="J797" s="28" t="n"/>
      <c r="K797" s="28" t="n"/>
    </row>
    <row r="798" ht="12.75" customHeight="1">
      <c r="A798" s="28" t="n"/>
      <c r="B798" s="28" t="n"/>
      <c r="C798" s="28" t="n"/>
      <c r="D798" s="28" t="n"/>
      <c r="E798" s="28" t="n"/>
      <c r="F798" s="28" t="n"/>
      <c r="G798" s="28" t="n"/>
      <c r="H798" s="28" t="n"/>
      <c r="I798" s="28" t="n"/>
      <c r="J798" s="28" t="n"/>
      <c r="K798" s="28" t="n"/>
    </row>
    <row r="799" ht="12.75" customHeight="1">
      <c r="A799" s="28" t="n"/>
      <c r="B799" s="28" t="n"/>
      <c r="C799" s="28" t="n"/>
      <c r="D799" s="28" t="n"/>
      <c r="E799" s="28" t="n"/>
      <c r="F799" s="28" t="n"/>
      <c r="G799" s="28" t="n"/>
      <c r="H799" s="28" t="n"/>
      <c r="I799" s="28" t="n"/>
      <c r="J799" s="28" t="n"/>
      <c r="K799" s="28" t="n"/>
    </row>
    <row r="800" ht="12.75" customHeight="1">
      <c r="A800" s="28" t="n"/>
      <c r="B800" s="28" t="n"/>
      <c r="C800" s="28" t="n"/>
      <c r="D800" s="28" t="n"/>
      <c r="E800" s="28" t="n"/>
      <c r="F800" s="28" t="n"/>
      <c r="G800" s="28" t="n"/>
      <c r="H800" s="28" t="n"/>
      <c r="I800" s="28" t="n"/>
      <c r="J800" s="28" t="n"/>
      <c r="K800" s="28" t="n"/>
    </row>
    <row r="801" ht="12.75" customHeight="1">
      <c r="A801" s="28" t="n"/>
      <c r="B801" s="28" t="n"/>
      <c r="C801" s="28" t="n"/>
      <c r="D801" s="28" t="n"/>
      <c r="E801" s="28" t="n"/>
      <c r="F801" s="28" t="n"/>
      <c r="G801" s="28" t="n"/>
      <c r="H801" s="28" t="n"/>
      <c r="I801" s="28" t="n"/>
      <c r="J801" s="28" t="n"/>
      <c r="K801" s="28" t="n"/>
    </row>
    <row r="802" ht="12.75" customHeight="1">
      <c r="A802" s="28" t="n"/>
      <c r="B802" s="28" t="n"/>
      <c r="C802" s="28" t="n"/>
      <c r="D802" s="28" t="n"/>
      <c r="E802" s="28" t="n"/>
      <c r="F802" s="28" t="n"/>
      <c r="G802" s="28" t="n"/>
      <c r="H802" s="28" t="n"/>
      <c r="I802" s="28" t="n"/>
      <c r="J802" s="28" t="n"/>
      <c r="K802" s="28" t="n"/>
    </row>
    <row r="803" ht="12.75" customHeight="1">
      <c r="A803" s="28" t="n"/>
      <c r="B803" s="28" t="n"/>
      <c r="C803" s="28" t="n"/>
      <c r="D803" s="28" t="n"/>
      <c r="E803" s="28" t="n"/>
      <c r="F803" s="28" t="n"/>
      <c r="G803" s="28" t="n"/>
      <c r="H803" s="28" t="n"/>
      <c r="I803" s="28" t="n"/>
      <c r="J803" s="28" t="n"/>
      <c r="K803" s="28" t="n"/>
    </row>
    <row r="804" ht="12.75" customHeight="1">
      <c r="A804" s="28" t="n"/>
      <c r="B804" s="28" t="n"/>
      <c r="C804" s="28" t="n"/>
      <c r="D804" s="28" t="n"/>
      <c r="E804" s="28" t="n"/>
      <c r="F804" s="28" t="n"/>
      <c r="G804" s="28" t="n"/>
      <c r="H804" s="28" t="n"/>
      <c r="I804" s="28" t="n"/>
      <c r="J804" s="28" t="n"/>
      <c r="K804" s="28" t="n"/>
    </row>
    <row r="805" ht="12.75" customHeight="1">
      <c r="A805" s="28" t="n"/>
      <c r="B805" s="28" t="n"/>
      <c r="C805" s="28" t="n"/>
      <c r="D805" s="28" t="n"/>
      <c r="E805" s="28" t="n"/>
      <c r="F805" s="28" t="n"/>
      <c r="G805" s="28" t="n"/>
      <c r="H805" s="28" t="n"/>
      <c r="I805" s="28" t="n"/>
      <c r="J805" s="28" t="n"/>
      <c r="K805" s="28" t="n"/>
    </row>
    <row r="806" ht="12.75" customHeight="1">
      <c r="A806" s="28" t="n"/>
      <c r="B806" s="28" t="n"/>
      <c r="C806" s="28" t="n"/>
      <c r="D806" s="28" t="n"/>
      <c r="E806" s="28" t="n"/>
      <c r="F806" s="28" t="n"/>
      <c r="G806" s="28" t="n"/>
      <c r="H806" s="28" t="n"/>
      <c r="I806" s="28" t="n"/>
      <c r="J806" s="28" t="n"/>
      <c r="K806" s="28" t="n"/>
    </row>
    <row r="807" ht="12.75" customHeight="1">
      <c r="A807" s="28" t="n"/>
      <c r="B807" s="28" t="n"/>
      <c r="C807" s="28" t="n"/>
      <c r="D807" s="28" t="n"/>
      <c r="E807" s="28" t="n"/>
      <c r="F807" s="28" t="n"/>
      <c r="G807" s="28" t="n"/>
      <c r="H807" s="28" t="n"/>
      <c r="I807" s="28" t="n"/>
      <c r="J807" s="28" t="n"/>
      <c r="K807" s="28" t="n"/>
    </row>
    <row r="808" ht="12.75" customHeight="1">
      <c r="A808" s="28" t="n"/>
      <c r="B808" s="28" t="n"/>
      <c r="C808" s="28" t="n"/>
      <c r="D808" s="28" t="n"/>
      <c r="E808" s="28" t="n"/>
      <c r="F808" s="28" t="n"/>
      <c r="G808" s="28" t="n"/>
      <c r="H808" s="28" t="n"/>
      <c r="I808" s="28" t="n"/>
      <c r="J808" s="28" t="n"/>
      <c r="K808" s="28" t="n"/>
    </row>
    <row r="809" ht="12.75" customHeight="1">
      <c r="A809" s="28" t="n"/>
      <c r="B809" s="28" t="n"/>
      <c r="C809" s="28" t="n"/>
      <c r="D809" s="28" t="n"/>
      <c r="E809" s="28" t="n"/>
      <c r="F809" s="28" t="n"/>
      <c r="G809" s="28" t="n"/>
      <c r="H809" s="28" t="n"/>
      <c r="I809" s="28" t="n"/>
      <c r="J809" s="28" t="n"/>
      <c r="K809" s="28" t="n"/>
    </row>
    <row r="810" ht="12.75" customHeight="1">
      <c r="A810" s="28" t="n"/>
      <c r="B810" s="28" t="n"/>
      <c r="C810" s="28" t="n"/>
      <c r="D810" s="28" t="n"/>
      <c r="E810" s="28" t="n"/>
      <c r="F810" s="28" t="n"/>
      <c r="G810" s="28" t="n"/>
      <c r="H810" s="28" t="n"/>
      <c r="I810" s="28" t="n"/>
      <c r="J810" s="28" t="n"/>
      <c r="K810" s="28" t="n"/>
    </row>
    <row r="811" ht="12.75" customHeight="1">
      <c r="A811" s="28" t="n"/>
      <c r="B811" s="28" t="n"/>
      <c r="C811" s="28" t="n"/>
      <c r="D811" s="28" t="n"/>
      <c r="E811" s="28" t="n"/>
      <c r="F811" s="28" t="n"/>
      <c r="G811" s="28" t="n"/>
      <c r="H811" s="28" t="n"/>
      <c r="I811" s="28" t="n"/>
      <c r="J811" s="28" t="n"/>
      <c r="K811" s="28" t="n"/>
    </row>
    <row r="812" ht="12.75" customHeight="1">
      <c r="A812" s="28" t="n"/>
      <c r="B812" s="28" t="n"/>
      <c r="C812" s="28" t="n"/>
      <c r="D812" s="28" t="n"/>
      <c r="E812" s="28" t="n"/>
      <c r="F812" s="28" t="n"/>
      <c r="G812" s="28" t="n"/>
      <c r="H812" s="28" t="n"/>
      <c r="I812" s="28" t="n"/>
      <c r="J812" s="28" t="n"/>
      <c r="K812" s="28" t="n"/>
    </row>
    <row r="813" ht="12.75" customHeight="1">
      <c r="A813" s="28" t="n"/>
      <c r="B813" s="28" t="n"/>
      <c r="C813" s="28" t="n"/>
      <c r="D813" s="28" t="n"/>
      <c r="E813" s="28" t="n"/>
      <c r="F813" s="28" t="n"/>
      <c r="G813" s="28" t="n"/>
      <c r="H813" s="28" t="n"/>
      <c r="I813" s="28" t="n"/>
      <c r="J813" s="28" t="n"/>
      <c r="K813" s="28" t="n"/>
    </row>
    <row r="814" ht="12.75" customHeight="1">
      <c r="A814" s="28" t="n"/>
      <c r="B814" s="28" t="n"/>
      <c r="C814" s="28" t="n"/>
      <c r="D814" s="28" t="n"/>
      <c r="E814" s="28" t="n"/>
      <c r="F814" s="28" t="n"/>
      <c r="G814" s="28" t="n"/>
      <c r="H814" s="28" t="n"/>
      <c r="I814" s="28" t="n"/>
      <c r="J814" s="28" t="n"/>
      <c r="K814" s="28" t="n"/>
    </row>
    <row r="815" ht="12.75" customHeight="1">
      <c r="A815" s="28" t="n"/>
      <c r="B815" s="28" t="n"/>
      <c r="C815" s="28" t="n"/>
      <c r="D815" s="28" t="n"/>
      <c r="E815" s="28" t="n"/>
      <c r="F815" s="28" t="n"/>
      <c r="G815" s="28" t="n"/>
      <c r="H815" s="28" t="n"/>
      <c r="I815" s="28" t="n"/>
      <c r="J815" s="28" t="n"/>
      <c r="K815" s="28" t="n"/>
    </row>
    <row r="816" ht="12.75" customHeight="1">
      <c r="A816" s="28" t="n"/>
      <c r="B816" s="28" t="n"/>
      <c r="C816" s="28" t="n"/>
      <c r="D816" s="28" t="n"/>
      <c r="E816" s="28" t="n"/>
      <c r="F816" s="28" t="n"/>
      <c r="G816" s="28" t="n"/>
      <c r="H816" s="28" t="n"/>
      <c r="I816" s="28" t="n"/>
      <c r="J816" s="28" t="n"/>
      <c r="K816" s="28" t="n"/>
    </row>
    <row r="817" ht="12.75" customHeight="1">
      <c r="A817" s="28" t="n"/>
      <c r="B817" s="28" t="n"/>
      <c r="C817" s="28" t="n"/>
      <c r="D817" s="28" t="n"/>
      <c r="E817" s="28" t="n"/>
      <c r="F817" s="28" t="n"/>
      <c r="G817" s="28" t="n"/>
      <c r="H817" s="28" t="n"/>
      <c r="I817" s="28" t="n"/>
      <c r="J817" s="28" t="n"/>
      <c r="K817" s="28" t="n"/>
    </row>
    <row r="818" ht="12.75" customHeight="1">
      <c r="A818" s="28" t="n"/>
      <c r="B818" s="28" t="n"/>
      <c r="C818" s="28" t="n"/>
      <c r="D818" s="28" t="n"/>
      <c r="E818" s="28" t="n"/>
      <c r="F818" s="28" t="n"/>
      <c r="G818" s="28" t="n"/>
      <c r="H818" s="28" t="n"/>
      <c r="I818" s="28" t="n"/>
      <c r="J818" s="28" t="n"/>
      <c r="K818" s="28" t="n"/>
    </row>
    <row r="819" ht="12.75" customHeight="1">
      <c r="A819" s="28" t="n"/>
      <c r="B819" s="28" t="n"/>
      <c r="C819" s="28" t="n"/>
      <c r="D819" s="28" t="n"/>
      <c r="E819" s="28" t="n"/>
      <c r="F819" s="28" t="n"/>
      <c r="G819" s="28" t="n"/>
      <c r="H819" s="28" t="n"/>
      <c r="I819" s="28" t="n"/>
      <c r="J819" s="28" t="n"/>
      <c r="K819" s="28" t="n"/>
    </row>
    <row r="820" ht="12.75" customHeight="1">
      <c r="A820" s="28" t="n"/>
      <c r="B820" s="28" t="n"/>
      <c r="C820" s="28" t="n"/>
      <c r="D820" s="28" t="n"/>
      <c r="E820" s="28" t="n"/>
      <c r="F820" s="28" t="n"/>
      <c r="G820" s="28" t="n"/>
      <c r="H820" s="28" t="n"/>
      <c r="I820" s="28" t="n"/>
      <c r="J820" s="28" t="n"/>
      <c r="K820" s="28" t="n"/>
    </row>
    <row r="821" ht="12.75" customHeight="1">
      <c r="A821" s="28" t="n"/>
      <c r="B821" s="28" t="n"/>
      <c r="C821" s="28" t="n"/>
      <c r="D821" s="28" t="n"/>
      <c r="E821" s="28" t="n"/>
      <c r="F821" s="28" t="n"/>
      <c r="G821" s="28" t="n"/>
      <c r="H821" s="28" t="n"/>
      <c r="I821" s="28" t="n"/>
      <c r="J821" s="28" t="n"/>
      <c r="K821" s="28" t="n"/>
    </row>
    <row r="822" ht="12.75" customHeight="1">
      <c r="A822" s="28" t="n"/>
      <c r="B822" s="28" t="n"/>
      <c r="C822" s="28" t="n"/>
      <c r="D822" s="28" t="n"/>
      <c r="E822" s="28" t="n"/>
      <c r="F822" s="28" t="n"/>
      <c r="G822" s="28" t="n"/>
      <c r="H822" s="28" t="n"/>
      <c r="I822" s="28" t="n"/>
      <c r="J822" s="28" t="n"/>
      <c r="K822" s="28" t="n"/>
    </row>
    <row r="823" ht="12.75" customHeight="1">
      <c r="A823" s="28" t="n"/>
      <c r="B823" s="28" t="n"/>
      <c r="C823" s="28" t="n"/>
      <c r="D823" s="28" t="n"/>
      <c r="E823" s="28" t="n"/>
      <c r="F823" s="28" t="n"/>
      <c r="G823" s="28" t="n"/>
      <c r="H823" s="28" t="n"/>
      <c r="I823" s="28" t="n"/>
      <c r="J823" s="28" t="n"/>
      <c r="K823" s="28" t="n"/>
    </row>
    <row r="824" ht="12.75" customHeight="1">
      <c r="A824" s="28" t="n"/>
      <c r="B824" s="28" t="n"/>
      <c r="C824" s="28" t="n"/>
      <c r="D824" s="28" t="n"/>
      <c r="E824" s="28" t="n"/>
      <c r="F824" s="28" t="n"/>
      <c r="G824" s="28" t="n"/>
      <c r="H824" s="28" t="n"/>
      <c r="I824" s="28" t="n"/>
      <c r="J824" s="28" t="n"/>
      <c r="K824" s="28" t="n"/>
    </row>
    <row r="825" ht="12.75" customHeight="1">
      <c r="A825" s="28" t="n"/>
      <c r="B825" s="28" t="n"/>
      <c r="C825" s="28" t="n"/>
      <c r="D825" s="28" t="n"/>
      <c r="E825" s="28" t="n"/>
      <c r="F825" s="28" t="n"/>
      <c r="G825" s="28" t="n"/>
      <c r="H825" s="28" t="n"/>
      <c r="I825" s="28" t="n"/>
      <c r="J825" s="28" t="n"/>
      <c r="K825" s="28" t="n"/>
    </row>
    <row r="826" ht="12.75" customHeight="1">
      <c r="A826" s="28" t="n"/>
      <c r="B826" s="28" t="n"/>
      <c r="C826" s="28" t="n"/>
      <c r="D826" s="28" t="n"/>
      <c r="E826" s="28" t="n"/>
      <c r="F826" s="28" t="n"/>
      <c r="G826" s="28" t="n"/>
      <c r="H826" s="28" t="n"/>
      <c r="I826" s="28" t="n"/>
      <c r="J826" s="28" t="n"/>
      <c r="K826" s="28" t="n"/>
    </row>
    <row r="827" ht="12.75" customHeight="1">
      <c r="A827" s="28" t="n"/>
      <c r="B827" s="28" t="n"/>
      <c r="C827" s="28" t="n"/>
      <c r="D827" s="28" t="n"/>
      <c r="E827" s="28" t="n"/>
      <c r="F827" s="28" t="n"/>
      <c r="G827" s="28" t="n"/>
      <c r="H827" s="28" t="n"/>
      <c r="I827" s="28" t="n"/>
      <c r="J827" s="28" t="n"/>
      <c r="K827" s="28" t="n"/>
    </row>
    <row r="828" ht="12.75" customHeight="1">
      <c r="A828" s="28" t="n"/>
      <c r="B828" s="28" t="n"/>
      <c r="C828" s="28" t="n"/>
      <c r="D828" s="28" t="n"/>
      <c r="E828" s="28" t="n"/>
      <c r="F828" s="28" t="n"/>
      <c r="G828" s="28" t="n"/>
      <c r="H828" s="28" t="n"/>
      <c r="I828" s="28" t="n"/>
      <c r="J828" s="28" t="n"/>
      <c r="K828" s="28" t="n"/>
    </row>
    <row r="829" ht="12.75" customHeight="1">
      <c r="A829" s="28" t="n"/>
      <c r="B829" s="28" t="n"/>
      <c r="C829" s="28" t="n"/>
      <c r="D829" s="28" t="n"/>
      <c r="E829" s="28" t="n"/>
      <c r="F829" s="28" t="n"/>
      <c r="G829" s="28" t="n"/>
      <c r="H829" s="28" t="n"/>
      <c r="I829" s="28" t="n"/>
      <c r="J829" s="28" t="n"/>
      <c r="K829" s="28" t="n"/>
    </row>
    <row r="830" ht="12.75" customHeight="1">
      <c r="A830" s="28" t="n"/>
      <c r="B830" s="28" t="n"/>
      <c r="C830" s="28" t="n"/>
      <c r="D830" s="28" t="n"/>
      <c r="E830" s="28" t="n"/>
      <c r="F830" s="28" t="n"/>
      <c r="G830" s="28" t="n"/>
      <c r="H830" s="28" t="n"/>
      <c r="I830" s="28" t="n"/>
      <c r="J830" s="28" t="n"/>
      <c r="K830" s="28" t="n"/>
    </row>
    <row r="831" ht="12.75" customHeight="1">
      <c r="A831" s="28" t="n"/>
      <c r="B831" s="28" t="n"/>
      <c r="C831" s="28" t="n"/>
      <c r="D831" s="28" t="n"/>
      <c r="E831" s="28" t="n"/>
      <c r="F831" s="28" t="n"/>
      <c r="G831" s="28" t="n"/>
      <c r="H831" s="28" t="n"/>
      <c r="I831" s="28" t="n"/>
      <c r="J831" s="28" t="n"/>
      <c r="K831" s="28" t="n"/>
    </row>
    <row r="832" ht="12.75" customHeight="1">
      <c r="A832" s="28" t="n"/>
      <c r="B832" s="28" t="n"/>
      <c r="C832" s="28" t="n"/>
      <c r="D832" s="28" t="n"/>
      <c r="E832" s="28" t="n"/>
      <c r="F832" s="28" t="n"/>
      <c r="G832" s="28" t="n"/>
      <c r="H832" s="28" t="n"/>
      <c r="I832" s="28" t="n"/>
      <c r="J832" s="28" t="n"/>
      <c r="K832" s="28" t="n"/>
    </row>
    <row r="833" ht="12.75" customHeight="1">
      <c r="A833" s="28" t="n"/>
      <c r="B833" s="28" t="n"/>
      <c r="C833" s="28" t="n"/>
      <c r="D833" s="28" t="n"/>
      <c r="E833" s="28" t="n"/>
      <c r="F833" s="28" t="n"/>
      <c r="G833" s="28" t="n"/>
      <c r="H833" s="28" t="n"/>
      <c r="I833" s="28" t="n"/>
      <c r="J833" s="28" t="n"/>
      <c r="K833" s="28" t="n"/>
    </row>
    <row r="834" ht="12.75" customHeight="1">
      <c r="A834" s="28" t="n"/>
      <c r="B834" s="28" t="n"/>
      <c r="C834" s="28" t="n"/>
      <c r="D834" s="28" t="n"/>
      <c r="E834" s="28" t="n"/>
      <c r="F834" s="28" t="n"/>
      <c r="G834" s="28" t="n"/>
      <c r="H834" s="28" t="n"/>
      <c r="I834" s="28" t="n"/>
      <c r="J834" s="28" t="n"/>
      <c r="K834" s="28" t="n"/>
    </row>
    <row r="835" ht="12.75" customHeight="1">
      <c r="A835" s="28" t="n"/>
      <c r="B835" s="28" t="n"/>
      <c r="C835" s="28" t="n"/>
      <c r="D835" s="28" t="n"/>
      <c r="E835" s="28" t="n"/>
      <c r="F835" s="28" t="n"/>
      <c r="G835" s="28" t="n"/>
      <c r="H835" s="28" t="n"/>
      <c r="I835" s="28" t="n"/>
      <c r="J835" s="28" t="n"/>
      <c r="K835" s="28" t="n"/>
    </row>
    <row r="836" ht="12.75" customHeight="1">
      <c r="A836" s="28" t="n"/>
      <c r="B836" s="28" t="n"/>
      <c r="C836" s="28" t="n"/>
      <c r="D836" s="28" t="n"/>
      <c r="E836" s="28" t="n"/>
      <c r="F836" s="28" t="n"/>
      <c r="G836" s="28" t="n"/>
      <c r="H836" s="28" t="n"/>
      <c r="I836" s="28" t="n"/>
      <c r="J836" s="28" t="n"/>
      <c r="K836" s="28" t="n"/>
    </row>
    <row r="837" ht="12.75" customHeight="1">
      <c r="A837" s="28" t="n"/>
      <c r="B837" s="28" t="n"/>
      <c r="C837" s="28" t="n"/>
      <c r="D837" s="28" t="n"/>
      <c r="E837" s="28" t="n"/>
      <c r="F837" s="28" t="n"/>
      <c r="G837" s="28" t="n"/>
      <c r="H837" s="28" t="n"/>
      <c r="I837" s="28" t="n"/>
      <c r="J837" s="28" t="n"/>
      <c r="K837" s="28" t="n"/>
    </row>
    <row r="838" ht="12.75" customHeight="1">
      <c r="A838" s="28" t="n"/>
      <c r="B838" s="28" t="n"/>
      <c r="C838" s="28" t="n"/>
      <c r="D838" s="28" t="n"/>
      <c r="E838" s="28" t="n"/>
      <c r="F838" s="28" t="n"/>
      <c r="G838" s="28" t="n"/>
      <c r="H838" s="28" t="n"/>
      <c r="I838" s="28" t="n"/>
      <c r="J838" s="28" t="n"/>
      <c r="K838" s="28" t="n"/>
    </row>
    <row r="839" ht="12.75" customHeight="1">
      <c r="A839" s="28" t="n"/>
      <c r="B839" s="28" t="n"/>
      <c r="C839" s="28" t="n"/>
      <c r="D839" s="28" t="n"/>
      <c r="E839" s="28" t="n"/>
      <c r="F839" s="28" t="n"/>
      <c r="G839" s="28" t="n"/>
      <c r="H839" s="28" t="n"/>
      <c r="I839" s="28" t="n"/>
      <c r="J839" s="28" t="n"/>
      <c r="K839" s="28" t="n"/>
    </row>
    <row r="840" ht="12.75" customHeight="1">
      <c r="A840" s="28" t="n"/>
      <c r="B840" s="28" t="n"/>
      <c r="C840" s="28" t="n"/>
      <c r="D840" s="28" t="n"/>
      <c r="E840" s="28" t="n"/>
      <c r="F840" s="28" t="n"/>
      <c r="G840" s="28" t="n"/>
      <c r="H840" s="28" t="n"/>
      <c r="I840" s="28" t="n"/>
      <c r="J840" s="28" t="n"/>
      <c r="K840" s="28" t="n"/>
    </row>
    <row r="841" ht="12.75" customHeight="1">
      <c r="A841" s="28" t="n"/>
      <c r="B841" s="28" t="n"/>
      <c r="C841" s="28" t="n"/>
      <c r="D841" s="28" t="n"/>
      <c r="E841" s="28" t="n"/>
      <c r="F841" s="28" t="n"/>
      <c r="G841" s="28" t="n"/>
      <c r="H841" s="28" t="n"/>
      <c r="I841" s="28" t="n"/>
      <c r="J841" s="28" t="n"/>
      <c r="K841" s="28" t="n"/>
    </row>
    <row r="842" ht="12.75" customHeight="1">
      <c r="A842" s="28" t="n"/>
      <c r="B842" s="28" t="n"/>
      <c r="C842" s="28" t="n"/>
      <c r="D842" s="28" t="n"/>
      <c r="E842" s="28" t="n"/>
      <c r="F842" s="28" t="n"/>
      <c r="G842" s="28" t="n"/>
      <c r="H842" s="28" t="n"/>
      <c r="I842" s="28" t="n"/>
      <c r="J842" s="28" t="n"/>
      <c r="K842" s="28" t="n"/>
    </row>
    <row r="843" ht="12.75" customHeight="1">
      <c r="A843" s="28" t="n"/>
      <c r="B843" s="28" t="n"/>
      <c r="C843" s="28" t="n"/>
      <c r="D843" s="28" t="n"/>
      <c r="E843" s="28" t="n"/>
      <c r="F843" s="28" t="n"/>
      <c r="G843" s="28" t="n"/>
      <c r="H843" s="28" t="n"/>
      <c r="I843" s="28" t="n"/>
      <c r="J843" s="28" t="n"/>
      <c r="K843" s="28" t="n"/>
    </row>
    <row r="844" ht="12.75" customHeight="1">
      <c r="A844" s="28" t="n"/>
      <c r="B844" s="28" t="n"/>
      <c r="C844" s="28" t="n"/>
      <c r="D844" s="28" t="n"/>
      <c r="E844" s="28" t="n"/>
      <c r="F844" s="28" t="n"/>
      <c r="G844" s="28" t="n"/>
      <c r="H844" s="28" t="n"/>
      <c r="I844" s="28" t="n"/>
      <c r="J844" s="28" t="n"/>
      <c r="K844" s="28" t="n"/>
    </row>
    <row r="845" ht="12.75" customHeight="1">
      <c r="A845" s="28" t="n"/>
      <c r="B845" s="28" t="n"/>
      <c r="C845" s="28" t="n"/>
      <c r="D845" s="28" t="n"/>
      <c r="E845" s="28" t="n"/>
      <c r="F845" s="28" t="n"/>
      <c r="G845" s="28" t="n"/>
      <c r="H845" s="28" t="n"/>
      <c r="I845" s="28" t="n"/>
      <c r="J845" s="28" t="n"/>
      <c r="K845" s="28" t="n"/>
    </row>
    <row r="846" ht="12.75" customHeight="1">
      <c r="A846" s="28" t="n"/>
      <c r="B846" s="28" t="n"/>
      <c r="C846" s="28" t="n"/>
      <c r="D846" s="28" t="n"/>
      <c r="E846" s="28" t="n"/>
      <c r="F846" s="28" t="n"/>
      <c r="G846" s="28" t="n"/>
      <c r="H846" s="28" t="n"/>
      <c r="I846" s="28" t="n"/>
      <c r="J846" s="28" t="n"/>
      <c r="K846" s="28" t="n"/>
    </row>
    <row r="847" ht="12.75" customHeight="1">
      <c r="A847" s="28" t="n"/>
      <c r="B847" s="28" t="n"/>
      <c r="C847" s="28" t="n"/>
      <c r="D847" s="28" t="n"/>
      <c r="E847" s="28" t="n"/>
      <c r="F847" s="28" t="n"/>
      <c r="G847" s="28" t="n"/>
      <c r="H847" s="28" t="n"/>
      <c r="I847" s="28" t="n"/>
      <c r="J847" s="28" t="n"/>
      <c r="K847" s="28" t="n"/>
    </row>
    <row r="848" ht="12.75" customHeight="1">
      <c r="A848" s="28" t="n"/>
      <c r="B848" s="28" t="n"/>
      <c r="C848" s="28" t="n"/>
      <c r="D848" s="28" t="n"/>
      <c r="E848" s="28" t="n"/>
      <c r="F848" s="28" t="n"/>
      <c r="G848" s="28" t="n"/>
      <c r="H848" s="28" t="n"/>
      <c r="I848" s="28" t="n"/>
      <c r="J848" s="28" t="n"/>
      <c r="K848" s="28" t="n"/>
    </row>
    <row r="849" ht="12.75" customHeight="1">
      <c r="A849" s="28" t="n"/>
      <c r="B849" s="28" t="n"/>
      <c r="C849" s="28" t="n"/>
      <c r="D849" s="28" t="n"/>
      <c r="E849" s="28" t="n"/>
      <c r="F849" s="28" t="n"/>
      <c r="G849" s="28" t="n"/>
      <c r="H849" s="28" t="n"/>
      <c r="I849" s="28" t="n"/>
      <c r="J849" s="28" t="n"/>
      <c r="K849" s="28" t="n"/>
    </row>
    <row r="850" ht="12.75" customHeight="1">
      <c r="A850" s="28" t="n"/>
      <c r="B850" s="28" t="n"/>
      <c r="C850" s="28" t="n"/>
      <c r="D850" s="28" t="n"/>
      <c r="E850" s="28" t="n"/>
      <c r="F850" s="28" t="n"/>
      <c r="G850" s="28" t="n"/>
      <c r="H850" s="28" t="n"/>
      <c r="I850" s="28" t="n"/>
      <c r="J850" s="28" t="n"/>
      <c r="K850" s="28" t="n"/>
    </row>
    <row r="851" ht="12.75" customHeight="1">
      <c r="A851" s="28" t="n"/>
      <c r="B851" s="28" t="n"/>
      <c r="C851" s="28" t="n"/>
      <c r="D851" s="28" t="n"/>
      <c r="E851" s="28" t="n"/>
      <c r="F851" s="28" t="n"/>
      <c r="G851" s="28" t="n"/>
      <c r="H851" s="28" t="n"/>
      <c r="I851" s="28" t="n"/>
      <c r="J851" s="28" t="n"/>
      <c r="K851" s="28" t="n"/>
    </row>
    <row r="852" ht="12.75" customHeight="1">
      <c r="A852" s="28" t="n"/>
      <c r="B852" s="28" t="n"/>
      <c r="C852" s="28" t="n"/>
      <c r="D852" s="28" t="n"/>
      <c r="E852" s="28" t="n"/>
      <c r="F852" s="28" t="n"/>
      <c r="G852" s="28" t="n"/>
      <c r="H852" s="28" t="n"/>
      <c r="I852" s="28" t="n"/>
      <c r="J852" s="28" t="n"/>
      <c r="K852" s="28" t="n"/>
    </row>
    <row r="853" ht="12.75" customHeight="1">
      <c r="A853" s="28" t="n"/>
      <c r="B853" s="28" t="n"/>
      <c r="C853" s="28" t="n"/>
      <c r="D853" s="28" t="n"/>
      <c r="E853" s="28" t="n"/>
      <c r="F853" s="28" t="n"/>
      <c r="G853" s="28" t="n"/>
      <c r="H853" s="28" t="n"/>
      <c r="I853" s="28" t="n"/>
      <c r="J853" s="28" t="n"/>
      <c r="K853" s="28" t="n"/>
    </row>
    <row r="854" ht="12.75" customHeight="1">
      <c r="A854" s="28" t="n"/>
      <c r="B854" s="28" t="n"/>
      <c r="C854" s="28" t="n"/>
      <c r="D854" s="28" t="n"/>
      <c r="E854" s="28" t="n"/>
      <c r="F854" s="28" t="n"/>
      <c r="G854" s="28" t="n"/>
      <c r="H854" s="28" t="n"/>
      <c r="I854" s="28" t="n"/>
      <c r="J854" s="28" t="n"/>
      <c r="K854" s="28" t="n"/>
    </row>
    <row r="855" ht="12.75" customHeight="1">
      <c r="A855" s="28" t="n"/>
      <c r="B855" s="28" t="n"/>
      <c r="C855" s="28" t="n"/>
      <c r="D855" s="28" t="n"/>
      <c r="E855" s="28" t="n"/>
      <c r="F855" s="28" t="n"/>
      <c r="G855" s="28" t="n"/>
      <c r="H855" s="28" t="n"/>
      <c r="I855" s="28" t="n"/>
      <c r="J855" s="28" t="n"/>
      <c r="K855" s="28" t="n"/>
    </row>
    <row r="856" ht="12.75" customHeight="1">
      <c r="A856" s="28" t="n"/>
      <c r="B856" s="28" t="n"/>
      <c r="C856" s="28" t="n"/>
      <c r="D856" s="28" t="n"/>
      <c r="E856" s="28" t="n"/>
      <c r="F856" s="28" t="n"/>
      <c r="G856" s="28" t="n"/>
      <c r="H856" s="28" t="n"/>
      <c r="I856" s="28" t="n"/>
      <c r="J856" s="28" t="n"/>
      <c r="K856" s="28" t="n"/>
    </row>
    <row r="857" ht="12.75" customHeight="1">
      <c r="A857" s="28" t="n"/>
      <c r="B857" s="28" t="n"/>
      <c r="C857" s="28" t="n"/>
      <c r="D857" s="28" t="n"/>
      <c r="E857" s="28" t="n"/>
      <c r="F857" s="28" t="n"/>
      <c r="G857" s="28" t="n"/>
      <c r="H857" s="28" t="n"/>
      <c r="I857" s="28" t="n"/>
      <c r="J857" s="28" t="n"/>
      <c r="K857" s="28" t="n"/>
    </row>
    <row r="858" ht="12.75" customHeight="1">
      <c r="A858" s="28" t="n"/>
      <c r="B858" s="28" t="n"/>
      <c r="C858" s="28" t="n"/>
      <c r="D858" s="28" t="n"/>
      <c r="E858" s="28" t="n"/>
      <c r="F858" s="28" t="n"/>
      <c r="G858" s="28" t="n"/>
      <c r="H858" s="28" t="n"/>
      <c r="I858" s="28" t="n"/>
      <c r="J858" s="28" t="n"/>
      <c r="K858" s="28" t="n"/>
    </row>
    <row r="859" ht="12.75" customHeight="1">
      <c r="A859" s="28" t="n"/>
      <c r="B859" s="28" t="n"/>
      <c r="C859" s="28" t="n"/>
      <c r="D859" s="28" t="n"/>
      <c r="E859" s="28" t="n"/>
      <c r="F859" s="28" t="n"/>
      <c r="G859" s="28" t="n"/>
      <c r="H859" s="28" t="n"/>
      <c r="I859" s="28" t="n"/>
      <c r="J859" s="28" t="n"/>
      <c r="K859" s="28" t="n"/>
    </row>
    <row r="860" ht="12.75" customHeight="1">
      <c r="A860" s="28" t="n"/>
      <c r="B860" s="28" t="n"/>
      <c r="C860" s="28" t="n"/>
      <c r="D860" s="28" t="n"/>
      <c r="E860" s="28" t="n"/>
      <c r="F860" s="28" t="n"/>
      <c r="G860" s="28" t="n"/>
      <c r="H860" s="28" t="n"/>
      <c r="I860" s="28" t="n"/>
      <c r="J860" s="28" t="n"/>
      <c r="K860" s="28" t="n"/>
    </row>
    <row r="861" ht="12.75" customHeight="1">
      <c r="A861" s="28" t="n"/>
      <c r="B861" s="28" t="n"/>
      <c r="C861" s="28" t="n"/>
      <c r="D861" s="28" t="n"/>
      <c r="E861" s="28" t="n"/>
      <c r="F861" s="28" t="n"/>
      <c r="G861" s="28" t="n"/>
      <c r="H861" s="28" t="n"/>
      <c r="I861" s="28" t="n"/>
      <c r="J861" s="28" t="n"/>
      <c r="K861" s="28" t="n"/>
    </row>
    <row r="862" ht="12.75" customHeight="1">
      <c r="A862" s="28" t="n"/>
      <c r="B862" s="28" t="n"/>
      <c r="C862" s="28" t="n"/>
      <c r="D862" s="28" t="n"/>
      <c r="E862" s="28" t="n"/>
      <c r="F862" s="28" t="n"/>
      <c r="G862" s="28" t="n"/>
      <c r="H862" s="28" t="n"/>
      <c r="I862" s="28" t="n"/>
      <c r="J862" s="28" t="n"/>
      <c r="K862" s="28" t="n"/>
    </row>
    <row r="863" ht="12.75" customHeight="1">
      <c r="A863" s="28" t="n"/>
      <c r="B863" s="28" t="n"/>
      <c r="C863" s="28" t="n"/>
      <c r="D863" s="28" t="n"/>
      <c r="E863" s="28" t="n"/>
      <c r="F863" s="28" t="n"/>
      <c r="G863" s="28" t="n"/>
      <c r="H863" s="28" t="n"/>
      <c r="I863" s="28" t="n"/>
      <c r="J863" s="28" t="n"/>
      <c r="K863" s="28" t="n"/>
    </row>
    <row r="864" ht="12.75" customHeight="1">
      <c r="A864" s="28" t="n"/>
      <c r="B864" s="28" t="n"/>
      <c r="C864" s="28" t="n"/>
      <c r="D864" s="28" t="n"/>
      <c r="E864" s="28" t="n"/>
      <c r="F864" s="28" t="n"/>
      <c r="G864" s="28" t="n"/>
      <c r="H864" s="28" t="n"/>
      <c r="I864" s="28" t="n"/>
      <c r="J864" s="28" t="n"/>
      <c r="K864" s="28" t="n"/>
    </row>
    <row r="865" ht="12.75" customHeight="1">
      <c r="A865" s="28" t="n"/>
      <c r="B865" s="28" t="n"/>
      <c r="C865" s="28" t="n"/>
      <c r="D865" s="28" t="n"/>
      <c r="E865" s="28" t="n"/>
      <c r="F865" s="28" t="n"/>
      <c r="G865" s="28" t="n"/>
      <c r="H865" s="28" t="n"/>
      <c r="I865" s="28" t="n"/>
      <c r="J865" s="28" t="n"/>
      <c r="K865" s="28" t="n"/>
    </row>
    <row r="866" ht="12.75" customHeight="1">
      <c r="A866" s="28" t="n"/>
      <c r="B866" s="28" t="n"/>
      <c r="C866" s="28" t="n"/>
      <c r="D866" s="28" t="n"/>
      <c r="E866" s="28" t="n"/>
      <c r="F866" s="28" t="n"/>
      <c r="G866" s="28" t="n"/>
      <c r="H866" s="28" t="n"/>
      <c r="I866" s="28" t="n"/>
      <c r="J866" s="28" t="n"/>
      <c r="K866" s="28" t="n"/>
    </row>
    <row r="867" ht="12.75" customHeight="1">
      <c r="A867" s="28" t="n"/>
      <c r="B867" s="28" t="n"/>
      <c r="C867" s="28" t="n"/>
      <c r="D867" s="28" t="n"/>
      <c r="E867" s="28" t="n"/>
      <c r="F867" s="28" t="n"/>
      <c r="G867" s="28" t="n"/>
      <c r="H867" s="28" t="n"/>
      <c r="I867" s="28" t="n"/>
      <c r="J867" s="28" t="n"/>
      <c r="K867" s="28" t="n"/>
    </row>
    <row r="868" ht="12.75" customHeight="1">
      <c r="A868" s="28" t="n"/>
      <c r="B868" s="28" t="n"/>
      <c r="C868" s="28" t="n"/>
      <c r="D868" s="28" t="n"/>
      <c r="E868" s="28" t="n"/>
      <c r="F868" s="28" t="n"/>
      <c r="G868" s="28" t="n"/>
      <c r="H868" s="28" t="n"/>
      <c r="I868" s="28" t="n"/>
      <c r="J868" s="28" t="n"/>
      <c r="K868" s="28" t="n"/>
    </row>
    <row r="869" ht="12.75" customHeight="1">
      <c r="A869" s="28" t="n"/>
      <c r="B869" s="28" t="n"/>
      <c r="C869" s="28" t="n"/>
      <c r="D869" s="28" t="n"/>
      <c r="E869" s="28" t="n"/>
      <c r="F869" s="28" t="n"/>
      <c r="G869" s="28" t="n"/>
      <c r="H869" s="28" t="n"/>
      <c r="I869" s="28" t="n"/>
      <c r="J869" s="28" t="n"/>
      <c r="K869" s="28" t="n"/>
    </row>
    <row r="870" ht="12.75" customHeight="1">
      <c r="A870" s="28" t="n"/>
      <c r="B870" s="28" t="n"/>
      <c r="C870" s="28" t="n"/>
      <c r="D870" s="28" t="n"/>
      <c r="E870" s="28" t="n"/>
      <c r="F870" s="28" t="n"/>
      <c r="G870" s="28" t="n"/>
      <c r="H870" s="28" t="n"/>
      <c r="I870" s="28" t="n"/>
      <c r="J870" s="28" t="n"/>
      <c r="K870" s="28" t="n"/>
    </row>
    <row r="871" ht="12.75" customHeight="1">
      <c r="A871" s="28" t="n"/>
      <c r="B871" s="28" t="n"/>
      <c r="C871" s="28" t="n"/>
      <c r="D871" s="28" t="n"/>
      <c r="E871" s="28" t="n"/>
      <c r="F871" s="28" t="n"/>
      <c r="G871" s="28" t="n"/>
      <c r="H871" s="28" t="n"/>
      <c r="I871" s="28" t="n"/>
      <c r="J871" s="28" t="n"/>
      <c r="K871" s="28" t="n"/>
    </row>
    <row r="872" ht="12.75" customHeight="1">
      <c r="A872" s="28" t="n"/>
      <c r="B872" s="28" t="n"/>
      <c r="C872" s="28" t="n"/>
      <c r="D872" s="28" t="n"/>
      <c r="E872" s="28" t="n"/>
      <c r="F872" s="28" t="n"/>
      <c r="G872" s="28" t="n"/>
      <c r="H872" s="28" t="n"/>
      <c r="I872" s="28" t="n"/>
      <c r="J872" s="28" t="n"/>
      <c r="K872" s="28" t="n"/>
    </row>
    <row r="873" ht="12.75" customHeight="1">
      <c r="A873" s="28" t="n"/>
      <c r="B873" s="28" t="n"/>
      <c r="C873" s="28" t="n"/>
      <c r="D873" s="28" t="n"/>
      <c r="E873" s="28" t="n"/>
      <c r="F873" s="28" t="n"/>
      <c r="G873" s="28" t="n"/>
      <c r="H873" s="28" t="n"/>
      <c r="I873" s="28" t="n"/>
      <c r="J873" s="28" t="n"/>
      <c r="K873" s="28" t="n"/>
    </row>
    <row r="874" ht="12.75" customHeight="1">
      <c r="A874" s="28" t="n"/>
      <c r="B874" s="28" t="n"/>
      <c r="C874" s="28" t="n"/>
      <c r="D874" s="28" t="n"/>
      <c r="E874" s="28" t="n"/>
      <c r="F874" s="28" t="n"/>
      <c r="G874" s="28" t="n"/>
      <c r="H874" s="28" t="n"/>
      <c r="I874" s="28" t="n"/>
      <c r="J874" s="28" t="n"/>
      <c r="K874" s="28" t="n"/>
    </row>
    <row r="875" ht="12.75" customHeight="1">
      <c r="A875" s="28" t="n"/>
      <c r="B875" s="28" t="n"/>
      <c r="C875" s="28" t="n"/>
      <c r="D875" s="28" t="n"/>
      <c r="E875" s="28" t="n"/>
      <c r="F875" s="28" t="n"/>
      <c r="G875" s="28" t="n"/>
      <c r="H875" s="28" t="n"/>
      <c r="I875" s="28" t="n"/>
      <c r="J875" s="28" t="n"/>
      <c r="K875" s="28" t="n"/>
    </row>
    <row r="876" ht="12.75" customHeight="1">
      <c r="A876" s="28" t="n"/>
      <c r="B876" s="28" t="n"/>
      <c r="C876" s="28" t="n"/>
      <c r="D876" s="28" t="n"/>
      <c r="E876" s="28" t="n"/>
      <c r="F876" s="28" t="n"/>
      <c r="G876" s="28" t="n"/>
      <c r="H876" s="28" t="n"/>
      <c r="I876" s="28" t="n"/>
      <c r="J876" s="28" t="n"/>
      <c r="K876" s="28" t="n"/>
    </row>
    <row r="877" ht="12.75" customHeight="1">
      <c r="A877" s="28" t="n"/>
      <c r="B877" s="28" t="n"/>
      <c r="C877" s="28" t="n"/>
      <c r="D877" s="28" t="n"/>
      <c r="E877" s="28" t="n"/>
      <c r="F877" s="28" t="n"/>
      <c r="G877" s="28" t="n"/>
      <c r="H877" s="28" t="n"/>
      <c r="I877" s="28" t="n"/>
      <c r="J877" s="28" t="n"/>
      <c r="K877" s="28" t="n"/>
    </row>
    <row r="878" ht="12.75" customHeight="1">
      <c r="A878" s="28" t="n"/>
      <c r="B878" s="28" t="n"/>
      <c r="C878" s="28" t="n"/>
      <c r="D878" s="28" t="n"/>
      <c r="E878" s="28" t="n"/>
      <c r="F878" s="28" t="n"/>
      <c r="G878" s="28" t="n"/>
      <c r="H878" s="28" t="n"/>
      <c r="I878" s="28" t="n"/>
      <c r="J878" s="28" t="n"/>
      <c r="K878" s="28" t="n"/>
    </row>
    <row r="879" ht="12.75" customHeight="1">
      <c r="A879" s="28" t="n"/>
      <c r="B879" s="28" t="n"/>
      <c r="C879" s="28" t="n"/>
      <c r="D879" s="28" t="n"/>
      <c r="E879" s="28" t="n"/>
      <c r="F879" s="28" t="n"/>
      <c r="G879" s="28" t="n"/>
      <c r="H879" s="28" t="n"/>
      <c r="I879" s="28" t="n"/>
      <c r="J879" s="28" t="n"/>
      <c r="K879" s="28" t="n"/>
    </row>
    <row r="880" ht="12.75" customHeight="1">
      <c r="A880" s="28" t="n"/>
      <c r="B880" s="28" t="n"/>
      <c r="C880" s="28" t="n"/>
      <c r="D880" s="28" t="n"/>
      <c r="E880" s="28" t="n"/>
      <c r="F880" s="28" t="n"/>
      <c r="G880" s="28" t="n"/>
      <c r="H880" s="28" t="n"/>
      <c r="I880" s="28" t="n"/>
      <c r="J880" s="28" t="n"/>
      <c r="K880" s="28" t="n"/>
    </row>
    <row r="881" ht="12.75" customHeight="1">
      <c r="A881" s="28" t="n"/>
      <c r="B881" s="28" t="n"/>
      <c r="C881" s="28" t="n"/>
      <c r="D881" s="28" t="n"/>
      <c r="E881" s="28" t="n"/>
      <c r="F881" s="28" t="n"/>
      <c r="G881" s="28" t="n"/>
      <c r="H881" s="28" t="n"/>
      <c r="I881" s="28" t="n"/>
      <c r="J881" s="28" t="n"/>
      <c r="K881" s="28" t="n"/>
    </row>
    <row r="882" ht="12.75" customHeight="1">
      <c r="A882" s="28" t="n"/>
      <c r="B882" s="28" t="n"/>
      <c r="C882" s="28" t="n"/>
      <c r="D882" s="28" t="n"/>
      <c r="E882" s="28" t="n"/>
      <c r="F882" s="28" t="n"/>
      <c r="G882" s="28" t="n"/>
      <c r="H882" s="28" t="n"/>
      <c r="I882" s="28" t="n"/>
      <c r="J882" s="28" t="n"/>
      <c r="K882" s="28" t="n"/>
    </row>
    <row r="883" ht="12.75" customHeight="1">
      <c r="A883" s="28" t="n"/>
      <c r="B883" s="28" t="n"/>
      <c r="C883" s="28" t="n"/>
      <c r="D883" s="28" t="n"/>
      <c r="E883" s="28" t="n"/>
      <c r="F883" s="28" t="n"/>
      <c r="G883" s="28" t="n"/>
      <c r="H883" s="28" t="n"/>
      <c r="I883" s="28" t="n"/>
      <c r="J883" s="28" t="n"/>
      <c r="K883" s="28" t="n"/>
    </row>
    <row r="884" ht="12.75" customHeight="1">
      <c r="A884" s="28" t="n"/>
      <c r="B884" s="28" t="n"/>
      <c r="C884" s="28" t="n"/>
      <c r="D884" s="28" t="n"/>
      <c r="E884" s="28" t="n"/>
      <c r="F884" s="28" t="n"/>
      <c r="G884" s="28" t="n"/>
      <c r="H884" s="28" t="n"/>
      <c r="I884" s="28" t="n"/>
      <c r="J884" s="28" t="n"/>
      <c r="K884" s="28" t="n"/>
    </row>
    <row r="885" ht="12.75" customHeight="1">
      <c r="A885" s="28" t="n"/>
      <c r="B885" s="28" t="n"/>
      <c r="C885" s="28" t="n"/>
      <c r="D885" s="28" t="n"/>
      <c r="E885" s="28" t="n"/>
      <c r="F885" s="28" t="n"/>
      <c r="G885" s="28" t="n"/>
      <c r="H885" s="28" t="n"/>
      <c r="I885" s="28" t="n"/>
      <c r="J885" s="28" t="n"/>
      <c r="K885" s="28" t="n"/>
    </row>
    <row r="886" ht="12.75" customHeight="1">
      <c r="A886" s="28" t="n"/>
      <c r="B886" s="28" t="n"/>
      <c r="C886" s="28" t="n"/>
      <c r="D886" s="28" t="n"/>
      <c r="E886" s="28" t="n"/>
      <c r="F886" s="28" t="n"/>
      <c r="G886" s="28" t="n"/>
      <c r="H886" s="28" t="n"/>
      <c r="I886" s="28" t="n"/>
      <c r="J886" s="28" t="n"/>
      <c r="K886" s="28" t="n"/>
    </row>
    <row r="887" ht="12.75" customHeight="1">
      <c r="A887" s="28" t="n"/>
      <c r="B887" s="28" t="n"/>
      <c r="C887" s="28" t="n"/>
      <c r="D887" s="28" t="n"/>
      <c r="E887" s="28" t="n"/>
      <c r="F887" s="28" t="n"/>
      <c r="G887" s="28" t="n"/>
      <c r="H887" s="28" t="n"/>
      <c r="I887" s="28" t="n"/>
      <c r="J887" s="28" t="n"/>
      <c r="K887" s="28" t="n"/>
    </row>
    <row r="888" ht="12.75" customHeight="1">
      <c r="A888" s="28" t="n"/>
      <c r="B888" s="28" t="n"/>
      <c r="C888" s="28" t="n"/>
      <c r="D888" s="28" t="n"/>
      <c r="E888" s="28" t="n"/>
      <c r="F888" s="28" t="n"/>
      <c r="G888" s="28" t="n"/>
      <c r="H888" s="28" t="n"/>
      <c r="I888" s="28" t="n"/>
      <c r="J888" s="28" t="n"/>
      <c r="K888" s="28" t="n"/>
    </row>
    <row r="889" ht="12.75" customHeight="1">
      <c r="A889" s="28" t="n"/>
      <c r="B889" s="28" t="n"/>
      <c r="C889" s="28" t="n"/>
      <c r="D889" s="28" t="n"/>
      <c r="E889" s="28" t="n"/>
      <c r="F889" s="28" t="n"/>
      <c r="G889" s="28" t="n"/>
      <c r="H889" s="28" t="n"/>
      <c r="I889" s="28" t="n"/>
      <c r="J889" s="28" t="n"/>
      <c r="K889" s="28" t="n"/>
    </row>
    <row r="890" ht="12.75" customHeight="1">
      <c r="A890" s="28" t="n"/>
      <c r="B890" s="28" t="n"/>
      <c r="C890" s="28" t="n"/>
      <c r="D890" s="28" t="n"/>
      <c r="E890" s="28" t="n"/>
      <c r="F890" s="28" t="n"/>
      <c r="G890" s="28" t="n"/>
      <c r="H890" s="28" t="n"/>
      <c r="I890" s="28" t="n"/>
      <c r="J890" s="28" t="n"/>
      <c r="K890" s="28" t="n"/>
    </row>
    <row r="891" ht="12.75" customHeight="1">
      <c r="A891" s="28" t="n"/>
      <c r="B891" s="28" t="n"/>
      <c r="C891" s="28" t="n"/>
      <c r="D891" s="28" t="n"/>
      <c r="E891" s="28" t="n"/>
      <c r="F891" s="28" t="n"/>
      <c r="G891" s="28" t="n"/>
      <c r="H891" s="28" t="n"/>
      <c r="I891" s="28" t="n"/>
      <c r="J891" s="28" t="n"/>
      <c r="K891" s="28" t="n"/>
    </row>
    <row r="892" ht="12.75" customHeight="1">
      <c r="A892" s="28" t="n"/>
      <c r="B892" s="28" t="n"/>
      <c r="C892" s="28" t="n"/>
      <c r="D892" s="28" t="n"/>
      <c r="E892" s="28" t="n"/>
      <c r="F892" s="28" t="n"/>
      <c r="G892" s="28" t="n"/>
      <c r="H892" s="28" t="n"/>
      <c r="I892" s="28" t="n"/>
      <c r="J892" s="28" t="n"/>
      <c r="K892" s="28" t="n"/>
    </row>
    <row r="893" ht="12.75" customHeight="1">
      <c r="A893" s="28" t="n"/>
      <c r="B893" s="28" t="n"/>
      <c r="C893" s="28" t="n"/>
      <c r="D893" s="28" t="n"/>
      <c r="E893" s="28" t="n"/>
      <c r="F893" s="28" t="n"/>
      <c r="G893" s="28" t="n"/>
      <c r="H893" s="28" t="n"/>
      <c r="I893" s="28" t="n"/>
      <c r="J893" s="28" t="n"/>
      <c r="K893" s="28" t="n"/>
    </row>
    <row r="894" ht="12.75" customHeight="1">
      <c r="A894" s="28" t="n"/>
      <c r="B894" s="28" t="n"/>
      <c r="C894" s="28" t="n"/>
      <c r="D894" s="28" t="n"/>
      <c r="E894" s="28" t="n"/>
      <c r="F894" s="28" t="n"/>
      <c r="G894" s="28" t="n"/>
      <c r="H894" s="28" t="n"/>
      <c r="I894" s="28" t="n"/>
      <c r="J894" s="28" t="n"/>
      <c r="K894" s="28" t="n"/>
    </row>
    <row r="895" ht="12.75" customHeight="1">
      <c r="A895" s="28" t="n"/>
      <c r="B895" s="28" t="n"/>
      <c r="C895" s="28" t="n"/>
      <c r="D895" s="28" t="n"/>
      <c r="E895" s="28" t="n"/>
      <c r="F895" s="28" t="n"/>
      <c r="G895" s="28" t="n"/>
      <c r="H895" s="28" t="n"/>
      <c r="I895" s="28" t="n"/>
      <c r="J895" s="28" t="n"/>
      <c r="K895" s="28" t="n"/>
    </row>
    <row r="896" ht="12.75" customHeight="1">
      <c r="A896" s="28" t="n"/>
      <c r="B896" s="28" t="n"/>
      <c r="C896" s="28" t="n"/>
      <c r="D896" s="28" t="n"/>
      <c r="E896" s="28" t="n"/>
      <c r="F896" s="28" t="n"/>
      <c r="G896" s="28" t="n"/>
      <c r="H896" s="28" t="n"/>
      <c r="I896" s="28" t="n"/>
      <c r="J896" s="28" t="n"/>
      <c r="K896" s="28" t="n"/>
    </row>
    <row r="897" ht="12.75" customHeight="1">
      <c r="A897" s="28" t="n"/>
      <c r="B897" s="28" t="n"/>
      <c r="C897" s="28" t="n"/>
      <c r="D897" s="28" t="n"/>
      <c r="E897" s="28" t="n"/>
      <c r="F897" s="28" t="n"/>
      <c r="G897" s="28" t="n"/>
      <c r="H897" s="28" t="n"/>
      <c r="I897" s="28" t="n"/>
      <c r="J897" s="28" t="n"/>
      <c r="K897" s="28" t="n"/>
    </row>
    <row r="898" ht="12.75" customHeight="1">
      <c r="A898" s="28" t="n"/>
      <c r="B898" s="28" t="n"/>
      <c r="C898" s="28" t="n"/>
      <c r="D898" s="28" t="n"/>
      <c r="E898" s="28" t="n"/>
      <c r="F898" s="28" t="n"/>
      <c r="G898" s="28" t="n"/>
      <c r="H898" s="28" t="n"/>
      <c r="I898" s="28" t="n"/>
      <c r="J898" s="28" t="n"/>
      <c r="K898" s="28" t="n"/>
    </row>
    <row r="899" ht="12.75" customHeight="1">
      <c r="A899" s="28" t="n"/>
      <c r="B899" s="28" t="n"/>
      <c r="C899" s="28" t="n"/>
      <c r="D899" s="28" t="n"/>
      <c r="E899" s="28" t="n"/>
      <c r="F899" s="28" t="n"/>
      <c r="G899" s="28" t="n"/>
      <c r="H899" s="28" t="n"/>
      <c r="I899" s="28" t="n"/>
      <c r="J899" s="28" t="n"/>
      <c r="K899" s="28" t="n"/>
    </row>
    <row r="900" ht="12.75" customHeight="1">
      <c r="A900" s="28" t="n"/>
      <c r="B900" s="28" t="n"/>
      <c r="C900" s="28" t="n"/>
      <c r="D900" s="28" t="n"/>
      <c r="E900" s="28" t="n"/>
      <c r="F900" s="28" t="n"/>
      <c r="G900" s="28" t="n"/>
      <c r="H900" s="28" t="n"/>
      <c r="I900" s="28" t="n"/>
      <c r="J900" s="28" t="n"/>
      <c r="K900" s="28" t="n"/>
    </row>
    <row r="901" ht="12.75" customHeight="1">
      <c r="A901" s="28" t="n"/>
      <c r="B901" s="28" t="n"/>
      <c r="C901" s="28" t="n"/>
      <c r="D901" s="28" t="n"/>
      <c r="E901" s="28" t="n"/>
      <c r="F901" s="28" t="n"/>
      <c r="G901" s="28" t="n"/>
      <c r="H901" s="28" t="n"/>
      <c r="I901" s="28" t="n"/>
      <c r="J901" s="28" t="n"/>
      <c r="K901" s="28" t="n"/>
    </row>
    <row r="902" ht="12.75" customHeight="1">
      <c r="A902" s="28" t="n"/>
      <c r="B902" s="28" t="n"/>
      <c r="C902" s="28" t="n"/>
      <c r="D902" s="28" t="n"/>
      <c r="E902" s="28" t="n"/>
      <c r="F902" s="28" t="n"/>
      <c r="G902" s="28" t="n"/>
      <c r="H902" s="28" t="n"/>
      <c r="I902" s="28" t="n"/>
      <c r="J902" s="28" t="n"/>
      <c r="K902" s="28" t="n"/>
    </row>
    <row r="903" ht="12.75" customHeight="1">
      <c r="A903" s="28" t="n"/>
      <c r="B903" s="28" t="n"/>
      <c r="C903" s="28" t="n"/>
      <c r="D903" s="28" t="n"/>
      <c r="E903" s="28" t="n"/>
      <c r="F903" s="28" t="n"/>
      <c r="G903" s="28" t="n"/>
      <c r="H903" s="28" t="n"/>
      <c r="I903" s="28" t="n"/>
      <c r="J903" s="28" t="n"/>
      <c r="K903" s="28" t="n"/>
    </row>
    <row r="904" ht="12.75" customHeight="1">
      <c r="A904" s="28" t="n"/>
      <c r="B904" s="28" t="n"/>
      <c r="C904" s="28" t="n"/>
      <c r="D904" s="28" t="n"/>
      <c r="E904" s="28" t="n"/>
      <c r="F904" s="28" t="n"/>
      <c r="G904" s="28" t="n"/>
      <c r="H904" s="28" t="n"/>
      <c r="I904" s="28" t="n"/>
      <c r="J904" s="28" t="n"/>
      <c r="K904" s="28" t="n"/>
    </row>
    <row r="905" ht="12.75" customHeight="1">
      <c r="A905" s="28" t="n"/>
      <c r="B905" s="28" t="n"/>
      <c r="C905" s="28" t="n"/>
      <c r="D905" s="28" t="n"/>
      <c r="E905" s="28" t="n"/>
      <c r="F905" s="28" t="n"/>
      <c r="G905" s="28" t="n"/>
      <c r="H905" s="28" t="n"/>
      <c r="I905" s="28" t="n"/>
      <c r="J905" s="28" t="n"/>
      <c r="K905" s="28" t="n"/>
    </row>
    <row r="906" ht="12.75" customHeight="1">
      <c r="A906" s="28" t="n"/>
      <c r="B906" s="28" t="n"/>
      <c r="C906" s="28" t="n"/>
      <c r="D906" s="28" t="n"/>
      <c r="E906" s="28" t="n"/>
      <c r="F906" s="28" t="n"/>
      <c r="G906" s="28" t="n"/>
      <c r="H906" s="28" t="n"/>
      <c r="I906" s="28" t="n"/>
      <c r="J906" s="28" t="n"/>
      <c r="K906" s="28" t="n"/>
    </row>
    <row r="907" ht="12.75" customHeight="1">
      <c r="A907" s="28" t="n"/>
      <c r="B907" s="28" t="n"/>
      <c r="C907" s="28" t="n"/>
      <c r="D907" s="28" t="n"/>
      <c r="E907" s="28" t="n"/>
      <c r="F907" s="28" t="n"/>
      <c r="G907" s="28" t="n"/>
      <c r="H907" s="28" t="n"/>
      <c r="I907" s="28" t="n"/>
      <c r="J907" s="28" t="n"/>
      <c r="K907" s="28" t="n"/>
    </row>
    <row r="908" ht="12.75" customHeight="1">
      <c r="A908" s="28" t="n"/>
      <c r="B908" s="28" t="n"/>
      <c r="C908" s="28" t="n"/>
      <c r="D908" s="28" t="n"/>
      <c r="E908" s="28" t="n"/>
      <c r="F908" s="28" t="n"/>
      <c r="G908" s="28" t="n"/>
      <c r="H908" s="28" t="n"/>
      <c r="I908" s="28" t="n"/>
      <c r="J908" s="28" t="n"/>
      <c r="K908" s="28" t="n"/>
    </row>
    <row r="909" ht="12.75" customHeight="1">
      <c r="A909" s="28" t="n"/>
      <c r="B909" s="28" t="n"/>
      <c r="C909" s="28" t="n"/>
      <c r="D909" s="28" t="n"/>
      <c r="E909" s="28" t="n"/>
      <c r="F909" s="28" t="n"/>
      <c r="G909" s="28" t="n"/>
      <c r="H909" s="28" t="n"/>
      <c r="I909" s="28" t="n"/>
      <c r="J909" s="28" t="n"/>
      <c r="K909" s="28" t="n"/>
    </row>
    <row r="910" ht="12.75" customHeight="1">
      <c r="A910" s="28" t="n"/>
      <c r="B910" s="28" t="n"/>
      <c r="C910" s="28" t="n"/>
      <c r="D910" s="28" t="n"/>
      <c r="E910" s="28" t="n"/>
      <c r="F910" s="28" t="n"/>
      <c r="G910" s="28" t="n"/>
      <c r="H910" s="28" t="n"/>
      <c r="I910" s="28" t="n"/>
      <c r="J910" s="28" t="n"/>
      <c r="K910" s="28" t="n"/>
    </row>
    <row r="911" ht="12.75" customHeight="1">
      <c r="A911" s="28" t="n"/>
      <c r="B911" s="28" t="n"/>
      <c r="C911" s="28" t="n"/>
      <c r="D911" s="28" t="n"/>
      <c r="E911" s="28" t="n"/>
      <c r="F911" s="28" t="n"/>
      <c r="G911" s="28" t="n"/>
      <c r="H911" s="28" t="n"/>
      <c r="I911" s="28" t="n"/>
      <c r="J911" s="28" t="n"/>
      <c r="K911" s="28" t="n"/>
    </row>
    <row r="912" ht="12.75" customHeight="1">
      <c r="A912" s="28" t="n"/>
      <c r="B912" s="28" t="n"/>
      <c r="C912" s="28" t="n"/>
      <c r="D912" s="28" t="n"/>
      <c r="E912" s="28" t="n"/>
      <c r="F912" s="28" t="n"/>
      <c r="G912" s="28" t="n"/>
      <c r="H912" s="28" t="n"/>
      <c r="I912" s="28" t="n"/>
      <c r="J912" s="28" t="n"/>
      <c r="K912" s="28" t="n"/>
    </row>
    <row r="913" ht="12.75" customHeight="1">
      <c r="A913" s="28" t="n"/>
      <c r="B913" s="28" t="n"/>
      <c r="C913" s="28" t="n"/>
      <c r="D913" s="28" t="n"/>
      <c r="E913" s="28" t="n"/>
      <c r="F913" s="28" t="n"/>
      <c r="G913" s="28" t="n"/>
      <c r="H913" s="28" t="n"/>
      <c r="I913" s="28" t="n"/>
      <c r="J913" s="28" t="n"/>
      <c r="K913" s="28" t="n"/>
    </row>
    <row r="914" ht="12.75" customHeight="1">
      <c r="A914" s="28" t="n"/>
      <c r="B914" s="28" t="n"/>
      <c r="C914" s="28" t="n"/>
      <c r="D914" s="28" t="n"/>
      <c r="E914" s="28" t="n"/>
      <c r="F914" s="28" t="n"/>
      <c r="G914" s="28" t="n"/>
      <c r="H914" s="28" t="n"/>
      <c r="I914" s="28" t="n"/>
      <c r="J914" s="28" t="n"/>
      <c r="K914" s="28" t="n"/>
    </row>
    <row r="915" ht="12.75" customHeight="1">
      <c r="A915" s="28" t="n"/>
      <c r="B915" s="28" t="n"/>
      <c r="C915" s="28" t="n"/>
      <c r="D915" s="28" t="n"/>
      <c r="E915" s="28" t="n"/>
      <c r="F915" s="28" t="n"/>
      <c r="G915" s="28" t="n"/>
      <c r="H915" s="28" t="n"/>
      <c r="I915" s="28" t="n"/>
      <c r="J915" s="28" t="n"/>
      <c r="K915" s="28" t="n"/>
    </row>
    <row r="916" ht="12.75" customHeight="1">
      <c r="A916" s="28" t="n"/>
      <c r="B916" s="28" t="n"/>
      <c r="C916" s="28" t="n"/>
      <c r="D916" s="28" t="n"/>
      <c r="E916" s="28" t="n"/>
      <c r="F916" s="28" t="n"/>
      <c r="G916" s="28" t="n"/>
      <c r="H916" s="28" t="n"/>
      <c r="I916" s="28" t="n"/>
      <c r="J916" s="28" t="n"/>
      <c r="K916" s="28" t="n"/>
    </row>
    <row r="917" ht="12.75" customHeight="1">
      <c r="A917" s="28" t="n"/>
      <c r="B917" s="28" t="n"/>
      <c r="C917" s="28" t="n"/>
      <c r="D917" s="28" t="n"/>
      <c r="E917" s="28" t="n"/>
      <c r="F917" s="28" t="n"/>
      <c r="G917" s="28" t="n"/>
      <c r="H917" s="28" t="n"/>
      <c r="I917" s="28" t="n"/>
      <c r="J917" s="28" t="n"/>
      <c r="K917" s="28" t="n"/>
    </row>
    <row r="918" ht="12.75" customHeight="1">
      <c r="A918" s="28" t="n"/>
      <c r="B918" s="28" t="n"/>
      <c r="C918" s="28" t="n"/>
      <c r="D918" s="28" t="n"/>
      <c r="E918" s="28" t="n"/>
      <c r="F918" s="28" t="n"/>
      <c r="G918" s="28" t="n"/>
      <c r="H918" s="28" t="n"/>
      <c r="I918" s="28" t="n"/>
      <c r="J918" s="28" t="n"/>
      <c r="K918" s="28" t="n"/>
    </row>
    <row r="919" ht="12.75" customHeight="1">
      <c r="A919" s="28" t="n"/>
      <c r="B919" s="28" t="n"/>
      <c r="C919" s="28" t="n"/>
      <c r="D919" s="28" t="n"/>
      <c r="E919" s="28" t="n"/>
      <c r="F919" s="28" t="n"/>
      <c r="G919" s="28" t="n"/>
      <c r="H919" s="28" t="n"/>
      <c r="I919" s="28" t="n"/>
      <c r="J919" s="28" t="n"/>
      <c r="K919" s="28" t="n"/>
    </row>
    <row r="920" ht="12.75" customHeight="1">
      <c r="A920" s="28" t="n"/>
      <c r="B920" s="28" t="n"/>
      <c r="C920" s="28" t="n"/>
      <c r="D920" s="28" t="n"/>
      <c r="E920" s="28" t="n"/>
      <c r="F920" s="28" t="n"/>
      <c r="G920" s="28" t="n"/>
      <c r="H920" s="28" t="n"/>
      <c r="I920" s="28" t="n"/>
      <c r="J920" s="28" t="n"/>
      <c r="K920" s="28" t="n"/>
    </row>
    <row r="921" ht="12.75" customHeight="1">
      <c r="A921" s="28" t="n"/>
      <c r="B921" s="28" t="n"/>
      <c r="C921" s="28" t="n"/>
      <c r="D921" s="28" t="n"/>
      <c r="E921" s="28" t="n"/>
      <c r="F921" s="28" t="n"/>
      <c r="G921" s="28" t="n"/>
      <c r="H921" s="28" t="n"/>
      <c r="I921" s="28" t="n"/>
      <c r="J921" s="28" t="n"/>
      <c r="K921" s="28" t="n"/>
    </row>
    <row r="922" ht="12.75" customHeight="1">
      <c r="A922" s="28" t="n"/>
      <c r="B922" s="28" t="n"/>
      <c r="C922" s="28" t="n"/>
      <c r="D922" s="28" t="n"/>
      <c r="E922" s="28" t="n"/>
      <c r="F922" s="28" t="n"/>
      <c r="G922" s="28" t="n"/>
      <c r="H922" s="28" t="n"/>
      <c r="I922" s="28" t="n"/>
      <c r="J922" s="28" t="n"/>
      <c r="K922" s="28" t="n"/>
    </row>
    <row r="923" ht="12.75" customHeight="1">
      <c r="A923" s="28" t="n"/>
      <c r="B923" s="28" t="n"/>
      <c r="C923" s="28" t="n"/>
      <c r="D923" s="28" t="n"/>
      <c r="E923" s="28" t="n"/>
      <c r="F923" s="28" t="n"/>
      <c r="G923" s="28" t="n"/>
      <c r="H923" s="28" t="n"/>
      <c r="I923" s="28" t="n"/>
      <c r="J923" s="28" t="n"/>
      <c r="K923" s="28" t="n"/>
    </row>
    <row r="924" ht="12.75" customHeight="1">
      <c r="A924" s="28" t="n"/>
      <c r="B924" s="28" t="n"/>
      <c r="C924" s="28" t="n"/>
      <c r="D924" s="28" t="n"/>
      <c r="E924" s="28" t="n"/>
      <c r="F924" s="28" t="n"/>
      <c r="G924" s="28" t="n"/>
      <c r="H924" s="28" t="n"/>
      <c r="I924" s="28" t="n"/>
      <c r="J924" s="28" t="n"/>
      <c r="K924" s="28" t="n"/>
    </row>
    <row r="925" ht="12.75" customHeight="1">
      <c r="A925" s="28" t="n"/>
      <c r="B925" s="28" t="n"/>
      <c r="C925" s="28" t="n"/>
      <c r="D925" s="28" t="n"/>
      <c r="E925" s="28" t="n"/>
      <c r="F925" s="28" t="n"/>
      <c r="G925" s="28" t="n"/>
      <c r="H925" s="28" t="n"/>
      <c r="I925" s="28" t="n"/>
      <c r="J925" s="28" t="n"/>
      <c r="K925" s="28" t="n"/>
    </row>
    <row r="926" ht="12.75" customHeight="1">
      <c r="A926" s="28" t="n"/>
      <c r="B926" s="28" t="n"/>
      <c r="C926" s="28" t="n"/>
      <c r="D926" s="28" t="n"/>
      <c r="E926" s="28" t="n"/>
      <c r="F926" s="28" t="n"/>
      <c r="G926" s="28" t="n"/>
      <c r="H926" s="28" t="n"/>
      <c r="I926" s="28" t="n"/>
      <c r="J926" s="28" t="n"/>
      <c r="K926" s="28" t="n"/>
    </row>
    <row r="927" ht="12.75" customHeight="1">
      <c r="A927" s="28" t="n"/>
      <c r="B927" s="28" t="n"/>
      <c r="C927" s="28" t="n"/>
      <c r="D927" s="28" t="n"/>
      <c r="E927" s="28" t="n"/>
      <c r="F927" s="28" t="n"/>
      <c r="G927" s="28" t="n"/>
      <c r="H927" s="28" t="n"/>
      <c r="I927" s="28" t="n"/>
      <c r="J927" s="28" t="n"/>
      <c r="K927" s="28" t="n"/>
    </row>
    <row r="928" ht="12.75" customHeight="1">
      <c r="A928" s="28" t="n"/>
      <c r="B928" s="28" t="n"/>
      <c r="C928" s="28" t="n"/>
      <c r="D928" s="28" t="n"/>
      <c r="E928" s="28" t="n"/>
      <c r="F928" s="28" t="n"/>
      <c r="G928" s="28" t="n"/>
      <c r="H928" s="28" t="n"/>
      <c r="I928" s="28" t="n"/>
      <c r="J928" s="28" t="n"/>
      <c r="K928" s="28" t="n"/>
    </row>
    <row r="929" ht="12.75" customHeight="1">
      <c r="A929" s="28" t="n"/>
      <c r="B929" s="28" t="n"/>
      <c r="C929" s="28" t="n"/>
      <c r="D929" s="28" t="n"/>
      <c r="E929" s="28" t="n"/>
      <c r="F929" s="28" t="n"/>
      <c r="G929" s="28" t="n"/>
      <c r="H929" s="28" t="n"/>
      <c r="I929" s="28" t="n"/>
      <c r="J929" s="28" t="n"/>
      <c r="K929" s="28" t="n"/>
    </row>
    <row r="930" ht="12.75" customHeight="1">
      <c r="A930" s="28" t="n"/>
      <c r="B930" s="28" t="n"/>
      <c r="C930" s="28" t="n"/>
      <c r="D930" s="28" t="n"/>
      <c r="E930" s="28" t="n"/>
      <c r="F930" s="28" t="n"/>
      <c r="G930" s="28" t="n"/>
      <c r="H930" s="28" t="n"/>
      <c r="I930" s="28" t="n"/>
      <c r="J930" s="28" t="n"/>
      <c r="K930" s="28" t="n"/>
    </row>
    <row r="931" ht="12.75" customHeight="1">
      <c r="A931" s="28" t="n"/>
      <c r="B931" s="28" t="n"/>
      <c r="C931" s="28" t="n"/>
      <c r="D931" s="28" t="n"/>
      <c r="E931" s="28" t="n"/>
      <c r="F931" s="28" t="n"/>
      <c r="G931" s="28" t="n"/>
      <c r="H931" s="28" t="n"/>
      <c r="I931" s="28" t="n"/>
      <c r="J931" s="28" t="n"/>
      <c r="K931" s="28" t="n"/>
    </row>
    <row r="932" ht="12.75" customHeight="1">
      <c r="A932" s="28" t="n"/>
      <c r="B932" s="28" t="n"/>
      <c r="C932" s="28" t="n"/>
      <c r="D932" s="28" t="n"/>
      <c r="E932" s="28" t="n"/>
      <c r="F932" s="28" t="n"/>
      <c r="G932" s="28" t="n"/>
      <c r="H932" s="28" t="n"/>
      <c r="I932" s="28" t="n"/>
      <c r="J932" s="28" t="n"/>
      <c r="K932" s="28" t="n"/>
    </row>
    <row r="933" ht="12.75" customHeight="1">
      <c r="A933" s="28" t="n"/>
      <c r="B933" s="28" t="n"/>
      <c r="C933" s="28" t="n"/>
      <c r="D933" s="28" t="n"/>
      <c r="E933" s="28" t="n"/>
      <c r="F933" s="28" t="n"/>
      <c r="G933" s="28" t="n"/>
      <c r="H933" s="28" t="n"/>
      <c r="I933" s="28" t="n"/>
      <c r="J933" s="28" t="n"/>
      <c r="K933" s="28" t="n"/>
    </row>
    <row r="934" ht="12.75" customHeight="1">
      <c r="A934" s="28" t="n"/>
      <c r="B934" s="28" t="n"/>
      <c r="C934" s="28" t="n"/>
      <c r="D934" s="28" t="n"/>
      <c r="E934" s="28" t="n"/>
      <c r="F934" s="28" t="n"/>
      <c r="G934" s="28" t="n"/>
      <c r="H934" s="28" t="n"/>
      <c r="I934" s="28" t="n"/>
      <c r="J934" s="28" t="n"/>
      <c r="K934" s="28" t="n"/>
    </row>
    <row r="935" ht="12.75" customHeight="1">
      <c r="A935" s="28" t="n"/>
      <c r="B935" s="28" t="n"/>
      <c r="C935" s="28" t="n"/>
      <c r="D935" s="28" t="n"/>
      <c r="E935" s="28" t="n"/>
      <c r="F935" s="28" t="n"/>
      <c r="G935" s="28" t="n"/>
      <c r="H935" s="28" t="n"/>
      <c r="I935" s="28" t="n"/>
      <c r="J935" s="28" t="n"/>
      <c r="K935" s="28" t="n"/>
    </row>
    <row r="936" ht="12.75" customHeight="1">
      <c r="A936" s="28" t="n"/>
      <c r="B936" s="28" t="n"/>
      <c r="C936" s="28" t="n"/>
      <c r="D936" s="28" t="n"/>
      <c r="E936" s="28" t="n"/>
      <c r="F936" s="28" t="n"/>
      <c r="G936" s="28" t="n"/>
      <c r="H936" s="28" t="n"/>
      <c r="I936" s="28" t="n"/>
      <c r="J936" s="28" t="n"/>
      <c r="K936" s="28" t="n"/>
    </row>
    <row r="937" ht="12.75" customHeight="1">
      <c r="A937" s="28" t="n"/>
      <c r="B937" s="28" t="n"/>
      <c r="C937" s="28" t="n"/>
      <c r="D937" s="28" t="n"/>
      <c r="E937" s="28" t="n"/>
      <c r="F937" s="28" t="n"/>
      <c r="G937" s="28" t="n"/>
      <c r="H937" s="28" t="n"/>
      <c r="I937" s="28" t="n"/>
      <c r="J937" s="28" t="n"/>
      <c r="K937" s="28" t="n"/>
    </row>
    <row r="938" ht="12.75" customHeight="1">
      <c r="A938" s="28" t="n"/>
      <c r="B938" s="28" t="n"/>
      <c r="C938" s="28" t="n"/>
      <c r="D938" s="28" t="n"/>
      <c r="E938" s="28" t="n"/>
      <c r="F938" s="28" t="n"/>
      <c r="G938" s="28" t="n"/>
      <c r="H938" s="28" t="n"/>
      <c r="I938" s="28" t="n"/>
      <c r="J938" s="28" t="n"/>
      <c r="K938" s="28" t="n"/>
    </row>
    <row r="939" ht="12.75" customHeight="1">
      <c r="A939" s="28" t="n"/>
      <c r="B939" s="28" t="n"/>
      <c r="C939" s="28" t="n"/>
      <c r="D939" s="28" t="n"/>
      <c r="E939" s="28" t="n"/>
      <c r="F939" s="28" t="n"/>
      <c r="G939" s="28" t="n"/>
      <c r="H939" s="28" t="n"/>
      <c r="I939" s="28" t="n"/>
      <c r="J939" s="28" t="n"/>
      <c r="K939" s="28" t="n"/>
    </row>
    <row r="940" ht="12.75" customHeight="1">
      <c r="A940" s="28" t="n"/>
      <c r="B940" s="28" t="n"/>
      <c r="C940" s="28" t="n"/>
      <c r="D940" s="28" t="n"/>
      <c r="E940" s="28" t="n"/>
      <c r="F940" s="28" t="n"/>
      <c r="G940" s="28" t="n"/>
      <c r="H940" s="28" t="n"/>
      <c r="I940" s="28" t="n"/>
      <c r="J940" s="28" t="n"/>
      <c r="K940" s="28" t="n"/>
    </row>
    <row r="941" ht="12.75" customHeight="1">
      <c r="A941" s="28" t="n"/>
      <c r="B941" s="28" t="n"/>
      <c r="C941" s="28" t="n"/>
      <c r="D941" s="28" t="n"/>
      <c r="E941" s="28" t="n"/>
      <c r="F941" s="28" t="n"/>
      <c r="G941" s="28" t="n"/>
      <c r="H941" s="28" t="n"/>
      <c r="I941" s="28" t="n"/>
      <c r="J941" s="28" t="n"/>
      <c r="K941" s="28" t="n"/>
    </row>
    <row r="942" ht="12.75" customHeight="1">
      <c r="A942" s="28" t="n"/>
      <c r="B942" s="28" t="n"/>
      <c r="C942" s="28" t="n"/>
      <c r="D942" s="28" t="n"/>
      <c r="E942" s="28" t="n"/>
      <c r="F942" s="28" t="n"/>
      <c r="G942" s="28" t="n"/>
      <c r="H942" s="28" t="n"/>
      <c r="I942" s="28" t="n"/>
      <c r="J942" s="28" t="n"/>
      <c r="K942" s="28" t="n"/>
    </row>
    <row r="943" ht="12.75" customHeight="1">
      <c r="A943" s="28" t="n"/>
      <c r="B943" s="28" t="n"/>
      <c r="C943" s="28" t="n"/>
      <c r="D943" s="28" t="n"/>
      <c r="E943" s="28" t="n"/>
      <c r="F943" s="28" t="n"/>
      <c r="G943" s="28" t="n"/>
      <c r="H943" s="28" t="n"/>
      <c r="I943" s="28" t="n"/>
      <c r="J943" s="28" t="n"/>
      <c r="K943" s="28" t="n"/>
    </row>
    <row r="944" ht="12.75" customHeight="1">
      <c r="A944" s="28" t="n"/>
      <c r="B944" s="28" t="n"/>
      <c r="C944" s="28" t="n"/>
      <c r="D944" s="28" t="n"/>
      <c r="E944" s="28" t="n"/>
      <c r="F944" s="28" t="n"/>
      <c r="G944" s="28" t="n"/>
      <c r="H944" s="28" t="n"/>
      <c r="I944" s="28" t="n"/>
      <c r="J944" s="28" t="n"/>
      <c r="K944" s="28" t="n"/>
    </row>
    <row r="945" ht="12.75" customHeight="1">
      <c r="A945" s="28" t="n"/>
      <c r="B945" s="28" t="n"/>
      <c r="C945" s="28" t="n"/>
      <c r="D945" s="28" t="n"/>
      <c r="E945" s="28" t="n"/>
      <c r="F945" s="28" t="n"/>
      <c r="G945" s="28" t="n"/>
      <c r="H945" s="28" t="n"/>
      <c r="I945" s="28" t="n"/>
      <c r="J945" s="28" t="n"/>
      <c r="K945" s="28" t="n"/>
    </row>
    <row r="946" ht="12.75" customHeight="1">
      <c r="A946" s="28" t="n"/>
      <c r="B946" s="28" t="n"/>
      <c r="C946" s="28" t="n"/>
      <c r="D946" s="28" t="n"/>
      <c r="E946" s="28" t="n"/>
      <c r="F946" s="28" t="n"/>
      <c r="G946" s="28" t="n"/>
      <c r="H946" s="28" t="n"/>
      <c r="I946" s="28" t="n"/>
      <c r="J946" s="28" t="n"/>
      <c r="K946" s="28" t="n"/>
    </row>
    <row r="947" ht="12.75" customHeight="1">
      <c r="A947" s="28" t="n"/>
      <c r="B947" s="28" t="n"/>
      <c r="C947" s="28" t="n"/>
      <c r="D947" s="28" t="n"/>
      <c r="E947" s="28" t="n"/>
      <c r="F947" s="28" t="n"/>
      <c r="G947" s="28" t="n"/>
      <c r="H947" s="28" t="n"/>
      <c r="I947" s="28" t="n"/>
      <c r="J947" s="28" t="n"/>
      <c r="K947" s="28" t="n"/>
    </row>
    <row r="948" ht="12.75" customHeight="1">
      <c r="A948" s="28" t="n"/>
      <c r="B948" s="28" t="n"/>
      <c r="C948" s="28" t="n"/>
      <c r="D948" s="28" t="n"/>
      <c r="E948" s="28" t="n"/>
      <c r="F948" s="28" t="n"/>
      <c r="G948" s="28" t="n"/>
      <c r="H948" s="28" t="n"/>
      <c r="I948" s="28" t="n"/>
      <c r="J948" s="28" t="n"/>
      <c r="K948" s="28" t="n"/>
    </row>
    <row r="949" ht="12.75" customHeight="1">
      <c r="A949" s="28" t="n"/>
      <c r="B949" s="28" t="n"/>
      <c r="C949" s="28" t="n"/>
      <c r="D949" s="28" t="n"/>
      <c r="E949" s="28" t="n"/>
      <c r="F949" s="28" t="n"/>
      <c r="G949" s="28" t="n"/>
      <c r="H949" s="28" t="n"/>
      <c r="I949" s="28" t="n"/>
      <c r="J949" s="28" t="n"/>
      <c r="K949" s="28" t="n"/>
    </row>
    <row r="950" ht="12.75" customHeight="1">
      <c r="A950" s="28" t="n"/>
      <c r="B950" s="28" t="n"/>
      <c r="C950" s="28" t="n"/>
      <c r="D950" s="28" t="n"/>
      <c r="E950" s="28" t="n"/>
      <c r="F950" s="28" t="n"/>
      <c r="G950" s="28" t="n"/>
      <c r="H950" s="28" t="n"/>
      <c r="I950" s="28" t="n"/>
      <c r="J950" s="28" t="n"/>
      <c r="K950" s="28" t="n"/>
    </row>
    <row r="951" ht="12.75" customHeight="1">
      <c r="A951" s="28" t="n"/>
      <c r="B951" s="28" t="n"/>
      <c r="C951" s="28" t="n"/>
      <c r="D951" s="28" t="n"/>
      <c r="E951" s="28" t="n"/>
      <c r="F951" s="28" t="n"/>
      <c r="G951" s="28" t="n"/>
      <c r="H951" s="28" t="n"/>
      <c r="I951" s="28" t="n"/>
      <c r="J951" s="28" t="n"/>
      <c r="K951" s="28" t="n"/>
    </row>
    <row r="952" ht="12.75" customHeight="1">
      <c r="A952" s="28" t="n"/>
      <c r="B952" s="28" t="n"/>
      <c r="C952" s="28" t="n"/>
      <c r="D952" s="28" t="n"/>
      <c r="E952" s="28" t="n"/>
      <c r="F952" s="28" t="n"/>
      <c r="G952" s="28" t="n"/>
      <c r="H952" s="28" t="n"/>
      <c r="I952" s="28" t="n"/>
      <c r="J952" s="28" t="n"/>
      <c r="K952" s="28" t="n"/>
    </row>
    <row r="953" ht="12.75" customHeight="1">
      <c r="A953" s="28" t="n"/>
      <c r="B953" s="28" t="n"/>
      <c r="C953" s="28" t="n"/>
      <c r="D953" s="28" t="n"/>
      <c r="E953" s="28" t="n"/>
      <c r="F953" s="28" t="n"/>
      <c r="G953" s="28" t="n"/>
      <c r="H953" s="28" t="n"/>
      <c r="I953" s="28" t="n"/>
      <c r="J953" s="28" t="n"/>
      <c r="K953" s="28" t="n"/>
    </row>
    <row r="954" ht="12.75" customHeight="1">
      <c r="A954" s="28" t="n"/>
      <c r="B954" s="28" t="n"/>
      <c r="C954" s="28" t="n"/>
      <c r="D954" s="28" t="n"/>
      <c r="E954" s="28" t="n"/>
      <c r="F954" s="28" t="n"/>
      <c r="G954" s="28" t="n"/>
      <c r="H954" s="28" t="n"/>
      <c r="I954" s="28" t="n"/>
      <c r="J954" s="28" t="n"/>
      <c r="K954" s="28" t="n"/>
    </row>
    <row r="955" ht="12.75" customHeight="1">
      <c r="A955" s="28" t="n"/>
      <c r="B955" s="28" t="n"/>
      <c r="C955" s="28" t="n"/>
      <c r="D955" s="28" t="n"/>
      <c r="E955" s="28" t="n"/>
      <c r="F955" s="28" t="n"/>
      <c r="G955" s="28" t="n"/>
      <c r="H955" s="28" t="n"/>
      <c r="I955" s="28" t="n"/>
      <c r="J955" s="28" t="n"/>
      <c r="K955" s="28" t="n"/>
    </row>
    <row r="956" ht="12.75" customHeight="1">
      <c r="A956" s="28" t="n"/>
      <c r="B956" s="28" t="n"/>
      <c r="C956" s="28" t="n"/>
      <c r="D956" s="28" t="n"/>
      <c r="E956" s="28" t="n"/>
      <c r="F956" s="28" t="n"/>
      <c r="G956" s="28" t="n"/>
      <c r="H956" s="28" t="n"/>
      <c r="I956" s="28" t="n"/>
      <c r="J956" s="28" t="n"/>
      <c r="K956" s="28" t="n"/>
    </row>
    <row r="957" ht="12.75" customHeight="1">
      <c r="A957" s="28" t="n"/>
      <c r="B957" s="28" t="n"/>
      <c r="C957" s="28" t="n"/>
      <c r="D957" s="28" t="n"/>
      <c r="E957" s="28" t="n"/>
      <c r="F957" s="28" t="n"/>
      <c r="G957" s="28" t="n"/>
      <c r="H957" s="28" t="n"/>
      <c r="I957" s="28" t="n"/>
      <c r="J957" s="28" t="n"/>
      <c r="K957" s="28" t="n"/>
    </row>
    <row r="958" ht="12.75" customHeight="1">
      <c r="A958" s="28" t="n"/>
      <c r="B958" s="28" t="n"/>
      <c r="C958" s="28" t="n"/>
      <c r="D958" s="28" t="n"/>
      <c r="E958" s="28" t="n"/>
      <c r="F958" s="28" t="n"/>
      <c r="G958" s="28" t="n"/>
      <c r="H958" s="28" t="n"/>
      <c r="I958" s="28" t="n"/>
      <c r="J958" s="28" t="n"/>
      <c r="K958" s="28" t="n"/>
    </row>
    <row r="959" ht="12.75" customHeight="1">
      <c r="A959" s="28" t="n"/>
      <c r="B959" s="28" t="n"/>
      <c r="C959" s="28" t="n"/>
      <c r="D959" s="28" t="n"/>
      <c r="E959" s="28" t="n"/>
      <c r="F959" s="28" t="n"/>
      <c r="G959" s="28" t="n"/>
      <c r="H959" s="28" t="n"/>
      <c r="I959" s="28" t="n"/>
      <c r="J959" s="28" t="n"/>
      <c r="K959" s="28" t="n"/>
    </row>
    <row r="960" ht="12.75" customHeight="1">
      <c r="A960" s="28" t="n"/>
      <c r="B960" s="28" t="n"/>
      <c r="C960" s="28" t="n"/>
      <c r="D960" s="28" t="n"/>
      <c r="E960" s="28" t="n"/>
      <c r="F960" s="28" t="n"/>
      <c r="G960" s="28" t="n"/>
      <c r="H960" s="28" t="n"/>
      <c r="I960" s="28" t="n"/>
      <c r="J960" s="28" t="n"/>
      <c r="K960" s="28" t="n"/>
    </row>
    <row r="961" ht="12.75" customHeight="1">
      <c r="A961" s="28" t="n"/>
      <c r="B961" s="28" t="n"/>
      <c r="C961" s="28" t="n"/>
      <c r="D961" s="28" t="n"/>
      <c r="E961" s="28" t="n"/>
      <c r="F961" s="28" t="n"/>
      <c r="G961" s="28" t="n"/>
      <c r="H961" s="28" t="n"/>
      <c r="I961" s="28" t="n"/>
      <c r="J961" s="28" t="n"/>
      <c r="K961" s="28" t="n"/>
    </row>
    <row r="962" ht="12.75" customHeight="1">
      <c r="A962" s="28" t="n"/>
      <c r="B962" s="28" t="n"/>
      <c r="C962" s="28" t="n"/>
      <c r="D962" s="28" t="n"/>
      <c r="E962" s="28" t="n"/>
      <c r="F962" s="28" t="n"/>
      <c r="G962" s="28" t="n"/>
      <c r="H962" s="28" t="n"/>
      <c r="I962" s="28" t="n"/>
      <c r="J962" s="28" t="n"/>
      <c r="K962" s="28" t="n"/>
    </row>
    <row r="963" ht="12.75" customHeight="1">
      <c r="A963" s="28" t="n"/>
      <c r="B963" s="28" t="n"/>
      <c r="C963" s="28" t="n"/>
      <c r="D963" s="28" t="n"/>
      <c r="E963" s="28" t="n"/>
      <c r="F963" s="28" t="n"/>
      <c r="G963" s="28" t="n"/>
      <c r="H963" s="28" t="n"/>
      <c r="I963" s="28" t="n"/>
      <c r="J963" s="28" t="n"/>
      <c r="K963" s="28" t="n"/>
    </row>
    <row r="964" ht="12.75" customHeight="1">
      <c r="A964" s="28" t="n"/>
      <c r="B964" s="28" t="n"/>
      <c r="C964" s="28" t="n"/>
      <c r="D964" s="28" t="n"/>
      <c r="E964" s="28" t="n"/>
      <c r="F964" s="28" t="n"/>
      <c r="G964" s="28" t="n"/>
      <c r="H964" s="28" t="n"/>
      <c r="I964" s="28" t="n"/>
      <c r="J964" s="28" t="n"/>
      <c r="K964" s="28" t="n"/>
    </row>
    <row r="965" ht="12.75" customHeight="1">
      <c r="A965" s="28" t="n"/>
      <c r="B965" s="28" t="n"/>
      <c r="C965" s="28" t="n"/>
      <c r="D965" s="28" t="n"/>
      <c r="E965" s="28" t="n"/>
      <c r="F965" s="28" t="n"/>
      <c r="G965" s="28" t="n"/>
      <c r="H965" s="28" t="n"/>
      <c r="I965" s="28" t="n"/>
      <c r="J965" s="28" t="n"/>
      <c r="K965" s="28" t="n"/>
    </row>
    <row r="966" ht="12.75" customHeight="1">
      <c r="A966" s="28" t="n"/>
      <c r="B966" s="28" t="n"/>
      <c r="C966" s="28" t="n"/>
      <c r="D966" s="28" t="n"/>
      <c r="E966" s="28" t="n"/>
      <c r="F966" s="28" t="n"/>
      <c r="G966" s="28" t="n"/>
      <c r="H966" s="28" t="n"/>
      <c r="I966" s="28" t="n"/>
      <c r="J966" s="28" t="n"/>
      <c r="K966" s="28" t="n"/>
    </row>
    <row r="967" ht="12.75" customHeight="1">
      <c r="A967" s="28" t="n"/>
      <c r="B967" s="28" t="n"/>
      <c r="C967" s="28" t="n"/>
      <c r="D967" s="28" t="n"/>
      <c r="E967" s="28" t="n"/>
      <c r="F967" s="28" t="n"/>
      <c r="G967" s="28" t="n"/>
      <c r="H967" s="28" t="n"/>
      <c r="I967" s="28" t="n"/>
      <c r="J967" s="28" t="n"/>
      <c r="K967" s="28" t="n"/>
    </row>
    <row r="968" ht="12.75" customHeight="1">
      <c r="A968" s="28" t="n"/>
      <c r="B968" s="28" t="n"/>
      <c r="C968" s="28" t="n"/>
      <c r="D968" s="28" t="n"/>
      <c r="E968" s="28" t="n"/>
      <c r="F968" s="28" t="n"/>
      <c r="G968" s="28" t="n"/>
      <c r="H968" s="28" t="n"/>
      <c r="I968" s="28" t="n"/>
      <c r="J968" s="28" t="n"/>
      <c r="K968" s="28" t="n"/>
    </row>
    <row r="969" ht="12.75" customHeight="1">
      <c r="A969" s="28" t="n"/>
      <c r="B969" s="28" t="n"/>
      <c r="C969" s="28" t="n"/>
      <c r="D969" s="28" t="n"/>
      <c r="E969" s="28" t="n"/>
      <c r="F969" s="28" t="n"/>
      <c r="G969" s="28" t="n"/>
      <c r="H969" s="28" t="n"/>
      <c r="I969" s="28" t="n"/>
      <c r="J969" s="28" t="n"/>
      <c r="K969" s="28" t="n"/>
    </row>
    <row r="970" ht="12.75" customHeight="1">
      <c r="A970" s="28" t="n"/>
      <c r="B970" s="28" t="n"/>
      <c r="C970" s="28" t="n"/>
      <c r="D970" s="28" t="n"/>
      <c r="E970" s="28" t="n"/>
      <c r="F970" s="28" t="n"/>
      <c r="G970" s="28" t="n"/>
      <c r="H970" s="28" t="n"/>
      <c r="I970" s="28" t="n"/>
      <c r="J970" s="28" t="n"/>
      <c r="K970" s="28" t="n"/>
    </row>
    <row r="971" ht="12.75" customHeight="1">
      <c r="A971" s="28" t="n"/>
      <c r="B971" s="28" t="n"/>
      <c r="C971" s="28" t="n"/>
      <c r="D971" s="28" t="n"/>
      <c r="E971" s="28" t="n"/>
      <c r="F971" s="28" t="n"/>
      <c r="G971" s="28" t="n"/>
      <c r="H971" s="28" t="n"/>
      <c r="I971" s="28" t="n"/>
      <c r="J971" s="28" t="n"/>
      <c r="K971" s="28" t="n"/>
    </row>
    <row r="972" ht="12.75" customHeight="1">
      <c r="A972" s="28" t="n"/>
      <c r="B972" s="28" t="n"/>
      <c r="C972" s="28" t="n"/>
      <c r="D972" s="28" t="n"/>
      <c r="E972" s="28" t="n"/>
      <c r="F972" s="28" t="n"/>
      <c r="G972" s="28" t="n"/>
      <c r="H972" s="28" t="n"/>
      <c r="I972" s="28" t="n"/>
      <c r="J972" s="28" t="n"/>
      <c r="K972" s="28" t="n"/>
    </row>
    <row r="973" ht="12.75" customHeight="1">
      <c r="A973" s="28" t="n"/>
      <c r="B973" s="28" t="n"/>
      <c r="C973" s="28" t="n"/>
      <c r="D973" s="28" t="n"/>
      <c r="E973" s="28" t="n"/>
      <c r="F973" s="28" t="n"/>
      <c r="G973" s="28" t="n"/>
      <c r="H973" s="28" t="n"/>
      <c r="I973" s="28" t="n"/>
      <c r="J973" s="28" t="n"/>
      <c r="K973" s="28" t="n"/>
    </row>
    <row r="974" ht="12.75" customHeight="1">
      <c r="A974" s="28" t="n"/>
      <c r="B974" s="28" t="n"/>
      <c r="C974" s="28" t="n"/>
      <c r="D974" s="28" t="n"/>
      <c r="E974" s="28" t="n"/>
      <c r="F974" s="28" t="n"/>
      <c r="G974" s="28" t="n"/>
      <c r="H974" s="28" t="n"/>
      <c r="I974" s="28" t="n"/>
      <c r="J974" s="28" t="n"/>
      <c r="K974" s="28" t="n"/>
    </row>
    <row r="975" ht="12.75" customHeight="1">
      <c r="A975" s="28" t="n"/>
      <c r="B975" s="28" t="n"/>
      <c r="C975" s="28" t="n"/>
      <c r="D975" s="28" t="n"/>
      <c r="E975" s="28" t="n"/>
      <c r="F975" s="28" t="n"/>
      <c r="G975" s="28" t="n"/>
      <c r="H975" s="28" t="n"/>
      <c r="I975" s="28" t="n"/>
      <c r="J975" s="28" t="n"/>
      <c r="K975" s="28" t="n"/>
    </row>
    <row r="976" ht="12.75" customHeight="1">
      <c r="A976" s="28" t="n"/>
      <c r="B976" s="28" t="n"/>
      <c r="C976" s="28" t="n"/>
      <c r="D976" s="28" t="n"/>
      <c r="E976" s="28" t="n"/>
      <c r="F976" s="28" t="n"/>
      <c r="G976" s="28" t="n"/>
      <c r="H976" s="28" t="n"/>
      <c r="I976" s="28" t="n"/>
      <c r="J976" s="28" t="n"/>
      <c r="K976" s="28" t="n"/>
    </row>
    <row r="977" ht="12.75" customHeight="1">
      <c r="A977" s="28" t="n"/>
      <c r="B977" s="28" t="n"/>
      <c r="C977" s="28" t="n"/>
      <c r="D977" s="28" t="n"/>
      <c r="E977" s="28" t="n"/>
      <c r="F977" s="28" t="n"/>
      <c r="G977" s="28" t="n"/>
      <c r="H977" s="28" t="n"/>
      <c r="I977" s="28" t="n"/>
      <c r="J977" s="28" t="n"/>
      <c r="K977" s="28" t="n"/>
    </row>
    <row r="978" ht="12.75" customHeight="1">
      <c r="A978" s="28" t="n"/>
      <c r="B978" s="28" t="n"/>
      <c r="C978" s="28" t="n"/>
      <c r="D978" s="28" t="n"/>
      <c r="E978" s="28" t="n"/>
      <c r="F978" s="28" t="n"/>
      <c r="G978" s="28" t="n"/>
      <c r="H978" s="28" t="n"/>
      <c r="I978" s="28" t="n"/>
      <c r="J978" s="28" t="n"/>
      <c r="K978" s="28" t="n"/>
    </row>
    <row r="979" ht="12.75" customHeight="1">
      <c r="A979" s="28" t="n"/>
      <c r="B979" s="28" t="n"/>
      <c r="C979" s="28" t="n"/>
      <c r="D979" s="28" t="n"/>
      <c r="E979" s="28" t="n"/>
      <c r="F979" s="28" t="n"/>
      <c r="G979" s="28" t="n"/>
      <c r="H979" s="28" t="n"/>
      <c r="I979" s="28" t="n"/>
      <c r="J979" s="28" t="n"/>
      <c r="K979" s="28" t="n"/>
    </row>
    <row r="980" ht="12.75" customHeight="1">
      <c r="A980" s="28" t="n"/>
      <c r="B980" s="28" t="n"/>
      <c r="C980" s="28" t="n"/>
      <c r="D980" s="28" t="n"/>
      <c r="E980" s="28" t="n"/>
      <c r="F980" s="28" t="n"/>
      <c r="G980" s="28" t="n"/>
      <c r="H980" s="28" t="n"/>
      <c r="I980" s="28" t="n"/>
      <c r="J980" s="28" t="n"/>
      <c r="K980" s="28" t="n"/>
    </row>
    <row r="981" ht="12.75" customHeight="1">
      <c r="A981" s="28" t="n"/>
      <c r="B981" s="28" t="n"/>
      <c r="C981" s="28" t="n"/>
      <c r="D981" s="28" t="n"/>
      <c r="E981" s="28" t="n"/>
      <c r="F981" s="28" t="n"/>
      <c r="G981" s="28" t="n"/>
      <c r="H981" s="28" t="n"/>
      <c r="I981" s="28" t="n"/>
      <c r="J981" s="28" t="n"/>
      <c r="K981" s="28" t="n"/>
    </row>
    <row r="982" ht="12.75" customHeight="1">
      <c r="A982" s="28" t="n"/>
      <c r="B982" s="28" t="n"/>
      <c r="C982" s="28" t="n"/>
      <c r="D982" s="28" t="n"/>
      <c r="E982" s="28" t="n"/>
      <c r="F982" s="28" t="n"/>
      <c r="G982" s="28" t="n"/>
      <c r="H982" s="28" t="n"/>
      <c r="I982" s="28" t="n"/>
      <c r="J982" s="28" t="n"/>
      <c r="K982" s="28" t="n"/>
    </row>
    <row r="983" ht="12.75" customHeight="1">
      <c r="A983" s="28" t="n"/>
      <c r="B983" s="28" t="n"/>
      <c r="C983" s="28" t="n"/>
      <c r="D983" s="28" t="n"/>
      <c r="E983" s="28" t="n"/>
      <c r="F983" s="28" t="n"/>
      <c r="G983" s="28" t="n"/>
      <c r="H983" s="28" t="n"/>
      <c r="I983" s="28" t="n"/>
      <c r="J983" s="28" t="n"/>
      <c r="K983" s="28" t="n"/>
    </row>
    <row r="984" ht="12.75" customHeight="1">
      <c r="A984" s="28" t="n"/>
      <c r="B984" s="28" t="n"/>
      <c r="C984" s="28" t="n"/>
      <c r="D984" s="28" t="n"/>
      <c r="E984" s="28" t="n"/>
      <c r="F984" s="28" t="n"/>
      <c r="G984" s="28" t="n"/>
      <c r="H984" s="28" t="n"/>
      <c r="I984" s="28" t="n"/>
      <c r="J984" s="28" t="n"/>
      <c r="K984" s="28" t="n"/>
    </row>
    <row r="985" ht="12.75" customHeight="1">
      <c r="A985" s="28" t="n"/>
      <c r="B985" s="28" t="n"/>
      <c r="C985" s="28" t="n"/>
      <c r="D985" s="28" t="n"/>
      <c r="E985" s="28" t="n"/>
      <c r="F985" s="28" t="n"/>
      <c r="G985" s="28" t="n"/>
      <c r="H985" s="28" t="n"/>
      <c r="I985" s="28" t="n"/>
      <c r="J985" s="28" t="n"/>
      <c r="K985" s="28" t="n"/>
    </row>
    <row r="986" ht="12.75" customHeight="1">
      <c r="A986" s="28" t="n"/>
      <c r="B986" s="28" t="n"/>
      <c r="C986" s="28" t="n"/>
      <c r="D986" s="28" t="n"/>
      <c r="E986" s="28" t="n"/>
      <c r="F986" s="28" t="n"/>
      <c r="G986" s="28" t="n"/>
      <c r="H986" s="28" t="n"/>
      <c r="I986" s="28" t="n"/>
      <c r="J986" s="28" t="n"/>
      <c r="K986" s="28" t="n"/>
    </row>
    <row r="987" ht="12.75" customHeight="1">
      <c r="A987" s="28" t="n"/>
      <c r="B987" s="28" t="n"/>
      <c r="C987" s="28" t="n"/>
      <c r="D987" s="28" t="n"/>
      <c r="E987" s="28" t="n"/>
      <c r="F987" s="28" t="n"/>
      <c r="G987" s="28" t="n"/>
      <c r="H987" s="28" t="n"/>
      <c r="I987" s="28" t="n"/>
      <c r="J987" s="28" t="n"/>
      <c r="K987" s="28" t="n"/>
    </row>
    <row r="988" ht="12.75" customHeight="1">
      <c r="A988" s="28" t="n"/>
      <c r="B988" s="28" t="n"/>
      <c r="C988" s="28" t="n"/>
      <c r="D988" s="28" t="n"/>
      <c r="E988" s="28" t="n"/>
      <c r="F988" s="28" t="n"/>
      <c r="G988" s="28" t="n"/>
      <c r="H988" s="28" t="n"/>
      <c r="I988" s="28" t="n"/>
      <c r="J988" s="28" t="n"/>
      <c r="K988" s="28" t="n"/>
    </row>
    <row r="989" ht="12.75" customHeight="1">
      <c r="A989" s="28" t="n"/>
      <c r="B989" s="28" t="n"/>
      <c r="C989" s="28" t="n"/>
      <c r="D989" s="28" t="n"/>
      <c r="E989" s="28" t="n"/>
      <c r="F989" s="28" t="n"/>
      <c r="G989" s="28" t="n"/>
      <c r="H989" s="28" t="n"/>
      <c r="I989" s="28" t="n"/>
      <c r="J989" s="28" t="n"/>
      <c r="K989" s="28" t="n"/>
    </row>
    <row r="990" ht="12.75" customHeight="1">
      <c r="A990" s="28" t="n"/>
      <c r="B990" s="28" t="n"/>
      <c r="C990" s="28" t="n"/>
      <c r="D990" s="28" t="n"/>
      <c r="E990" s="28" t="n"/>
      <c r="F990" s="28" t="n"/>
      <c r="G990" s="28" t="n"/>
      <c r="H990" s="28" t="n"/>
      <c r="I990" s="28" t="n"/>
      <c r="J990" s="28" t="n"/>
      <c r="K990" s="28" t="n"/>
    </row>
    <row r="991" ht="12.75" customHeight="1">
      <c r="A991" s="28" t="n"/>
      <c r="B991" s="28" t="n"/>
      <c r="C991" s="28" t="n"/>
      <c r="D991" s="28" t="n"/>
      <c r="E991" s="28" t="n"/>
      <c r="F991" s="28" t="n"/>
      <c r="G991" s="28" t="n"/>
      <c r="H991" s="28" t="n"/>
      <c r="I991" s="28" t="n"/>
      <c r="J991" s="28" t="n"/>
      <c r="K991" s="28" t="n"/>
    </row>
    <row r="992" ht="12.75" customHeight="1">
      <c r="A992" s="28" t="n"/>
      <c r="B992" s="28" t="n"/>
      <c r="C992" s="28" t="n"/>
      <c r="D992" s="28" t="n"/>
      <c r="E992" s="28" t="n"/>
      <c r="F992" s="28" t="n"/>
      <c r="G992" s="28" t="n"/>
      <c r="H992" s="28" t="n"/>
      <c r="I992" s="28" t="n"/>
      <c r="J992" s="28" t="n"/>
      <c r="K992" s="28" t="n"/>
    </row>
    <row r="993" ht="12.75" customHeight="1">
      <c r="A993" s="28" t="n"/>
      <c r="B993" s="28" t="n"/>
      <c r="C993" s="28" t="n"/>
      <c r="D993" s="28" t="n"/>
      <c r="E993" s="28" t="n"/>
      <c r="F993" s="28" t="n"/>
      <c r="G993" s="28" t="n"/>
      <c r="H993" s="28" t="n"/>
      <c r="I993" s="28" t="n"/>
      <c r="J993" s="28" t="n"/>
      <c r="K993" s="28" t="n"/>
    </row>
    <row r="994" ht="12.75" customHeight="1">
      <c r="A994" s="28" t="n"/>
      <c r="B994" s="28" t="n"/>
      <c r="C994" s="28" t="n"/>
      <c r="D994" s="28" t="n"/>
      <c r="E994" s="28" t="n"/>
      <c r="F994" s="28" t="n"/>
      <c r="G994" s="28" t="n"/>
      <c r="H994" s="28" t="n"/>
      <c r="I994" s="28" t="n"/>
      <c r="J994" s="28" t="n"/>
      <c r="K994" s="28" t="n"/>
    </row>
    <row r="995" ht="12.75" customHeight="1">
      <c r="A995" s="28" t="n"/>
      <c r="B995" s="28" t="n"/>
      <c r="C995" s="28" t="n"/>
      <c r="D995" s="28" t="n"/>
      <c r="E995" s="28" t="n"/>
      <c r="F995" s="28" t="n"/>
      <c r="G995" s="28" t="n"/>
      <c r="H995" s="28" t="n"/>
      <c r="I995" s="28" t="n"/>
      <c r="J995" s="28" t="n"/>
      <c r="K995" s="28" t="n"/>
    </row>
    <row r="996" ht="12.75" customHeight="1">
      <c r="A996" s="28" t="n"/>
      <c r="B996" s="28" t="n"/>
      <c r="C996" s="28" t="n"/>
      <c r="D996" s="28" t="n"/>
      <c r="E996" s="28" t="n"/>
      <c r="F996" s="28" t="n"/>
      <c r="G996" s="28" t="n"/>
      <c r="H996" s="28" t="n"/>
      <c r="I996" s="28" t="n"/>
      <c r="J996" s="28" t="n"/>
      <c r="K996" s="28" t="n"/>
    </row>
    <row r="997" ht="12.75" customHeight="1">
      <c r="A997" s="28" t="n"/>
      <c r="B997" s="28" t="n"/>
      <c r="C997" s="28" t="n"/>
      <c r="D997" s="28" t="n"/>
      <c r="E997" s="28" t="n"/>
      <c r="F997" s="28" t="n"/>
      <c r="G997" s="28" t="n"/>
      <c r="H997" s="28" t="n"/>
      <c r="I997" s="28" t="n"/>
      <c r="J997" s="28" t="n"/>
      <c r="K997" s="28" t="n"/>
    </row>
    <row r="998" ht="12.75" customHeight="1">
      <c r="A998" s="28" t="n"/>
      <c r="B998" s="28" t="n"/>
      <c r="C998" s="28" t="n"/>
      <c r="D998" s="28" t="n"/>
      <c r="E998" s="28" t="n"/>
      <c r="F998" s="28" t="n"/>
      <c r="G998" s="28" t="n"/>
      <c r="H998" s="28" t="n"/>
      <c r="I998" s="28" t="n"/>
      <c r="J998" s="28" t="n"/>
      <c r="K998" s="28" t="n"/>
    </row>
    <row r="999" ht="12.75" customHeight="1">
      <c r="A999" s="28" t="n"/>
      <c r="B999" s="28" t="n"/>
      <c r="C999" s="28" t="n"/>
      <c r="D999" s="28" t="n"/>
      <c r="E999" s="28" t="n"/>
      <c r="F999" s="28" t="n"/>
      <c r="G999" s="28" t="n"/>
      <c r="H999" s="28" t="n"/>
      <c r="I999" s="28" t="n"/>
      <c r="J999" s="28" t="n"/>
      <c r="K999" s="28" t="n"/>
    </row>
    <row r="1000" ht="12.75" customHeight="1">
      <c r="A1000" s="28" t="n"/>
      <c r="B1000" s="28" t="n"/>
      <c r="C1000" s="28" t="n"/>
      <c r="D1000" s="28" t="n"/>
      <c r="E1000" s="28" t="n"/>
      <c r="F1000" s="28" t="n"/>
      <c r="G1000" s="28" t="n"/>
      <c r="H1000" s="28" t="n"/>
      <c r="I1000" s="28" t="n"/>
      <c r="J1000" s="28" t="n"/>
      <c r="K1000" s="28" t="n"/>
    </row>
  </sheetData>
  <autoFilter ref="A1:K110"/>
  <printOptions horizontalCentered="1" gridLines="1"/>
  <pageMargins left="0.7" right="0.7" top="0.75" bottom="0.75" header="0" footer="0"/>
  <pageSetup orientation="landscape" paperSize="9" fitToHeight="0" pageOrder="overThenDown" cellComments="atEnd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53"/>
  <sheetViews>
    <sheetView workbookViewId="0">
      <pane ySplit="1" topLeftCell="A616" activePane="bottomLeft" state="frozen"/>
      <selection pane="bottomLeft" activeCell="D471" sqref="D471"/>
    </sheetView>
  </sheetViews>
  <sheetFormatPr baseColWidth="8" defaultRowHeight="12.75"/>
  <cols>
    <col width="14.28515625" bestFit="1" customWidth="1" min="1" max="1"/>
    <col width="17" bestFit="1" customWidth="1" min="2" max="2"/>
    <col width="29.85546875" bestFit="1" customWidth="1" min="3" max="3"/>
    <col width="16" bestFit="1" customWidth="1" min="4" max="4"/>
    <col width="107.7109375" bestFit="1" customWidth="1" min="5" max="5"/>
    <col width="13.140625" bestFit="1" customWidth="1" min="6" max="6"/>
    <col width="113.85546875" bestFit="1" customWidth="1" min="7" max="7"/>
    <col width="17" bestFit="1" customWidth="1" min="8" max="8"/>
    <col width="35.28515625" bestFit="1" customWidth="1" min="9" max="10"/>
    <col width="29.28515625" bestFit="1" customWidth="1" min="11" max="11"/>
    <col width="20.28515625" bestFit="1" customWidth="1" min="12" max="12"/>
  </cols>
  <sheetData>
    <row r="1" ht="14.25" customHeight="1">
      <c r="A1" s="30" t="inlineStr">
        <is>
          <t>REGIÃO</t>
        </is>
      </c>
      <c r="B1" s="31" t="inlineStr">
        <is>
          <t>CIDADE</t>
        </is>
      </c>
      <c r="C1" s="31" t="inlineStr">
        <is>
          <t>NÚMERO DO TRECHO</t>
        </is>
      </c>
      <c r="D1" s="31" t="inlineStr">
        <is>
          <t>RODOVIA</t>
        </is>
      </c>
      <c r="E1" s="31" t="inlineStr">
        <is>
          <t>TRECHO</t>
        </is>
      </c>
      <c r="F1" s="31" t="inlineStr">
        <is>
          <t>SRE</t>
        </is>
      </c>
      <c r="G1" s="31" t="inlineStr">
        <is>
          <t>SEGMENTO</t>
        </is>
      </c>
      <c r="H1" s="31" t="inlineStr">
        <is>
          <t>SITUAÇÃO</t>
        </is>
      </c>
      <c r="I1" s="31" t="inlineStr">
        <is>
          <t>COORDENADA INICIAL</t>
        </is>
      </c>
      <c r="J1" s="31" t="inlineStr">
        <is>
          <t>COORDENADA FINAL</t>
        </is>
      </c>
      <c r="K1" s="32" t="inlineStr">
        <is>
          <t>EXTENSÃO REAL (km)</t>
        </is>
      </c>
      <c r="L1" s="34" t="inlineStr">
        <is>
          <t>ABA ORIGEM</t>
        </is>
      </c>
    </row>
    <row r="2">
      <c r="A2" s="35">
        <f>'REGIÃO 1'!A2</f>
        <v/>
      </c>
      <c r="B2">
        <f>'REGIÃO 1'!B2</f>
        <v/>
      </c>
      <c r="C2" s="35">
        <f>'REGIÃO 1'!C2</f>
        <v/>
      </c>
      <c r="D2">
        <f>'REGIÃO 1'!D2</f>
        <v/>
      </c>
      <c r="E2">
        <f>'REGIÃO 1'!E2</f>
        <v/>
      </c>
      <c r="F2">
        <f>'REGIÃO 1'!F2</f>
        <v/>
      </c>
      <c r="G2">
        <f>'REGIÃO 1'!G2</f>
        <v/>
      </c>
      <c r="H2">
        <f>'REGIÃO 1'!H2</f>
        <v/>
      </c>
      <c r="I2">
        <f>'REGIÃO 1'!I2</f>
        <v/>
      </c>
      <c r="J2">
        <f>'REGIÃO 1'!J2</f>
        <v/>
      </c>
      <c r="K2" s="36">
        <f>'REGIÃO 1'!K2</f>
        <v/>
      </c>
      <c r="L2" t="inlineStr">
        <is>
          <t>REGIÃO 1</t>
        </is>
      </c>
    </row>
    <row r="3">
      <c r="A3">
        <f>'REGIÃO 1'!A3</f>
        <v/>
      </c>
      <c r="B3">
        <f>'REGIÃO 1'!B3</f>
        <v/>
      </c>
      <c r="C3">
        <f>'REGIÃO 1'!C3</f>
        <v/>
      </c>
      <c r="D3">
        <f>'REGIÃO 1'!D3</f>
        <v/>
      </c>
      <c r="E3">
        <f>'REGIÃO 1'!E3</f>
        <v/>
      </c>
      <c r="F3">
        <f>'REGIÃO 1'!F3</f>
        <v/>
      </c>
      <c r="G3">
        <f>'REGIÃO 1'!G3</f>
        <v/>
      </c>
      <c r="H3">
        <f>'REGIÃO 1'!H3</f>
        <v/>
      </c>
      <c r="I3">
        <f>'REGIÃO 1'!I3</f>
        <v/>
      </c>
      <c r="J3">
        <f>'REGIÃO 1'!J3</f>
        <v/>
      </c>
      <c r="K3" s="36">
        <f>'REGIÃO 1'!K3</f>
        <v/>
      </c>
      <c r="L3" t="inlineStr">
        <is>
          <t>REGIÃO 1</t>
        </is>
      </c>
    </row>
    <row r="4">
      <c r="A4">
        <f>'REGIÃO 1'!A4</f>
        <v/>
      </c>
      <c r="B4">
        <f>'REGIÃO 1'!B4</f>
        <v/>
      </c>
      <c r="C4">
        <f>'REGIÃO 1'!C4</f>
        <v/>
      </c>
      <c r="D4">
        <f>'REGIÃO 1'!D4</f>
        <v/>
      </c>
      <c r="E4">
        <f>'REGIÃO 1'!E4</f>
        <v/>
      </c>
      <c r="F4">
        <f>'REGIÃO 1'!F4</f>
        <v/>
      </c>
      <c r="G4">
        <f>'REGIÃO 1'!G4</f>
        <v/>
      </c>
      <c r="H4">
        <f>'REGIÃO 1'!H4</f>
        <v/>
      </c>
      <c r="I4">
        <f>'REGIÃO 1'!I4</f>
        <v/>
      </c>
      <c r="J4">
        <f>'REGIÃO 1'!J4</f>
        <v/>
      </c>
      <c r="K4" s="36">
        <f>'REGIÃO 1'!K4</f>
        <v/>
      </c>
      <c r="L4" t="inlineStr">
        <is>
          <t>REGIÃO 1</t>
        </is>
      </c>
    </row>
    <row r="5">
      <c r="A5">
        <f>'REGIÃO 1'!A5</f>
        <v/>
      </c>
      <c r="B5">
        <f>'REGIÃO 1'!B5</f>
        <v/>
      </c>
      <c r="C5">
        <f>'REGIÃO 1'!C5</f>
        <v/>
      </c>
      <c r="D5">
        <f>'REGIÃO 1'!D5</f>
        <v/>
      </c>
      <c r="E5">
        <f>'REGIÃO 1'!E5</f>
        <v/>
      </c>
      <c r="F5">
        <f>'REGIÃO 1'!F5</f>
        <v/>
      </c>
      <c r="G5">
        <f>'REGIÃO 1'!G5</f>
        <v/>
      </c>
      <c r="H5">
        <f>'REGIÃO 1'!H5</f>
        <v/>
      </c>
      <c r="I5">
        <f>'REGIÃO 1'!I5</f>
        <v/>
      </c>
      <c r="J5">
        <f>'REGIÃO 1'!J5</f>
        <v/>
      </c>
      <c r="K5" s="36">
        <f>'REGIÃO 1'!K5</f>
        <v/>
      </c>
      <c r="L5" t="inlineStr">
        <is>
          <t>REGIÃO 1</t>
        </is>
      </c>
    </row>
    <row r="6">
      <c r="A6">
        <f>'REGIÃO 1'!A6</f>
        <v/>
      </c>
      <c r="B6">
        <f>'REGIÃO 1'!B6</f>
        <v/>
      </c>
      <c r="C6">
        <f>'REGIÃO 1'!C6</f>
        <v/>
      </c>
      <c r="D6">
        <f>'REGIÃO 1'!D6</f>
        <v/>
      </c>
      <c r="E6">
        <f>'REGIÃO 1'!E6</f>
        <v/>
      </c>
      <c r="F6">
        <f>'REGIÃO 1'!F6</f>
        <v/>
      </c>
      <c r="G6">
        <f>'REGIÃO 1'!G6</f>
        <v/>
      </c>
      <c r="H6">
        <f>'REGIÃO 1'!H6</f>
        <v/>
      </c>
      <c r="I6">
        <f>'REGIÃO 1'!I6</f>
        <v/>
      </c>
      <c r="J6">
        <f>'REGIÃO 1'!J6</f>
        <v/>
      </c>
      <c r="K6" s="36">
        <f>'REGIÃO 1'!K6</f>
        <v/>
      </c>
      <c r="L6" t="inlineStr">
        <is>
          <t>REGIÃO 1</t>
        </is>
      </c>
    </row>
    <row r="7">
      <c r="A7">
        <f>'REGIÃO 1'!A7</f>
        <v/>
      </c>
      <c r="B7">
        <f>'REGIÃO 1'!B7</f>
        <v/>
      </c>
      <c r="C7">
        <f>'REGIÃO 1'!C7</f>
        <v/>
      </c>
      <c r="D7">
        <f>'REGIÃO 1'!D7</f>
        <v/>
      </c>
      <c r="E7">
        <f>'REGIÃO 1'!E7</f>
        <v/>
      </c>
      <c r="F7">
        <f>'REGIÃO 1'!F7</f>
        <v/>
      </c>
      <c r="G7">
        <f>'REGIÃO 1'!G7</f>
        <v/>
      </c>
      <c r="H7">
        <f>'REGIÃO 1'!H7</f>
        <v/>
      </c>
      <c r="I7">
        <f>'REGIÃO 1'!I7</f>
        <v/>
      </c>
      <c r="J7">
        <f>'REGIÃO 1'!J7</f>
        <v/>
      </c>
      <c r="K7" s="36">
        <f>'REGIÃO 1'!K7</f>
        <v/>
      </c>
      <c r="L7" t="inlineStr">
        <is>
          <t>REGIÃO 1</t>
        </is>
      </c>
    </row>
    <row r="8">
      <c r="A8">
        <f>'REGIÃO 1'!A8</f>
        <v/>
      </c>
      <c r="B8">
        <f>'REGIÃO 1'!B8</f>
        <v/>
      </c>
      <c r="C8">
        <f>'REGIÃO 1'!C8</f>
        <v/>
      </c>
      <c r="D8">
        <f>'REGIÃO 1'!D8</f>
        <v/>
      </c>
      <c r="E8">
        <f>'REGIÃO 1'!E8</f>
        <v/>
      </c>
      <c r="F8">
        <f>'REGIÃO 1'!F8</f>
        <v/>
      </c>
      <c r="G8">
        <f>'REGIÃO 1'!G8</f>
        <v/>
      </c>
      <c r="H8">
        <f>'REGIÃO 1'!H8</f>
        <v/>
      </c>
      <c r="I8">
        <f>'REGIÃO 1'!I8</f>
        <v/>
      </c>
      <c r="J8">
        <f>'REGIÃO 1'!J8</f>
        <v/>
      </c>
      <c r="K8" s="36">
        <f>'REGIÃO 1'!K8</f>
        <v/>
      </c>
      <c r="L8" t="inlineStr">
        <is>
          <t>REGIÃO 1</t>
        </is>
      </c>
    </row>
    <row r="9">
      <c r="A9">
        <f>'REGIÃO 1'!A9</f>
        <v/>
      </c>
      <c r="B9">
        <f>'REGIÃO 1'!B9</f>
        <v/>
      </c>
      <c r="C9">
        <f>'REGIÃO 1'!C9</f>
        <v/>
      </c>
      <c r="D9">
        <f>'REGIÃO 1'!D9</f>
        <v/>
      </c>
      <c r="E9">
        <f>'REGIÃO 1'!E9</f>
        <v/>
      </c>
      <c r="F9">
        <f>'REGIÃO 1'!F9</f>
        <v/>
      </c>
      <c r="G9">
        <f>'REGIÃO 1'!G9</f>
        <v/>
      </c>
      <c r="H9">
        <f>'REGIÃO 1'!H9</f>
        <v/>
      </c>
      <c r="I9">
        <f>'REGIÃO 1'!I9</f>
        <v/>
      </c>
      <c r="J9">
        <f>'REGIÃO 1'!J9</f>
        <v/>
      </c>
      <c r="K9" s="36">
        <f>'REGIÃO 1'!K9</f>
        <v/>
      </c>
      <c r="L9" t="inlineStr">
        <is>
          <t>REGIÃO 1</t>
        </is>
      </c>
    </row>
    <row r="10">
      <c r="A10">
        <f>'REGIÃO 1'!A10</f>
        <v/>
      </c>
      <c r="B10">
        <f>'REGIÃO 1'!B10</f>
        <v/>
      </c>
      <c r="C10">
        <f>'REGIÃO 1'!C10</f>
        <v/>
      </c>
      <c r="D10">
        <f>'REGIÃO 1'!D10</f>
        <v/>
      </c>
      <c r="E10">
        <f>'REGIÃO 1'!E10</f>
        <v/>
      </c>
      <c r="F10">
        <f>'REGIÃO 1'!F10</f>
        <v/>
      </c>
      <c r="G10">
        <f>'REGIÃO 1'!G10</f>
        <v/>
      </c>
      <c r="H10">
        <f>'REGIÃO 1'!H10</f>
        <v/>
      </c>
      <c r="I10">
        <f>'REGIÃO 1'!I10</f>
        <v/>
      </c>
      <c r="J10">
        <f>'REGIÃO 1'!J10</f>
        <v/>
      </c>
      <c r="K10" s="36">
        <f>'REGIÃO 1'!K10</f>
        <v/>
      </c>
      <c r="L10" t="inlineStr">
        <is>
          <t>REGIÃO 1</t>
        </is>
      </c>
    </row>
    <row r="11">
      <c r="A11">
        <f>'REGIÃO 1'!A11</f>
        <v/>
      </c>
      <c r="B11">
        <f>'REGIÃO 1'!B11</f>
        <v/>
      </c>
      <c r="C11">
        <f>'REGIÃO 1'!C11</f>
        <v/>
      </c>
      <c r="D11">
        <f>'REGIÃO 1'!D11</f>
        <v/>
      </c>
      <c r="E11">
        <f>'REGIÃO 1'!E11</f>
        <v/>
      </c>
      <c r="F11">
        <f>'REGIÃO 1'!F11</f>
        <v/>
      </c>
      <c r="G11">
        <f>'REGIÃO 1'!G11</f>
        <v/>
      </c>
      <c r="H11">
        <f>'REGIÃO 1'!H11</f>
        <v/>
      </c>
      <c r="I11">
        <f>'REGIÃO 1'!I11</f>
        <v/>
      </c>
      <c r="J11">
        <f>'REGIÃO 1'!J11</f>
        <v/>
      </c>
      <c r="K11" s="36">
        <f>'REGIÃO 1'!K11</f>
        <v/>
      </c>
      <c r="L11" t="inlineStr">
        <is>
          <t>REGIÃO 1</t>
        </is>
      </c>
    </row>
    <row r="12">
      <c r="A12">
        <f>'REGIÃO 1'!A12</f>
        <v/>
      </c>
      <c r="B12">
        <f>'REGIÃO 1'!B12</f>
        <v/>
      </c>
      <c r="C12">
        <f>'REGIÃO 1'!C12</f>
        <v/>
      </c>
      <c r="D12">
        <f>'REGIÃO 1'!D12</f>
        <v/>
      </c>
      <c r="E12">
        <f>'REGIÃO 1'!E12</f>
        <v/>
      </c>
      <c r="F12">
        <f>'REGIÃO 1'!F12</f>
        <v/>
      </c>
      <c r="G12">
        <f>'REGIÃO 1'!G12</f>
        <v/>
      </c>
      <c r="H12">
        <f>'REGIÃO 1'!H12</f>
        <v/>
      </c>
      <c r="I12">
        <f>'REGIÃO 1'!I12</f>
        <v/>
      </c>
      <c r="J12">
        <f>'REGIÃO 1'!J12</f>
        <v/>
      </c>
      <c r="K12" s="36">
        <f>'REGIÃO 1'!K12</f>
        <v/>
      </c>
      <c r="L12" t="inlineStr">
        <is>
          <t>REGIÃO 1</t>
        </is>
      </c>
    </row>
    <row r="13">
      <c r="A13">
        <f>'REGIÃO 1'!A13</f>
        <v/>
      </c>
      <c r="B13">
        <f>'REGIÃO 1'!B13</f>
        <v/>
      </c>
      <c r="C13">
        <f>'REGIÃO 1'!C13</f>
        <v/>
      </c>
      <c r="D13">
        <f>'REGIÃO 1'!D13</f>
        <v/>
      </c>
      <c r="E13">
        <f>'REGIÃO 1'!E13</f>
        <v/>
      </c>
      <c r="F13">
        <f>'REGIÃO 1'!F13</f>
        <v/>
      </c>
      <c r="G13">
        <f>'REGIÃO 1'!G13</f>
        <v/>
      </c>
      <c r="H13">
        <f>'REGIÃO 1'!H13</f>
        <v/>
      </c>
      <c r="I13">
        <f>'REGIÃO 1'!I13</f>
        <v/>
      </c>
      <c r="J13">
        <f>'REGIÃO 1'!J13</f>
        <v/>
      </c>
      <c r="K13" s="36">
        <f>'REGIÃO 1'!K13</f>
        <v/>
      </c>
      <c r="L13" t="inlineStr">
        <is>
          <t>REGIÃO 1</t>
        </is>
      </c>
    </row>
    <row r="14">
      <c r="A14">
        <f>'REGIÃO 1'!A14</f>
        <v/>
      </c>
      <c r="B14">
        <f>'REGIÃO 1'!B14</f>
        <v/>
      </c>
      <c r="C14">
        <f>'REGIÃO 1'!C14</f>
        <v/>
      </c>
      <c r="D14">
        <f>'REGIÃO 1'!D14</f>
        <v/>
      </c>
      <c r="E14">
        <f>'REGIÃO 1'!E14</f>
        <v/>
      </c>
      <c r="F14">
        <f>'REGIÃO 1'!F14</f>
        <v/>
      </c>
      <c r="G14">
        <f>'REGIÃO 1'!G14</f>
        <v/>
      </c>
      <c r="H14">
        <f>'REGIÃO 1'!H14</f>
        <v/>
      </c>
      <c r="I14">
        <f>'REGIÃO 1'!I14</f>
        <v/>
      </c>
      <c r="J14">
        <f>'REGIÃO 1'!J14</f>
        <v/>
      </c>
      <c r="K14" s="36">
        <f>'REGIÃO 1'!K14</f>
        <v/>
      </c>
      <c r="L14" t="inlineStr">
        <is>
          <t>REGIÃO 1</t>
        </is>
      </c>
    </row>
    <row r="15">
      <c r="A15">
        <f>'REGIÃO 1'!A15</f>
        <v/>
      </c>
      <c r="B15">
        <f>'REGIÃO 1'!B15</f>
        <v/>
      </c>
      <c r="C15">
        <f>'REGIÃO 1'!C15</f>
        <v/>
      </c>
      <c r="D15">
        <f>'REGIÃO 1'!D15</f>
        <v/>
      </c>
      <c r="E15">
        <f>'REGIÃO 1'!E15</f>
        <v/>
      </c>
      <c r="F15">
        <f>'REGIÃO 1'!F15</f>
        <v/>
      </c>
      <c r="G15">
        <f>'REGIÃO 1'!G15</f>
        <v/>
      </c>
      <c r="H15">
        <f>'REGIÃO 1'!H15</f>
        <v/>
      </c>
      <c r="I15">
        <f>'REGIÃO 1'!I15</f>
        <v/>
      </c>
      <c r="J15">
        <f>'REGIÃO 1'!J15</f>
        <v/>
      </c>
      <c r="K15" s="36">
        <f>'REGIÃO 1'!K15</f>
        <v/>
      </c>
      <c r="L15" t="inlineStr">
        <is>
          <t>REGIÃO 1</t>
        </is>
      </c>
    </row>
    <row r="16">
      <c r="A16">
        <f>'REGIÃO 1'!A16</f>
        <v/>
      </c>
      <c r="B16">
        <f>'REGIÃO 1'!B16</f>
        <v/>
      </c>
      <c r="C16">
        <f>'REGIÃO 1'!C16</f>
        <v/>
      </c>
      <c r="D16">
        <f>'REGIÃO 1'!D16</f>
        <v/>
      </c>
      <c r="E16">
        <f>'REGIÃO 1'!E16</f>
        <v/>
      </c>
      <c r="F16">
        <f>'REGIÃO 1'!F16</f>
        <v/>
      </c>
      <c r="G16">
        <f>'REGIÃO 1'!G16</f>
        <v/>
      </c>
      <c r="H16">
        <f>'REGIÃO 1'!H16</f>
        <v/>
      </c>
      <c r="I16">
        <f>'REGIÃO 1'!I16</f>
        <v/>
      </c>
      <c r="J16">
        <f>'REGIÃO 1'!J16</f>
        <v/>
      </c>
      <c r="K16" s="36">
        <f>'REGIÃO 1'!K16</f>
        <v/>
      </c>
      <c r="L16" t="inlineStr">
        <is>
          <t>REGIÃO 1</t>
        </is>
      </c>
    </row>
    <row r="17">
      <c r="A17">
        <f>'REGIÃO 1'!A17</f>
        <v/>
      </c>
      <c r="B17">
        <f>'REGIÃO 1'!B17</f>
        <v/>
      </c>
      <c r="C17">
        <f>'REGIÃO 1'!C17</f>
        <v/>
      </c>
      <c r="D17">
        <f>'REGIÃO 1'!D17</f>
        <v/>
      </c>
      <c r="E17">
        <f>'REGIÃO 1'!E17</f>
        <v/>
      </c>
      <c r="F17">
        <f>'REGIÃO 1'!F17</f>
        <v/>
      </c>
      <c r="G17">
        <f>'REGIÃO 1'!G17</f>
        <v/>
      </c>
      <c r="H17">
        <f>'REGIÃO 1'!H17</f>
        <v/>
      </c>
      <c r="I17">
        <f>'REGIÃO 1'!I17</f>
        <v/>
      </c>
      <c r="J17">
        <f>'REGIÃO 1'!J17</f>
        <v/>
      </c>
      <c r="K17" s="36">
        <f>'REGIÃO 1'!K17</f>
        <v/>
      </c>
      <c r="L17" t="inlineStr">
        <is>
          <t>REGIÃO 1</t>
        </is>
      </c>
    </row>
    <row r="18">
      <c r="A18">
        <f>'REGIÃO 1'!A18</f>
        <v/>
      </c>
      <c r="B18">
        <f>'REGIÃO 1'!B18</f>
        <v/>
      </c>
      <c r="C18">
        <f>'REGIÃO 1'!C18</f>
        <v/>
      </c>
      <c r="D18">
        <f>'REGIÃO 1'!D18</f>
        <v/>
      </c>
      <c r="E18">
        <f>'REGIÃO 1'!E18</f>
        <v/>
      </c>
      <c r="F18">
        <f>'REGIÃO 1'!F18</f>
        <v/>
      </c>
      <c r="G18">
        <f>'REGIÃO 1'!G18</f>
        <v/>
      </c>
      <c r="H18">
        <f>'REGIÃO 1'!H18</f>
        <v/>
      </c>
      <c r="I18">
        <f>'REGIÃO 1'!I18</f>
        <v/>
      </c>
      <c r="J18">
        <f>'REGIÃO 1'!J18</f>
        <v/>
      </c>
      <c r="K18" s="36">
        <f>'REGIÃO 1'!K18</f>
        <v/>
      </c>
      <c r="L18" t="inlineStr">
        <is>
          <t>REGIÃO 1</t>
        </is>
      </c>
    </row>
    <row r="19">
      <c r="A19">
        <f>'REGIÃO 1'!A19</f>
        <v/>
      </c>
      <c r="B19">
        <f>'REGIÃO 1'!B19</f>
        <v/>
      </c>
      <c r="C19">
        <f>'REGIÃO 1'!C19</f>
        <v/>
      </c>
      <c r="D19">
        <f>'REGIÃO 1'!D19</f>
        <v/>
      </c>
      <c r="E19">
        <f>'REGIÃO 1'!E19</f>
        <v/>
      </c>
      <c r="F19">
        <f>'REGIÃO 1'!F19</f>
        <v/>
      </c>
      <c r="G19">
        <f>'REGIÃO 1'!G19</f>
        <v/>
      </c>
      <c r="H19">
        <f>'REGIÃO 1'!H19</f>
        <v/>
      </c>
      <c r="I19">
        <f>'REGIÃO 1'!I19</f>
        <v/>
      </c>
      <c r="J19">
        <f>'REGIÃO 1'!J19</f>
        <v/>
      </c>
      <c r="K19" s="36">
        <f>'REGIÃO 1'!K19</f>
        <v/>
      </c>
      <c r="L19" t="inlineStr">
        <is>
          <t>REGIÃO 1</t>
        </is>
      </c>
    </row>
    <row r="20">
      <c r="A20">
        <f>'REGIÃO 1'!A20</f>
        <v/>
      </c>
      <c r="B20">
        <f>'REGIÃO 1'!B20</f>
        <v/>
      </c>
      <c r="C20">
        <f>'REGIÃO 1'!C20</f>
        <v/>
      </c>
      <c r="D20">
        <f>'REGIÃO 1'!D20</f>
        <v/>
      </c>
      <c r="E20">
        <f>'REGIÃO 1'!E20</f>
        <v/>
      </c>
      <c r="F20">
        <f>'REGIÃO 1'!F20</f>
        <v/>
      </c>
      <c r="G20">
        <f>'REGIÃO 1'!G20</f>
        <v/>
      </c>
      <c r="H20">
        <f>'REGIÃO 1'!H20</f>
        <v/>
      </c>
      <c r="I20">
        <f>'REGIÃO 1'!I20</f>
        <v/>
      </c>
      <c r="J20">
        <f>'REGIÃO 1'!J20</f>
        <v/>
      </c>
      <c r="K20" s="36">
        <f>'REGIÃO 1'!K20</f>
        <v/>
      </c>
      <c r="L20" t="inlineStr">
        <is>
          <t>REGIÃO 1</t>
        </is>
      </c>
    </row>
    <row r="21">
      <c r="A21">
        <f>'REGIÃO 1'!A21</f>
        <v/>
      </c>
      <c r="B21">
        <f>'REGIÃO 1'!B21</f>
        <v/>
      </c>
      <c r="C21">
        <f>'REGIÃO 1'!C21</f>
        <v/>
      </c>
      <c r="D21">
        <f>'REGIÃO 1'!D21</f>
        <v/>
      </c>
      <c r="E21">
        <f>'REGIÃO 1'!E21</f>
        <v/>
      </c>
      <c r="F21">
        <f>'REGIÃO 1'!F21</f>
        <v/>
      </c>
      <c r="G21">
        <f>'REGIÃO 1'!G21</f>
        <v/>
      </c>
      <c r="H21">
        <f>'REGIÃO 1'!H21</f>
        <v/>
      </c>
      <c r="I21">
        <f>'REGIÃO 1'!I21</f>
        <v/>
      </c>
      <c r="J21">
        <f>'REGIÃO 1'!J21</f>
        <v/>
      </c>
      <c r="K21" s="36">
        <f>'REGIÃO 1'!K21</f>
        <v/>
      </c>
      <c r="L21" t="inlineStr">
        <is>
          <t>REGIÃO 1</t>
        </is>
      </c>
    </row>
    <row r="22">
      <c r="A22">
        <f>'REGIÃO 1'!A22</f>
        <v/>
      </c>
      <c r="B22">
        <f>'REGIÃO 1'!B22</f>
        <v/>
      </c>
      <c r="C22">
        <f>'REGIÃO 1'!C22</f>
        <v/>
      </c>
      <c r="D22">
        <f>'REGIÃO 1'!D22</f>
        <v/>
      </c>
      <c r="E22">
        <f>'REGIÃO 1'!E22</f>
        <v/>
      </c>
      <c r="F22">
        <f>'REGIÃO 1'!F22</f>
        <v/>
      </c>
      <c r="G22">
        <f>'REGIÃO 1'!G22</f>
        <v/>
      </c>
      <c r="H22">
        <f>'REGIÃO 1'!H22</f>
        <v/>
      </c>
      <c r="I22">
        <f>'REGIÃO 1'!I22</f>
        <v/>
      </c>
      <c r="J22">
        <f>'REGIÃO 1'!J22</f>
        <v/>
      </c>
      <c r="K22" s="36">
        <f>'REGIÃO 1'!K22</f>
        <v/>
      </c>
      <c r="L22" t="inlineStr">
        <is>
          <t>REGIÃO 1</t>
        </is>
      </c>
    </row>
    <row r="23">
      <c r="A23">
        <f>'REGIÃO 1'!A23</f>
        <v/>
      </c>
      <c r="B23">
        <f>'REGIÃO 1'!B23</f>
        <v/>
      </c>
      <c r="C23">
        <f>'REGIÃO 1'!C23</f>
        <v/>
      </c>
      <c r="D23">
        <f>'REGIÃO 1'!D23</f>
        <v/>
      </c>
      <c r="E23">
        <f>'REGIÃO 1'!E23</f>
        <v/>
      </c>
      <c r="F23">
        <f>'REGIÃO 1'!F23</f>
        <v/>
      </c>
      <c r="G23">
        <f>'REGIÃO 1'!G23</f>
        <v/>
      </c>
      <c r="H23">
        <f>'REGIÃO 1'!H23</f>
        <v/>
      </c>
      <c r="I23">
        <f>'REGIÃO 1'!I23</f>
        <v/>
      </c>
      <c r="J23">
        <f>'REGIÃO 1'!J23</f>
        <v/>
      </c>
      <c r="K23" s="36">
        <f>'REGIÃO 1'!K23</f>
        <v/>
      </c>
      <c r="L23" t="inlineStr">
        <is>
          <t>REGIÃO 1</t>
        </is>
      </c>
    </row>
    <row r="24">
      <c r="A24">
        <f>'REGIÃO 1'!A24</f>
        <v/>
      </c>
      <c r="B24">
        <f>'REGIÃO 1'!B24</f>
        <v/>
      </c>
      <c r="C24">
        <f>'REGIÃO 1'!C24</f>
        <v/>
      </c>
      <c r="D24">
        <f>'REGIÃO 1'!D24</f>
        <v/>
      </c>
      <c r="E24">
        <f>'REGIÃO 1'!E24</f>
        <v/>
      </c>
      <c r="F24">
        <f>'REGIÃO 1'!F24</f>
        <v/>
      </c>
      <c r="G24">
        <f>'REGIÃO 1'!G24</f>
        <v/>
      </c>
      <c r="H24">
        <f>'REGIÃO 1'!H24</f>
        <v/>
      </c>
      <c r="I24">
        <f>'REGIÃO 1'!I24</f>
        <v/>
      </c>
      <c r="J24">
        <f>'REGIÃO 1'!J24</f>
        <v/>
      </c>
      <c r="K24" s="36">
        <f>'REGIÃO 1'!K24</f>
        <v/>
      </c>
      <c r="L24" t="inlineStr">
        <is>
          <t>REGIÃO 1</t>
        </is>
      </c>
    </row>
    <row r="25">
      <c r="A25">
        <f>'REGIÃO 1'!A25</f>
        <v/>
      </c>
      <c r="B25">
        <f>'REGIÃO 1'!B25</f>
        <v/>
      </c>
      <c r="C25">
        <f>'REGIÃO 1'!C25</f>
        <v/>
      </c>
      <c r="D25">
        <f>'REGIÃO 1'!D25</f>
        <v/>
      </c>
      <c r="E25">
        <f>'REGIÃO 1'!E25</f>
        <v/>
      </c>
      <c r="F25">
        <f>'REGIÃO 1'!F25</f>
        <v/>
      </c>
      <c r="G25">
        <f>'REGIÃO 1'!G25</f>
        <v/>
      </c>
      <c r="H25">
        <f>'REGIÃO 1'!H25</f>
        <v/>
      </c>
      <c r="I25">
        <f>'REGIÃO 1'!I25</f>
        <v/>
      </c>
      <c r="J25">
        <f>'REGIÃO 1'!J25</f>
        <v/>
      </c>
      <c r="K25" s="36">
        <f>'REGIÃO 1'!K25</f>
        <v/>
      </c>
      <c r="L25" t="inlineStr">
        <is>
          <t>REGIÃO 1</t>
        </is>
      </c>
    </row>
    <row r="26">
      <c r="A26">
        <f>'REGIÃO 1'!A26</f>
        <v/>
      </c>
      <c r="B26">
        <f>'REGIÃO 1'!B26</f>
        <v/>
      </c>
      <c r="C26">
        <f>'REGIÃO 1'!C26</f>
        <v/>
      </c>
      <c r="D26">
        <f>'REGIÃO 1'!D26</f>
        <v/>
      </c>
      <c r="E26">
        <f>'REGIÃO 1'!E26</f>
        <v/>
      </c>
      <c r="F26">
        <f>'REGIÃO 1'!F26</f>
        <v/>
      </c>
      <c r="G26">
        <f>'REGIÃO 1'!G26</f>
        <v/>
      </c>
      <c r="H26">
        <f>'REGIÃO 1'!H26</f>
        <v/>
      </c>
      <c r="I26">
        <f>'REGIÃO 1'!I26</f>
        <v/>
      </c>
      <c r="J26">
        <f>'REGIÃO 1'!J26</f>
        <v/>
      </c>
      <c r="K26" s="36">
        <f>'REGIÃO 1'!K26</f>
        <v/>
      </c>
      <c r="L26" t="inlineStr">
        <is>
          <t>REGIÃO 1</t>
        </is>
      </c>
    </row>
    <row r="27">
      <c r="A27">
        <f>'REGIÃO 1'!A27</f>
        <v/>
      </c>
      <c r="B27">
        <f>'REGIÃO 1'!B27</f>
        <v/>
      </c>
      <c r="C27">
        <f>'REGIÃO 1'!C27</f>
        <v/>
      </c>
      <c r="D27">
        <f>'REGIÃO 1'!D27</f>
        <v/>
      </c>
      <c r="E27">
        <f>'REGIÃO 1'!E27</f>
        <v/>
      </c>
      <c r="F27">
        <f>'REGIÃO 1'!F27</f>
        <v/>
      </c>
      <c r="G27">
        <f>'REGIÃO 1'!G27</f>
        <v/>
      </c>
      <c r="H27">
        <f>'REGIÃO 1'!H27</f>
        <v/>
      </c>
      <c r="I27">
        <f>'REGIÃO 1'!I27</f>
        <v/>
      </c>
      <c r="J27">
        <f>'REGIÃO 1'!J27</f>
        <v/>
      </c>
      <c r="K27" s="36">
        <f>'REGIÃO 1'!K27</f>
        <v/>
      </c>
      <c r="L27" t="inlineStr">
        <is>
          <t>REGIÃO 1</t>
        </is>
      </c>
    </row>
    <row r="28">
      <c r="A28">
        <f>'REGIÃO 1'!A28</f>
        <v/>
      </c>
      <c r="B28">
        <f>'REGIÃO 1'!B28</f>
        <v/>
      </c>
      <c r="C28">
        <f>'REGIÃO 1'!C28</f>
        <v/>
      </c>
      <c r="D28">
        <f>'REGIÃO 1'!D28</f>
        <v/>
      </c>
      <c r="E28">
        <f>'REGIÃO 1'!E28</f>
        <v/>
      </c>
      <c r="F28">
        <f>'REGIÃO 1'!F28</f>
        <v/>
      </c>
      <c r="G28">
        <f>'REGIÃO 1'!G28</f>
        <v/>
      </c>
      <c r="H28">
        <f>'REGIÃO 1'!H28</f>
        <v/>
      </c>
      <c r="I28">
        <f>'REGIÃO 1'!I28</f>
        <v/>
      </c>
      <c r="J28">
        <f>'REGIÃO 1'!J28</f>
        <v/>
      </c>
      <c r="K28" s="36">
        <f>'REGIÃO 1'!K28</f>
        <v/>
      </c>
      <c r="L28" t="inlineStr">
        <is>
          <t>REGIÃO 1</t>
        </is>
      </c>
    </row>
    <row r="29">
      <c r="A29">
        <f>'REGIÃO 1'!A29</f>
        <v/>
      </c>
      <c r="B29">
        <f>'REGIÃO 1'!B29</f>
        <v/>
      </c>
      <c r="C29">
        <f>'REGIÃO 1'!C29</f>
        <v/>
      </c>
      <c r="D29">
        <f>'REGIÃO 1'!D29</f>
        <v/>
      </c>
      <c r="E29">
        <f>'REGIÃO 1'!E29</f>
        <v/>
      </c>
      <c r="F29">
        <f>'REGIÃO 1'!F29</f>
        <v/>
      </c>
      <c r="G29">
        <f>'REGIÃO 1'!G29</f>
        <v/>
      </c>
      <c r="H29">
        <f>'REGIÃO 1'!H29</f>
        <v/>
      </c>
      <c r="I29">
        <f>'REGIÃO 1'!I29</f>
        <v/>
      </c>
      <c r="J29">
        <f>'REGIÃO 1'!J29</f>
        <v/>
      </c>
      <c r="K29" s="36">
        <f>'REGIÃO 1'!K29</f>
        <v/>
      </c>
      <c r="L29" t="inlineStr">
        <is>
          <t>REGIÃO 1</t>
        </is>
      </c>
    </row>
    <row r="30">
      <c r="A30">
        <f>'REGIÃO 1'!A30</f>
        <v/>
      </c>
      <c r="B30">
        <f>'REGIÃO 1'!B30</f>
        <v/>
      </c>
      <c r="C30">
        <f>'REGIÃO 1'!C30</f>
        <v/>
      </c>
      <c r="D30">
        <f>'REGIÃO 1'!D30</f>
        <v/>
      </c>
      <c r="E30">
        <f>'REGIÃO 1'!E30</f>
        <v/>
      </c>
      <c r="F30">
        <f>'REGIÃO 1'!F30</f>
        <v/>
      </c>
      <c r="G30">
        <f>'REGIÃO 1'!G30</f>
        <v/>
      </c>
      <c r="H30">
        <f>'REGIÃO 1'!H30</f>
        <v/>
      </c>
      <c r="I30">
        <f>'REGIÃO 1'!I30</f>
        <v/>
      </c>
      <c r="J30">
        <f>'REGIÃO 1'!J30</f>
        <v/>
      </c>
      <c r="K30" s="36">
        <f>'REGIÃO 1'!K30</f>
        <v/>
      </c>
      <c r="L30" t="inlineStr">
        <is>
          <t>REGIÃO 1</t>
        </is>
      </c>
    </row>
    <row r="31">
      <c r="A31">
        <f>'REGIÃO 1'!A31</f>
        <v/>
      </c>
      <c r="B31">
        <f>'REGIÃO 1'!B31</f>
        <v/>
      </c>
      <c r="C31">
        <f>'REGIÃO 1'!C31</f>
        <v/>
      </c>
      <c r="D31">
        <f>'REGIÃO 1'!D31</f>
        <v/>
      </c>
      <c r="E31">
        <f>'REGIÃO 1'!E31</f>
        <v/>
      </c>
      <c r="F31">
        <f>'REGIÃO 1'!F31</f>
        <v/>
      </c>
      <c r="G31">
        <f>'REGIÃO 1'!G31</f>
        <v/>
      </c>
      <c r="H31">
        <f>'REGIÃO 1'!H31</f>
        <v/>
      </c>
      <c r="I31">
        <f>'REGIÃO 1'!I31</f>
        <v/>
      </c>
      <c r="J31">
        <f>'REGIÃO 1'!J31</f>
        <v/>
      </c>
      <c r="K31" s="36">
        <f>'REGIÃO 1'!K31</f>
        <v/>
      </c>
      <c r="L31" t="inlineStr">
        <is>
          <t>REGIÃO 1</t>
        </is>
      </c>
    </row>
    <row r="32">
      <c r="A32">
        <f>'REGIÃO 1'!A32</f>
        <v/>
      </c>
      <c r="B32">
        <f>'REGIÃO 1'!B32</f>
        <v/>
      </c>
      <c r="C32">
        <f>'REGIÃO 1'!C32</f>
        <v/>
      </c>
      <c r="D32">
        <f>'REGIÃO 1'!D32</f>
        <v/>
      </c>
      <c r="E32">
        <f>'REGIÃO 1'!E32</f>
        <v/>
      </c>
      <c r="F32">
        <f>'REGIÃO 1'!F32</f>
        <v/>
      </c>
      <c r="G32">
        <f>'REGIÃO 1'!G32</f>
        <v/>
      </c>
      <c r="H32">
        <f>'REGIÃO 1'!H32</f>
        <v/>
      </c>
      <c r="I32">
        <f>'REGIÃO 1'!I32</f>
        <v/>
      </c>
      <c r="J32">
        <f>'REGIÃO 1'!J32</f>
        <v/>
      </c>
      <c r="K32" s="36">
        <f>'REGIÃO 1'!K32</f>
        <v/>
      </c>
      <c r="L32" t="inlineStr">
        <is>
          <t>REGIÃO 1</t>
        </is>
      </c>
    </row>
    <row r="33">
      <c r="A33">
        <f>'REGIÃO 1'!A33</f>
        <v/>
      </c>
      <c r="B33">
        <f>'REGIÃO 1'!B33</f>
        <v/>
      </c>
      <c r="C33">
        <f>'REGIÃO 1'!C33</f>
        <v/>
      </c>
      <c r="D33">
        <f>'REGIÃO 1'!D33</f>
        <v/>
      </c>
      <c r="E33">
        <f>'REGIÃO 1'!E33</f>
        <v/>
      </c>
      <c r="F33">
        <f>'REGIÃO 1'!F33</f>
        <v/>
      </c>
      <c r="G33">
        <f>'REGIÃO 1'!G33</f>
        <v/>
      </c>
      <c r="H33">
        <f>'REGIÃO 1'!H33</f>
        <v/>
      </c>
      <c r="I33">
        <f>'REGIÃO 1'!I33</f>
        <v/>
      </c>
      <c r="J33">
        <f>'REGIÃO 1'!J33</f>
        <v/>
      </c>
      <c r="K33" s="36">
        <f>'REGIÃO 1'!K33</f>
        <v/>
      </c>
      <c r="L33" t="inlineStr">
        <is>
          <t>REGIÃO 1</t>
        </is>
      </c>
    </row>
    <row r="34">
      <c r="A34">
        <f>'REGIÃO 1'!A34</f>
        <v/>
      </c>
      <c r="B34">
        <f>'REGIÃO 1'!B34</f>
        <v/>
      </c>
      <c r="C34">
        <f>'REGIÃO 1'!C34</f>
        <v/>
      </c>
      <c r="D34">
        <f>'REGIÃO 1'!D34</f>
        <v/>
      </c>
      <c r="E34">
        <f>'REGIÃO 1'!E34</f>
        <v/>
      </c>
      <c r="F34">
        <f>'REGIÃO 1'!F34</f>
        <v/>
      </c>
      <c r="G34">
        <f>'REGIÃO 1'!G34</f>
        <v/>
      </c>
      <c r="H34">
        <f>'REGIÃO 1'!H34</f>
        <v/>
      </c>
      <c r="I34">
        <f>'REGIÃO 1'!I34</f>
        <v/>
      </c>
      <c r="J34">
        <f>'REGIÃO 1'!J34</f>
        <v/>
      </c>
      <c r="K34" s="36">
        <f>'REGIÃO 1'!K34</f>
        <v/>
      </c>
      <c r="L34" t="inlineStr">
        <is>
          <t>REGIÃO 1</t>
        </is>
      </c>
    </row>
    <row r="35">
      <c r="A35">
        <f>'REGIÃO 1'!A35</f>
        <v/>
      </c>
      <c r="B35">
        <f>'REGIÃO 1'!B35</f>
        <v/>
      </c>
      <c r="C35">
        <f>'REGIÃO 1'!C35</f>
        <v/>
      </c>
      <c r="D35">
        <f>'REGIÃO 1'!D35</f>
        <v/>
      </c>
      <c r="E35">
        <f>'REGIÃO 1'!E35</f>
        <v/>
      </c>
      <c r="F35">
        <f>'REGIÃO 1'!F35</f>
        <v/>
      </c>
      <c r="G35">
        <f>'REGIÃO 1'!G35</f>
        <v/>
      </c>
      <c r="H35">
        <f>'REGIÃO 1'!H35</f>
        <v/>
      </c>
      <c r="I35">
        <f>'REGIÃO 1'!I35</f>
        <v/>
      </c>
      <c r="J35">
        <f>'REGIÃO 1'!J35</f>
        <v/>
      </c>
      <c r="K35" s="36">
        <f>'REGIÃO 1'!K35</f>
        <v/>
      </c>
      <c r="L35" t="inlineStr">
        <is>
          <t>REGIÃO 1</t>
        </is>
      </c>
    </row>
    <row r="36">
      <c r="A36">
        <f>'REGIÃO 1'!A36</f>
        <v/>
      </c>
      <c r="B36">
        <f>'REGIÃO 1'!B36</f>
        <v/>
      </c>
      <c r="C36">
        <f>'REGIÃO 1'!C36</f>
        <v/>
      </c>
      <c r="D36">
        <f>'REGIÃO 1'!D36</f>
        <v/>
      </c>
      <c r="E36">
        <f>'REGIÃO 1'!E36</f>
        <v/>
      </c>
      <c r="F36">
        <f>'REGIÃO 1'!F36</f>
        <v/>
      </c>
      <c r="G36">
        <f>'REGIÃO 1'!G36</f>
        <v/>
      </c>
      <c r="H36">
        <f>'REGIÃO 1'!H36</f>
        <v/>
      </c>
      <c r="I36">
        <f>'REGIÃO 1'!I36</f>
        <v/>
      </c>
      <c r="J36">
        <f>'REGIÃO 1'!J36</f>
        <v/>
      </c>
      <c r="K36" s="36">
        <f>'REGIÃO 1'!K36</f>
        <v/>
      </c>
      <c r="L36" t="inlineStr">
        <is>
          <t>REGIÃO 1</t>
        </is>
      </c>
    </row>
    <row r="37">
      <c r="A37">
        <f>'REGIÃO 1'!A37</f>
        <v/>
      </c>
      <c r="B37">
        <f>'REGIÃO 1'!B37</f>
        <v/>
      </c>
      <c r="C37">
        <f>'REGIÃO 1'!C37</f>
        <v/>
      </c>
      <c r="D37">
        <f>'REGIÃO 1'!D37</f>
        <v/>
      </c>
      <c r="E37">
        <f>'REGIÃO 1'!E37</f>
        <v/>
      </c>
      <c r="F37">
        <f>'REGIÃO 1'!F37</f>
        <v/>
      </c>
      <c r="G37">
        <f>'REGIÃO 1'!G37</f>
        <v/>
      </c>
      <c r="H37">
        <f>'REGIÃO 1'!H37</f>
        <v/>
      </c>
      <c r="I37">
        <f>'REGIÃO 1'!I37</f>
        <v/>
      </c>
      <c r="J37">
        <f>'REGIÃO 1'!J37</f>
        <v/>
      </c>
      <c r="K37" s="36">
        <f>'REGIÃO 1'!K37</f>
        <v/>
      </c>
      <c r="L37" t="inlineStr">
        <is>
          <t>REGIÃO 1</t>
        </is>
      </c>
    </row>
    <row r="38">
      <c r="A38">
        <f>'REGIÃO 1'!A38</f>
        <v/>
      </c>
      <c r="B38">
        <f>'REGIÃO 1'!B38</f>
        <v/>
      </c>
      <c r="C38">
        <f>'REGIÃO 1'!C38</f>
        <v/>
      </c>
      <c r="D38">
        <f>'REGIÃO 1'!D38</f>
        <v/>
      </c>
      <c r="E38">
        <f>'REGIÃO 1'!E38</f>
        <v/>
      </c>
      <c r="F38">
        <f>'REGIÃO 1'!F38</f>
        <v/>
      </c>
      <c r="G38">
        <f>'REGIÃO 1'!G38</f>
        <v/>
      </c>
      <c r="H38">
        <f>'REGIÃO 1'!H38</f>
        <v/>
      </c>
      <c r="I38">
        <f>'REGIÃO 1'!I38</f>
        <v/>
      </c>
      <c r="J38">
        <f>'REGIÃO 1'!J38</f>
        <v/>
      </c>
      <c r="K38" s="36">
        <f>'REGIÃO 1'!K38</f>
        <v/>
      </c>
      <c r="L38" t="inlineStr">
        <is>
          <t>REGIÃO 1</t>
        </is>
      </c>
    </row>
    <row r="39">
      <c r="A39">
        <f>'REGIÃO 1'!A39</f>
        <v/>
      </c>
      <c r="B39">
        <f>'REGIÃO 1'!B39</f>
        <v/>
      </c>
      <c r="C39">
        <f>'REGIÃO 1'!C39</f>
        <v/>
      </c>
      <c r="D39">
        <f>'REGIÃO 1'!D39</f>
        <v/>
      </c>
      <c r="E39">
        <f>'REGIÃO 1'!E39</f>
        <v/>
      </c>
      <c r="F39">
        <f>'REGIÃO 1'!F39</f>
        <v/>
      </c>
      <c r="G39">
        <f>'REGIÃO 1'!G39</f>
        <v/>
      </c>
      <c r="H39">
        <f>'REGIÃO 1'!H39</f>
        <v/>
      </c>
      <c r="I39">
        <f>'REGIÃO 1'!I39</f>
        <v/>
      </c>
      <c r="J39">
        <f>'REGIÃO 1'!J39</f>
        <v/>
      </c>
      <c r="K39" s="36">
        <f>'REGIÃO 1'!K39</f>
        <v/>
      </c>
      <c r="L39" t="inlineStr">
        <is>
          <t>REGIÃO 1</t>
        </is>
      </c>
    </row>
    <row r="40">
      <c r="A40">
        <f>'REGIÃO 1'!A40</f>
        <v/>
      </c>
      <c r="B40">
        <f>'REGIÃO 1'!B40</f>
        <v/>
      </c>
      <c r="C40">
        <f>'REGIÃO 1'!C40</f>
        <v/>
      </c>
      <c r="D40">
        <f>'REGIÃO 1'!D40</f>
        <v/>
      </c>
      <c r="E40">
        <f>'REGIÃO 1'!E40</f>
        <v/>
      </c>
      <c r="F40">
        <f>'REGIÃO 1'!F40</f>
        <v/>
      </c>
      <c r="G40">
        <f>'REGIÃO 1'!G40</f>
        <v/>
      </c>
      <c r="H40">
        <f>'REGIÃO 1'!H40</f>
        <v/>
      </c>
      <c r="I40">
        <f>'REGIÃO 1'!I40</f>
        <v/>
      </c>
      <c r="J40">
        <f>'REGIÃO 1'!J40</f>
        <v/>
      </c>
      <c r="K40" s="36">
        <f>'REGIÃO 1'!K40</f>
        <v/>
      </c>
      <c r="L40" t="inlineStr">
        <is>
          <t>REGIÃO 1</t>
        </is>
      </c>
    </row>
    <row r="41">
      <c r="A41">
        <f>'REGIÃO 1'!A41</f>
        <v/>
      </c>
      <c r="B41">
        <f>'REGIÃO 1'!B41</f>
        <v/>
      </c>
      <c r="C41">
        <f>'REGIÃO 1'!C41</f>
        <v/>
      </c>
      <c r="D41">
        <f>'REGIÃO 1'!D41</f>
        <v/>
      </c>
      <c r="E41">
        <f>'REGIÃO 1'!E41</f>
        <v/>
      </c>
      <c r="F41">
        <f>'REGIÃO 1'!F41</f>
        <v/>
      </c>
      <c r="G41">
        <f>'REGIÃO 1'!G41</f>
        <v/>
      </c>
      <c r="H41">
        <f>'REGIÃO 1'!H41</f>
        <v/>
      </c>
      <c r="I41">
        <f>'REGIÃO 1'!I41</f>
        <v/>
      </c>
      <c r="J41">
        <f>'REGIÃO 1'!J41</f>
        <v/>
      </c>
      <c r="K41" s="36">
        <f>'REGIÃO 1'!K41</f>
        <v/>
      </c>
      <c r="L41" t="inlineStr">
        <is>
          <t>REGIÃO 1</t>
        </is>
      </c>
    </row>
    <row r="42">
      <c r="A42">
        <f>'REGIÃO 1'!A42</f>
        <v/>
      </c>
      <c r="B42">
        <f>'REGIÃO 1'!B42</f>
        <v/>
      </c>
      <c r="C42">
        <f>'REGIÃO 1'!C42</f>
        <v/>
      </c>
      <c r="D42">
        <f>'REGIÃO 1'!D42</f>
        <v/>
      </c>
      <c r="E42">
        <f>'REGIÃO 1'!E42</f>
        <v/>
      </c>
      <c r="F42">
        <f>'REGIÃO 1'!F42</f>
        <v/>
      </c>
      <c r="G42">
        <f>'REGIÃO 1'!G42</f>
        <v/>
      </c>
      <c r="H42">
        <f>'REGIÃO 1'!H42</f>
        <v/>
      </c>
      <c r="I42">
        <f>'REGIÃO 1'!I42</f>
        <v/>
      </c>
      <c r="J42">
        <f>'REGIÃO 1'!J42</f>
        <v/>
      </c>
      <c r="K42" s="36">
        <f>'REGIÃO 1'!K42</f>
        <v/>
      </c>
      <c r="L42" t="inlineStr">
        <is>
          <t>REGIÃO 1</t>
        </is>
      </c>
    </row>
    <row r="43">
      <c r="A43">
        <f>'REGIÃO 1'!A43</f>
        <v/>
      </c>
      <c r="B43">
        <f>'REGIÃO 1'!B43</f>
        <v/>
      </c>
      <c r="C43">
        <f>'REGIÃO 1'!C43</f>
        <v/>
      </c>
      <c r="D43">
        <f>'REGIÃO 1'!D43</f>
        <v/>
      </c>
      <c r="E43">
        <f>'REGIÃO 1'!E43</f>
        <v/>
      </c>
      <c r="F43">
        <f>'REGIÃO 1'!F43</f>
        <v/>
      </c>
      <c r="G43">
        <f>'REGIÃO 1'!G43</f>
        <v/>
      </c>
      <c r="H43">
        <f>'REGIÃO 1'!H43</f>
        <v/>
      </c>
      <c r="I43">
        <f>'REGIÃO 1'!I43</f>
        <v/>
      </c>
      <c r="J43">
        <f>'REGIÃO 1'!J43</f>
        <v/>
      </c>
      <c r="K43" s="36">
        <f>'REGIÃO 1'!K43</f>
        <v/>
      </c>
      <c r="L43" t="inlineStr">
        <is>
          <t>REGIÃO 1</t>
        </is>
      </c>
    </row>
    <row r="44">
      <c r="A44">
        <f>'REGIÃO 1'!A44</f>
        <v/>
      </c>
      <c r="B44">
        <f>'REGIÃO 1'!B44</f>
        <v/>
      </c>
      <c r="C44">
        <f>'REGIÃO 1'!C44</f>
        <v/>
      </c>
      <c r="D44">
        <f>'REGIÃO 1'!D44</f>
        <v/>
      </c>
      <c r="E44">
        <f>'REGIÃO 1'!E44</f>
        <v/>
      </c>
      <c r="F44">
        <f>'REGIÃO 1'!F44</f>
        <v/>
      </c>
      <c r="G44">
        <f>'REGIÃO 1'!G44</f>
        <v/>
      </c>
      <c r="H44">
        <f>'REGIÃO 1'!H44</f>
        <v/>
      </c>
      <c r="I44">
        <f>'REGIÃO 1'!I44</f>
        <v/>
      </c>
      <c r="J44">
        <f>'REGIÃO 1'!J44</f>
        <v/>
      </c>
      <c r="K44" s="36">
        <f>'REGIÃO 1'!K44</f>
        <v/>
      </c>
      <c r="L44" t="inlineStr">
        <is>
          <t>REGIÃO 1</t>
        </is>
      </c>
    </row>
    <row r="45">
      <c r="A45">
        <f>'REGIÃO 1'!A45</f>
        <v/>
      </c>
      <c r="B45">
        <f>'REGIÃO 1'!B45</f>
        <v/>
      </c>
      <c r="C45">
        <f>'REGIÃO 1'!C45</f>
        <v/>
      </c>
      <c r="D45">
        <f>'REGIÃO 1'!D45</f>
        <v/>
      </c>
      <c r="E45">
        <f>'REGIÃO 1'!E45</f>
        <v/>
      </c>
      <c r="F45">
        <f>'REGIÃO 1'!F45</f>
        <v/>
      </c>
      <c r="G45">
        <f>'REGIÃO 1'!G45</f>
        <v/>
      </c>
      <c r="H45">
        <f>'REGIÃO 1'!H45</f>
        <v/>
      </c>
      <c r="I45">
        <f>'REGIÃO 1'!I45</f>
        <v/>
      </c>
      <c r="J45">
        <f>'REGIÃO 1'!J45</f>
        <v/>
      </c>
      <c r="K45" s="36">
        <f>'REGIÃO 1'!K45</f>
        <v/>
      </c>
      <c r="L45" t="inlineStr">
        <is>
          <t>REGIÃO 1</t>
        </is>
      </c>
    </row>
    <row r="46">
      <c r="A46">
        <f>'REGIÃO 1'!A46</f>
        <v/>
      </c>
      <c r="B46">
        <f>'REGIÃO 1'!B46</f>
        <v/>
      </c>
      <c r="C46">
        <f>'REGIÃO 1'!C46</f>
        <v/>
      </c>
      <c r="D46">
        <f>'REGIÃO 1'!D46</f>
        <v/>
      </c>
      <c r="E46">
        <f>'REGIÃO 1'!E46</f>
        <v/>
      </c>
      <c r="F46">
        <f>'REGIÃO 1'!F46</f>
        <v/>
      </c>
      <c r="G46">
        <f>'REGIÃO 1'!G46</f>
        <v/>
      </c>
      <c r="H46">
        <f>'REGIÃO 1'!H46</f>
        <v/>
      </c>
      <c r="I46">
        <f>'REGIÃO 1'!I46</f>
        <v/>
      </c>
      <c r="J46">
        <f>'REGIÃO 1'!J46</f>
        <v/>
      </c>
      <c r="K46" s="36">
        <f>'REGIÃO 1'!K46</f>
        <v/>
      </c>
      <c r="L46" t="inlineStr">
        <is>
          <t>REGIÃO 1</t>
        </is>
      </c>
    </row>
    <row r="47">
      <c r="A47">
        <f>'REGIÃO 1'!A47</f>
        <v/>
      </c>
      <c r="B47">
        <f>'REGIÃO 1'!B47</f>
        <v/>
      </c>
      <c r="C47">
        <f>'REGIÃO 1'!C47</f>
        <v/>
      </c>
      <c r="D47">
        <f>'REGIÃO 1'!D47</f>
        <v/>
      </c>
      <c r="E47">
        <f>'REGIÃO 1'!E47</f>
        <v/>
      </c>
      <c r="F47">
        <f>'REGIÃO 1'!F47</f>
        <v/>
      </c>
      <c r="G47">
        <f>'REGIÃO 1'!G47</f>
        <v/>
      </c>
      <c r="H47">
        <f>'REGIÃO 1'!H47</f>
        <v/>
      </c>
      <c r="I47">
        <f>'REGIÃO 1'!I47</f>
        <v/>
      </c>
      <c r="J47">
        <f>'REGIÃO 1'!J47</f>
        <v/>
      </c>
      <c r="K47" s="36">
        <f>'REGIÃO 1'!K47</f>
        <v/>
      </c>
      <c r="L47" t="inlineStr">
        <is>
          <t>REGIÃO 1</t>
        </is>
      </c>
    </row>
    <row r="48">
      <c r="A48">
        <f>'REGIÃO 1'!A48</f>
        <v/>
      </c>
      <c r="B48">
        <f>'REGIÃO 1'!B48</f>
        <v/>
      </c>
      <c r="C48">
        <f>'REGIÃO 1'!C48</f>
        <v/>
      </c>
      <c r="D48">
        <f>'REGIÃO 1'!D48</f>
        <v/>
      </c>
      <c r="E48">
        <f>'REGIÃO 1'!E48</f>
        <v/>
      </c>
      <c r="F48">
        <f>'REGIÃO 1'!F48</f>
        <v/>
      </c>
      <c r="G48">
        <f>'REGIÃO 1'!G48</f>
        <v/>
      </c>
      <c r="H48">
        <f>'REGIÃO 1'!H48</f>
        <v/>
      </c>
      <c r="I48">
        <f>'REGIÃO 1'!I48</f>
        <v/>
      </c>
      <c r="J48">
        <f>'REGIÃO 1'!J48</f>
        <v/>
      </c>
      <c r="K48" s="36">
        <f>'REGIÃO 1'!K48</f>
        <v/>
      </c>
      <c r="L48" t="inlineStr">
        <is>
          <t>REGIÃO 1</t>
        </is>
      </c>
    </row>
    <row r="49">
      <c r="A49">
        <f>'REGIÃO 1'!A49</f>
        <v/>
      </c>
      <c r="B49">
        <f>'REGIÃO 1'!B49</f>
        <v/>
      </c>
      <c r="C49">
        <f>'REGIÃO 1'!C49</f>
        <v/>
      </c>
      <c r="D49">
        <f>'REGIÃO 1'!D49</f>
        <v/>
      </c>
      <c r="E49">
        <f>'REGIÃO 1'!E49</f>
        <v/>
      </c>
      <c r="F49">
        <f>'REGIÃO 1'!F49</f>
        <v/>
      </c>
      <c r="G49">
        <f>'REGIÃO 1'!G49</f>
        <v/>
      </c>
      <c r="H49">
        <f>'REGIÃO 1'!H49</f>
        <v/>
      </c>
      <c r="I49">
        <f>'REGIÃO 1'!I49</f>
        <v/>
      </c>
      <c r="J49">
        <f>'REGIÃO 1'!J49</f>
        <v/>
      </c>
      <c r="K49" s="36">
        <f>'REGIÃO 1'!K49</f>
        <v/>
      </c>
      <c r="L49" t="inlineStr">
        <is>
          <t>REGIÃO 1</t>
        </is>
      </c>
    </row>
    <row r="50">
      <c r="A50">
        <f>'REGIÃO 1'!A50</f>
        <v/>
      </c>
      <c r="B50">
        <f>'REGIÃO 1'!B50</f>
        <v/>
      </c>
      <c r="C50">
        <f>'REGIÃO 1'!C50</f>
        <v/>
      </c>
      <c r="D50">
        <f>'REGIÃO 1'!D50</f>
        <v/>
      </c>
      <c r="E50">
        <f>'REGIÃO 1'!E50</f>
        <v/>
      </c>
      <c r="F50">
        <f>'REGIÃO 1'!F50</f>
        <v/>
      </c>
      <c r="G50">
        <f>'REGIÃO 1'!G50</f>
        <v/>
      </c>
      <c r="H50">
        <f>'REGIÃO 1'!H50</f>
        <v/>
      </c>
      <c r="I50">
        <f>'REGIÃO 1'!I50</f>
        <v/>
      </c>
      <c r="J50">
        <f>'REGIÃO 1'!J50</f>
        <v/>
      </c>
      <c r="K50" s="36">
        <f>'REGIÃO 1'!K50</f>
        <v/>
      </c>
      <c r="L50" t="inlineStr">
        <is>
          <t>REGIÃO 1</t>
        </is>
      </c>
    </row>
    <row r="51">
      <c r="A51">
        <f>'REGIÃO 1'!A51</f>
        <v/>
      </c>
      <c r="B51">
        <f>'REGIÃO 1'!B51</f>
        <v/>
      </c>
      <c r="C51">
        <f>'REGIÃO 1'!C51</f>
        <v/>
      </c>
      <c r="D51">
        <f>'REGIÃO 1'!D51</f>
        <v/>
      </c>
      <c r="E51">
        <f>'REGIÃO 1'!E51</f>
        <v/>
      </c>
      <c r="F51">
        <f>'REGIÃO 1'!F51</f>
        <v/>
      </c>
      <c r="G51">
        <f>'REGIÃO 1'!G51</f>
        <v/>
      </c>
      <c r="H51">
        <f>'REGIÃO 1'!H51</f>
        <v/>
      </c>
      <c r="I51">
        <f>'REGIÃO 1'!I51</f>
        <v/>
      </c>
      <c r="J51">
        <f>'REGIÃO 1'!J51</f>
        <v/>
      </c>
      <c r="K51" s="36">
        <f>'REGIÃO 1'!K51</f>
        <v/>
      </c>
      <c r="L51" t="inlineStr">
        <is>
          <t>REGIÃO 1</t>
        </is>
      </c>
    </row>
    <row r="52">
      <c r="A52">
        <f>'REGIÃO 1'!A52</f>
        <v/>
      </c>
      <c r="B52">
        <f>'REGIÃO 1'!B52</f>
        <v/>
      </c>
      <c r="C52">
        <f>'REGIÃO 1'!C52</f>
        <v/>
      </c>
      <c r="D52">
        <f>'REGIÃO 1'!D52</f>
        <v/>
      </c>
      <c r="E52">
        <f>'REGIÃO 1'!E52</f>
        <v/>
      </c>
      <c r="F52">
        <f>'REGIÃO 1'!F52</f>
        <v/>
      </c>
      <c r="G52">
        <f>'REGIÃO 1'!G52</f>
        <v/>
      </c>
      <c r="H52">
        <f>'REGIÃO 1'!H52</f>
        <v/>
      </c>
      <c r="I52">
        <f>'REGIÃO 1'!I52</f>
        <v/>
      </c>
      <c r="J52">
        <f>'REGIÃO 1'!J52</f>
        <v/>
      </c>
      <c r="K52" s="36">
        <f>'REGIÃO 1'!K52</f>
        <v/>
      </c>
      <c r="L52" t="inlineStr">
        <is>
          <t>REGIÃO 1</t>
        </is>
      </c>
    </row>
    <row r="53">
      <c r="A53">
        <f>'REGIÃO 1'!A53</f>
        <v/>
      </c>
      <c r="B53">
        <f>'REGIÃO 1'!B53</f>
        <v/>
      </c>
      <c r="C53">
        <f>'REGIÃO 1'!C53</f>
        <v/>
      </c>
      <c r="D53">
        <f>'REGIÃO 1'!D53</f>
        <v/>
      </c>
      <c r="E53">
        <f>'REGIÃO 1'!E53</f>
        <v/>
      </c>
      <c r="F53">
        <f>'REGIÃO 1'!F53</f>
        <v/>
      </c>
      <c r="G53">
        <f>'REGIÃO 1'!G53</f>
        <v/>
      </c>
      <c r="H53">
        <f>'REGIÃO 1'!H53</f>
        <v/>
      </c>
      <c r="I53">
        <f>'REGIÃO 1'!I53</f>
        <v/>
      </c>
      <c r="J53">
        <f>'REGIÃO 1'!J53</f>
        <v/>
      </c>
      <c r="K53" s="36">
        <f>'REGIÃO 1'!K53</f>
        <v/>
      </c>
      <c r="L53" t="inlineStr">
        <is>
          <t>REGIÃO 1</t>
        </is>
      </c>
    </row>
    <row r="54">
      <c r="A54">
        <f>'REGIÃO 1'!A54</f>
        <v/>
      </c>
      <c r="B54">
        <f>'REGIÃO 1'!B54</f>
        <v/>
      </c>
      <c r="C54">
        <f>'REGIÃO 1'!C54</f>
        <v/>
      </c>
      <c r="D54">
        <f>'REGIÃO 1'!D54</f>
        <v/>
      </c>
      <c r="E54">
        <f>'REGIÃO 1'!E54</f>
        <v/>
      </c>
      <c r="F54">
        <f>'REGIÃO 1'!F54</f>
        <v/>
      </c>
      <c r="G54">
        <f>'REGIÃO 1'!G54</f>
        <v/>
      </c>
      <c r="H54">
        <f>'REGIÃO 1'!H54</f>
        <v/>
      </c>
      <c r="I54">
        <f>'REGIÃO 1'!I54</f>
        <v/>
      </c>
      <c r="J54">
        <f>'REGIÃO 1'!J54</f>
        <v/>
      </c>
      <c r="K54" s="36">
        <f>'REGIÃO 1'!K54</f>
        <v/>
      </c>
      <c r="L54" t="inlineStr">
        <is>
          <t>REGIÃO 1</t>
        </is>
      </c>
    </row>
    <row r="55">
      <c r="A55">
        <f>'REGIÃO 1'!A55</f>
        <v/>
      </c>
      <c r="B55">
        <f>'REGIÃO 1'!B55</f>
        <v/>
      </c>
      <c r="C55">
        <f>'REGIÃO 1'!C55</f>
        <v/>
      </c>
      <c r="D55">
        <f>'REGIÃO 1'!D55</f>
        <v/>
      </c>
      <c r="E55">
        <f>'REGIÃO 1'!E55</f>
        <v/>
      </c>
      <c r="F55">
        <f>'REGIÃO 1'!F55</f>
        <v/>
      </c>
      <c r="G55">
        <f>'REGIÃO 1'!G55</f>
        <v/>
      </c>
      <c r="H55">
        <f>'REGIÃO 1'!H55</f>
        <v/>
      </c>
      <c r="I55">
        <f>'REGIÃO 1'!I55</f>
        <v/>
      </c>
      <c r="J55">
        <f>'REGIÃO 1'!J55</f>
        <v/>
      </c>
      <c r="K55" s="36">
        <f>'REGIÃO 1'!K55</f>
        <v/>
      </c>
      <c r="L55" t="inlineStr">
        <is>
          <t>REGIÃO 1</t>
        </is>
      </c>
    </row>
    <row r="56">
      <c r="A56">
        <f>'REGIÃO 1'!A56</f>
        <v/>
      </c>
      <c r="B56">
        <f>'REGIÃO 1'!B56</f>
        <v/>
      </c>
      <c r="C56">
        <f>'REGIÃO 1'!C56</f>
        <v/>
      </c>
      <c r="D56">
        <f>'REGIÃO 1'!D56</f>
        <v/>
      </c>
      <c r="E56">
        <f>'REGIÃO 1'!E56</f>
        <v/>
      </c>
      <c r="F56">
        <f>'REGIÃO 1'!F56</f>
        <v/>
      </c>
      <c r="G56">
        <f>'REGIÃO 1'!G56</f>
        <v/>
      </c>
      <c r="H56">
        <f>'REGIÃO 1'!H56</f>
        <v/>
      </c>
      <c r="I56">
        <f>'REGIÃO 1'!I56</f>
        <v/>
      </c>
      <c r="J56">
        <f>'REGIÃO 1'!J56</f>
        <v/>
      </c>
      <c r="K56" s="36">
        <f>'REGIÃO 1'!K56</f>
        <v/>
      </c>
      <c r="L56" t="inlineStr">
        <is>
          <t>REGIÃO 1</t>
        </is>
      </c>
    </row>
    <row r="57">
      <c r="A57">
        <f>'REGIÃO 1'!A57</f>
        <v/>
      </c>
      <c r="B57">
        <f>'REGIÃO 1'!B57</f>
        <v/>
      </c>
      <c r="C57">
        <f>'REGIÃO 1'!C57</f>
        <v/>
      </c>
      <c r="D57">
        <f>'REGIÃO 1'!D57</f>
        <v/>
      </c>
      <c r="E57">
        <f>'REGIÃO 1'!E57</f>
        <v/>
      </c>
      <c r="F57">
        <f>'REGIÃO 1'!F57</f>
        <v/>
      </c>
      <c r="G57">
        <f>'REGIÃO 1'!G57</f>
        <v/>
      </c>
      <c r="H57">
        <f>'REGIÃO 1'!H57</f>
        <v/>
      </c>
      <c r="I57">
        <f>'REGIÃO 1'!I57</f>
        <v/>
      </c>
      <c r="J57">
        <f>'REGIÃO 1'!J57</f>
        <v/>
      </c>
      <c r="K57" s="36">
        <f>'REGIÃO 1'!K57</f>
        <v/>
      </c>
      <c r="L57" t="inlineStr">
        <is>
          <t>REGIÃO 1</t>
        </is>
      </c>
    </row>
    <row r="58">
      <c r="A58">
        <f>'REGIÃO 1'!A58</f>
        <v/>
      </c>
      <c r="B58">
        <f>'REGIÃO 1'!B58</f>
        <v/>
      </c>
      <c r="C58">
        <f>'REGIÃO 1'!C58</f>
        <v/>
      </c>
      <c r="D58">
        <f>'REGIÃO 1'!D58</f>
        <v/>
      </c>
      <c r="E58">
        <f>'REGIÃO 1'!E58</f>
        <v/>
      </c>
      <c r="F58">
        <f>'REGIÃO 1'!F58</f>
        <v/>
      </c>
      <c r="G58">
        <f>'REGIÃO 1'!G58</f>
        <v/>
      </c>
      <c r="H58">
        <f>'REGIÃO 1'!H58</f>
        <v/>
      </c>
      <c r="I58">
        <f>'REGIÃO 1'!I58</f>
        <v/>
      </c>
      <c r="J58">
        <f>'REGIÃO 1'!J58</f>
        <v/>
      </c>
      <c r="K58" s="36">
        <f>'REGIÃO 1'!K58</f>
        <v/>
      </c>
      <c r="L58" t="inlineStr">
        <is>
          <t>REGIÃO 1</t>
        </is>
      </c>
    </row>
    <row r="59">
      <c r="A59">
        <f>'REGIÃO 1'!A59</f>
        <v/>
      </c>
      <c r="B59">
        <f>'REGIÃO 1'!B59</f>
        <v/>
      </c>
      <c r="C59">
        <f>'REGIÃO 1'!C59</f>
        <v/>
      </c>
      <c r="D59">
        <f>'REGIÃO 1'!D59</f>
        <v/>
      </c>
      <c r="E59">
        <f>'REGIÃO 1'!E59</f>
        <v/>
      </c>
      <c r="F59">
        <f>'REGIÃO 1'!F59</f>
        <v/>
      </c>
      <c r="G59">
        <f>'REGIÃO 1'!G59</f>
        <v/>
      </c>
      <c r="H59">
        <f>'REGIÃO 1'!H59</f>
        <v/>
      </c>
      <c r="I59">
        <f>'REGIÃO 1'!I59</f>
        <v/>
      </c>
      <c r="J59">
        <f>'REGIÃO 1'!J59</f>
        <v/>
      </c>
      <c r="K59" s="36">
        <f>'REGIÃO 1'!K59</f>
        <v/>
      </c>
      <c r="L59" t="inlineStr">
        <is>
          <t>REGIÃO 1</t>
        </is>
      </c>
    </row>
    <row r="60">
      <c r="A60">
        <f>'REGIÃO 1'!A60</f>
        <v/>
      </c>
      <c r="B60">
        <f>'REGIÃO 1'!B60</f>
        <v/>
      </c>
      <c r="C60">
        <f>'REGIÃO 1'!C60</f>
        <v/>
      </c>
      <c r="D60">
        <f>'REGIÃO 1'!D60</f>
        <v/>
      </c>
      <c r="E60">
        <f>'REGIÃO 1'!E60</f>
        <v/>
      </c>
      <c r="F60">
        <f>'REGIÃO 1'!F60</f>
        <v/>
      </c>
      <c r="G60">
        <f>'REGIÃO 1'!G60</f>
        <v/>
      </c>
      <c r="H60">
        <f>'REGIÃO 1'!H60</f>
        <v/>
      </c>
      <c r="I60">
        <f>'REGIÃO 1'!I60</f>
        <v/>
      </c>
      <c r="J60">
        <f>'REGIÃO 1'!J60</f>
        <v/>
      </c>
      <c r="K60" s="36">
        <f>'REGIÃO 1'!K60</f>
        <v/>
      </c>
      <c r="L60" t="inlineStr">
        <is>
          <t>REGIÃO 1</t>
        </is>
      </c>
    </row>
    <row r="61">
      <c r="A61">
        <f>'REGIÃO 1'!A61</f>
        <v/>
      </c>
      <c r="B61">
        <f>'REGIÃO 1'!B61</f>
        <v/>
      </c>
      <c r="C61">
        <f>'REGIÃO 1'!C61</f>
        <v/>
      </c>
      <c r="D61">
        <f>'REGIÃO 1'!D61</f>
        <v/>
      </c>
      <c r="E61">
        <f>'REGIÃO 1'!E61</f>
        <v/>
      </c>
      <c r="F61">
        <f>'REGIÃO 1'!F61</f>
        <v/>
      </c>
      <c r="G61">
        <f>'REGIÃO 1'!G61</f>
        <v/>
      </c>
      <c r="H61">
        <f>'REGIÃO 1'!H61</f>
        <v/>
      </c>
      <c r="I61">
        <f>'REGIÃO 1'!I61</f>
        <v/>
      </c>
      <c r="J61">
        <f>'REGIÃO 1'!J61</f>
        <v/>
      </c>
      <c r="K61" s="36">
        <f>'REGIÃO 1'!K61</f>
        <v/>
      </c>
      <c r="L61" t="inlineStr">
        <is>
          <t>REGIÃO 1</t>
        </is>
      </c>
    </row>
    <row r="62">
      <c r="A62">
        <f>'REGIÃO 1'!A62</f>
        <v/>
      </c>
      <c r="B62">
        <f>'REGIÃO 1'!B62</f>
        <v/>
      </c>
      <c r="C62">
        <f>'REGIÃO 1'!C62</f>
        <v/>
      </c>
      <c r="D62">
        <f>'REGIÃO 1'!D62</f>
        <v/>
      </c>
      <c r="E62">
        <f>'REGIÃO 1'!E62</f>
        <v/>
      </c>
      <c r="F62">
        <f>'REGIÃO 1'!F62</f>
        <v/>
      </c>
      <c r="G62">
        <f>'REGIÃO 1'!G62</f>
        <v/>
      </c>
      <c r="H62">
        <f>'REGIÃO 1'!H62</f>
        <v/>
      </c>
      <c r="I62">
        <f>'REGIÃO 1'!I62</f>
        <v/>
      </c>
      <c r="J62">
        <f>'REGIÃO 1'!J62</f>
        <v/>
      </c>
      <c r="K62" s="36">
        <f>'REGIÃO 1'!K62</f>
        <v/>
      </c>
      <c r="L62" t="inlineStr">
        <is>
          <t>REGIÃO 1</t>
        </is>
      </c>
    </row>
    <row r="63">
      <c r="A63">
        <f>'REGIÃO 1'!A63</f>
        <v/>
      </c>
      <c r="B63">
        <f>'REGIÃO 1'!B63</f>
        <v/>
      </c>
      <c r="C63">
        <f>'REGIÃO 1'!C63</f>
        <v/>
      </c>
      <c r="D63">
        <f>'REGIÃO 1'!D63</f>
        <v/>
      </c>
      <c r="E63">
        <f>'REGIÃO 1'!E63</f>
        <v/>
      </c>
      <c r="F63">
        <f>'REGIÃO 1'!F63</f>
        <v/>
      </c>
      <c r="G63">
        <f>'REGIÃO 1'!G63</f>
        <v/>
      </c>
      <c r="H63">
        <f>'REGIÃO 1'!H63</f>
        <v/>
      </c>
      <c r="I63">
        <f>'REGIÃO 1'!I63</f>
        <v/>
      </c>
      <c r="J63">
        <f>'REGIÃO 1'!J63</f>
        <v/>
      </c>
      <c r="K63" s="36">
        <f>'REGIÃO 1'!K63</f>
        <v/>
      </c>
      <c r="L63" t="inlineStr">
        <is>
          <t>REGIÃO 1</t>
        </is>
      </c>
    </row>
    <row r="64">
      <c r="A64">
        <f>'REGIÃO 1'!A64</f>
        <v/>
      </c>
      <c r="B64">
        <f>'REGIÃO 1'!B64</f>
        <v/>
      </c>
      <c r="C64">
        <f>'REGIÃO 1'!C64</f>
        <v/>
      </c>
      <c r="D64">
        <f>'REGIÃO 1'!D64</f>
        <v/>
      </c>
      <c r="E64">
        <f>'REGIÃO 1'!E64</f>
        <v/>
      </c>
      <c r="F64">
        <f>'REGIÃO 1'!F64</f>
        <v/>
      </c>
      <c r="G64">
        <f>'REGIÃO 1'!G64</f>
        <v/>
      </c>
      <c r="H64">
        <f>'REGIÃO 1'!H64</f>
        <v/>
      </c>
      <c r="I64">
        <f>'REGIÃO 1'!I64</f>
        <v/>
      </c>
      <c r="J64">
        <f>'REGIÃO 1'!J64</f>
        <v/>
      </c>
      <c r="K64" s="36">
        <f>'REGIÃO 1'!K64</f>
        <v/>
      </c>
      <c r="L64" t="inlineStr">
        <is>
          <t>REGIÃO 1</t>
        </is>
      </c>
    </row>
    <row r="65">
      <c r="A65">
        <f>'REGIÃO 1'!A65</f>
        <v/>
      </c>
      <c r="B65">
        <f>'REGIÃO 1'!B65</f>
        <v/>
      </c>
      <c r="C65">
        <f>'REGIÃO 1'!C65</f>
        <v/>
      </c>
      <c r="D65">
        <f>'REGIÃO 1'!D65</f>
        <v/>
      </c>
      <c r="E65">
        <f>'REGIÃO 1'!E65</f>
        <v/>
      </c>
      <c r="F65">
        <f>'REGIÃO 1'!F65</f>
        <v/>
      </c>
      <c r="G65">
        <f>'REGIÃO 1'!G65</f>
        <v/>
      </c>
      <c r="H65">
        <f>'REGIÃO 1'!H65</f>
        <v/>
      </c>
      <c r="I65">
        <f>'REGIÃO 1'!I65</f>
        <v/>
      </c>
      <c r="J65">
        <f>'REGIÃO 1'!J65</f>
        <v/>
      </c>
      <c r="K65" s="36">
        <f>'REGIÃO 1'!K65</f>
        <v/>
      </c>
      <c r="L65" t="inlineStr">
        <is>
          <t>REGIÃO 1</t>
        </is>
      </c>
    </row>
    <row r="66">
      <c r="A66">
        <f>'REGIÃO 1'!A66</f>
        <v/>
      </c>
      <c r="B66">
        <f>'REGIÃO 1'!B66</f>
        <v/>
      </c>
      <c r="C66">
        <f>'REGIÃO 1'!C66</f>
        <v/>
      </c>
      <c r="D66">
        <f>'REGIÃO 1'!D66</f>
        <v/>
      </c>
      <c r="E66">
        <f>'REGIÃO 1'!E66</f>
        <v/>
      </c>
      <c r="F66">
        <f>'REGIÃO 1'!F66</f>
        <v/>
      </c>
      <c r="G66">
        <f>'REGIÃO 1'!G66</f>
        <v/>
      </c>
      <c r="H66">
        <f>'REGIÃO 1'!H66</f>
        <v/>
      </c>
      <c r="I66">
        <f>'REGIÃO 1'!I66</f>
        <v/>
      </c>
      <c r="J66">
        <f>'REGIÃO 1'!J66</f>
        <v/>
      </c>
      <c r="K66" s="36">
        <f>'REGIÃO 1'!K66</f>
        <v/>
      </c>
      <c r="L66" t="inlineStr">
        <is>
          <t>REGIÃO 1</t>
        </is>
      </c>
    </row>
    <row r="67">
      <c r="A67">
        <f>'REGIÃO 1'!A67</f>
        <v/>
      </c>
      <c r="B67">
        <f>'REGIÃO 1'!B67</f>
        <v/>
      </c>
      <c r="C67">
        <f>'REGIÃO 1'!C67</f>
        <v/>
      </c>
      <c r="D67">
        <f>'REGIÃO 1'!D67</f>
        <v/>
      </c>
      <c r="E67">
        <f>'REGIÃO 1'!E67</f>
        <v/>
      </c>
      <c r="F67">
        <f>'REGIÃO 1'!F67</f>
        <v/>
      </c>
      <c r="G67">
        <f>'REGIÃO 1'!G67</f>
        <v/>
      </c>
      <c r="H67">
        <f>'REGIÃO 1'!H67</f>
        <v/>
      </c>
      <c r="I67">
        <f>'REGIÃO 1'!I67</f>
        <v/>
      </c>
      <c r="J67">
        <f>'REGIÃO 1'!J67</f>
        <v/>
      </c>
      <c r="K67" s="36">
        <f>'REGIÃO 1'!K67</f>
        <v/>
      </c>
      <c r="L67" t="inlineStr">
        <is>
          <t>REGIÃO 1</t>
        </is>
      </c>
    </row>
    <row r="68">
      <c r="A68">
        <f>'REGIÃO 1'!A68</f>
        <v/>
      </c>
      <c r="B68">
        <f>'REGIÃO 1'!B68</f>
        <v/>
      </c>
      <c r="C68">
        <f>'REGIÃO 1'!C68</f>
        <v/>
      </c>
      <c r="D68">
        <f>'REGIÃO 1'!D68</f>
        <v/>
      </c>
      <c r="E68">
        <f>'REGIÃO 1'!E68</f>
        <v/>
      </c>
      <c r="F68">
        <f>'REGIÃO 1'!F68</f>
        <v/>
      </c>
      <c r="G68">
        <f>'REGIÃO 1'!G68</f>
        <v/>
      </c>
      <c r="H68">
        <f>'REGIÃO 1'!H68</f>
        <v/>
      </c>
      <c r="I68">
        <f>'REGIÃO 1'!I68</f>
        <v/>
      </c>
      <c r="J68">
        <f>'REGIÃO 1'!J68</f>
        <v/>
      </c>
      <c r="K68" s="36">
        <f>'REGIÃO 1'!K68</f>
        <v/>
      </c>
      <c r="L68" t="inlineStr">
        <is>
          <t>REGIÃO 1</t>
        </is>
      </c>
    </row>
    <row r="69">
      <c r="A69">
        <f>'REGIÃO 1'!A69</f>
        <v/>
      </c>
      <c r="B69">
        <f>'REGIÃO 1'!B69</f>
        <v/>
      </c>
      <c r="C69">
        <f>'REGIÃO 1'!C69</f>
        <v/>
      </c>
      <c r="D69">
        <f>'REGIÃO 1'!D69</f>
        <v/>
      </c>
      <c r="E69">
        <f>'REGIÃO 1'!E69</f>
        <v/>
      </c>
      <c r="F69">
        <f>'REGIÃO 1'!F69</f>
        <v/>
      </c>
      <c r="G69">
        <f>'REGIÃO 1'!G69</f>
        <v/>
      </c>
      <c r="H69">
        <f>'REGIÃO 1'!H69</f>
        <v/>
      </c>
      <c r="I69">
        <f>'REGIÃO 1'!I69</f>
        <v/>
      </c>
      <c r="J69">
        <f>'REGIÃO 1'!J69</f>
        <v/>
      </c>
      <c r="K69" s="36">
        <f>'REGIÃO 1'!K69</f>
        <v/>
      </c>
      <c r="L69" t="inlineStr">
        <is>
          <t>REGIÃO 1</t>
        </is>
      </c>
    </row>
    <row r="70">
      <c r="A70">
        <f>'REGIÃO 1'!A70</f>
        <v/>
      </c>
      <c r="B70">
        <f>'REGIÃO 1'!B70</f>
        <v/>
      </c>
      <c r="C70">
        <f>'REGIÃO 1'!C70</f>
        <v/>
      </c>
      <c r="D70">
        <f>'REGIÃO 1'!D70</f>
        <v/>
      </c>
      <c r="E70">
        <f>'REGIÃO 1'!E70</f>
        <v/>
      </c>
      <c r="F70">
        <f>'REGIÃO 1'!F70</f>
        <v/>
      </c>
      <c r="G70">
        <f>'REGIÃO 1'!G70</f>
        <v/>
      </c>
      <c r="H70">
        <f>'REGIÃO 1'!H70</f>
        <v/>
      </c>
      <c r="I70">
        <f>'REGIÃO 1'!I70</f>
        <v/>
      </c>
      <c r="J70">
        <f>'REGIÃO 1'!J70</f>
        <v/>
      </c>
      <c r="K70" s="36">
        <f>'REGIÃO 1'!K70</f>
        <v/>
      </c>
      <c r="L70" t="inlineStr">
        <is>
          <t>REGIÃO 1</t>
        </is>
      </c>
    </row>
    <row r="71">
      <c r="A71">
        <f>'REGIÃO 1'!A71</f>
        <v/>
      </c>
      <c r="B71">
        <f>'REGIÃO 1'!B71</f>
        <v/>
      </c>
      <c r="C71">
        <f>'REGIÃO 1'!C71</f>
        <v/>
      </c>
      <c r="D71">
        <f>'REGIÃO 1'!D71</f>
        <v/>
      </c>
      <c r="E71">
        <f>'REGIÃO 1'!E71</f>
        <v/>
      </c>
      <c r="F71">
        <f>'REGIÃO 1'!F71</f>
        <v/>
      </c>
      <c r="G71">
        <f>'REGIÃO 1'!G71</f>
        <v/>
      </c>
      <c r="H71">
        <f>'REGIÃO 1'!H71</f>
        <v/>
      </c>
      <c r="I71">
        <f>'REGIÃO 1'!I71</f>
        <v/>
      </c>
      <c r="J71">
        <f>'REGIÃO 1'!J71</f>
        <v/>
      </c>
      <c r="K71" s="36">
        <f>'REGIÃO 1'!K71</f>
        <v/>
      </c>
      <c r="L71" t="inlineStr">
        <is>
          <t>REGIÃO 1</t>
        </is>
      </c>
    </row>
    <row r="72">
      <c r="A72">
        <f>'REGIÃO 1'!A72</f>
        <v/>
      </c>
      <c r="B72">
        <f>'REGIÃO 1'!B72</f>
        <v/>
      </c>
      <c r="C72">
        <f>'REGIÃO 1'!C72</f>
        <v/>
      </c>
      <c r="D72">
        <f>'REGIÃO 1'!D72</f>
        <v/>
      </c>
      <c r="E72">
        <f>'REGIÃO 1'!E72</f>
        <v/>
      </c>
      <c r="F72">
        <f>'REGIÃO 1'!F72</f>
        <v/>
      </c>
      <c r="G72">
        <f>'REGIÃO 1'!G72</f>
        <v/>
      </c>
      <c r="H72">
        <f>'REGIÃO 1'!H72</f>
        <v/>
      </c>
      <c r="I72">
        <f>'REGIÃO 1'!I72</f>
        <v/>
      </c>
      <c r="J72">
        <f>'REGIÃO 1'!J72</f>
        <v/>
      </c>
      <c r="K72" s="36">
        <f>'REGIÃO 1'!K72</f>
        <v/>
      </c>
      <c r="L72" t="inlineStr">
        <is>
          <t>REGIÃO 1</t>
        </is>
      </c>
    </row>
    <row r="73">
      <c r="A73">
        <f>'REGIÃO 1'!A73</f>
        <v/>
      </c>
      <c r="B73">
        <f>'REGIÃO 1'!B73</f>
        <v/>
      </c>
      <c r="C73">
        <f>'REGIÃO 1'!C73</f>
        <v/>
      </c>
      <c r="D73">
        <f>'REGIÃO 1'!D73</f>
        <v/>
      </c>
      <c r="E73">
        <f>'REGIÃO 1'!E73</f>
        <v/>
      </c>
      <c r="F73">
        <f>'REGIÃO 1'!F73</f>
        <v/>
      </c>
      <c r="G73">
        <f>'REGIÃO 1'!G73</f>
        <v/>
      </c>
      <c r="H73">
        <f>'REGIÃO 1'!H73</f>
        <v/>
      </c>
      <c r="I73">
        <f>'REGIÃO 1'!I73</f>
        <v/>
      </c>
      <c r="J73">
        <f>'REGIÃO 1'!J73</f>
        <v/>
      </c>
      <c r="K73" s="36">
        <f>'REGIÃO 1'!K73</f>
        <v/>
      </c>
      <c r="L73" t="inlineStr">
        <is>
          <t>REGIÃO 1</t>
        </is>
      </c>
    </row>
    <row r="74">
      <c r="A74">
        <f>'REGIÃO 1'!A74</f>
        <v/>
      </c>
      <c r="B74">
        <f>'REGIÃO 1'!B74</f>
        <v/>
      </c>
      <c r="C74">
        <f>'REGIÃO 1'!C74</f>
        <v/>
      </c>
      <c r="D74">
        <f>'REGIÃO 1'!D74</f>
        <v/>
      </c>
      <c r="E74">
        <f>'REGIÃO 1'!E74</f>
        <v/>
      </c>
      <c r="F74">
        <f>'REGIÃO 1'!F74</f>
        <v/>
      </c>
      <c r="G74">
        <f>'REGIÃO 1'!G74</f>
        <v/>
      </c>
      <c r="H74">
        <f>'REGIÃO 1'!H74</f>
        <v/>
      </c>
      <c r="I74">
        <f>'REGIÃO 1'!I74</f>
        <v/>
      </c>
      <c r="J74">
        <f>'REGIÃO 1'!J74</f>
        <v/>
      </c>
      <c r="K74" s="36">
        <f>'REGIÃO 1'!K74</f>
        <v/>
      </c>
      <c r="L74" t="inlineStr">
        <is>
          <t>REGIÃO 1</t>
        </is>
      </c>
    </row>
    <row r="75">
      <c r="A75">
        <f>'REGIÃO 1'!A75</f>
        <v/>
      </c>
      <c r="B75">
        <f>'REGIÃO 1'!B75</f>
        <v/>
      </c>
      <c r="C75">
        <f>'REGIÃO 1'!C75</f>
        <v/>
      </c>
      <c r="D75">
        <f>'REGIÃO 1'!D75</f>
        <v/>
      </c>
      <c r="E75">
        <f>'REGIÃO 1'!E75</f>
        <v/>
      </c>
      <c r="F75">
        <f>'REGIÃO 1'!F75</f>
        <v/>
      </c>
      <c r="G75">
        <f>'REGIÃO 1'!G75</f>
        <v/>
      </c>
      <c r="H75">
        <f>'REGIÃO 1'!H75</f>
        <v/>
      </c>
      <c r="I75">
        <f>'REGIÃO 1'!I75</f>
        <v/>
      </c>
      <c r="J75">
        <f>'REGIÃO 1'!J75</f>
        <v/>
      </c>
      <c r="K75" s="36">
        <f>'REGIÃO 1'!K75</f>
        <v/>
      </c>
      <c r="L75" t="inlineStr">
        <is>
          <t>REGIÃO 1</t>
        </is>
      </c>
    </row>
    <row r="76">
      <c r="A76">
        <f>'REGIÃO 1'!A76</f>
        <v/>
      </c>
      <c r="B76">
        <f>'REGIÃO 1'!B76</f>
        <v/>
      </c>
      <c r="C76">
        <f>'REGIÃO 1'!C76</f>
        <v/>
      </c>
      <c r="D76">
        <f>'REGIÃO 1'!D76</f>
        <v/>
      </c>
      <c r="E76">
        <f>'REGIÃO 1'!E76</f>
        <v/>
      </c>
      <c r="F76">
        <f>'REGIÃO 1'!F76</f>
        <v/>
      </c>
      <c r="G76">
        <f>'REGIÃO 1'!G76</f>
        <v/>
      </c>
      <c r="H76">
        <f>'REGIÃO 1'!H76</f>
        <v/>
      </c>
      <c r="I76">
        <f>'REGIÃO 1'!I76</f>
        <v/>
      </c>
      <c r="J76">
        <f>'REGIÃO 1'!J76</f>
        <v/>
      </c>
      <c r="K76" s="36">
        <f>'REGIÃO 1'!K76</f>
        <v/>
      </c>
      <c r="L76" t="inlineStr">
        <is>
          <t>REGIÃO 1</t>
        </is>
      </c>
    </row>
    <row r="77">
      <c r="A77">
        <f>'REGIÃO 1'!A77</f>
        <v/>
      </c>
      <c r="B77">
        <f>'REGIÃO 1'!B77</f>
        <v/>
      </c>
      <c r="C77">
        <f>'REGIÃO 1'!C77</f>
        <v/>
      </c>
      <c r="D77">
        <f>'REGIÃO 1'!D77</f>
        <v/>
      </c>
      <c r="E77">
        <f>'REGIÃO 1'!E77</f>
        <v/>
      </c>
      <c r="F77">
        <f>'REGIÃO 1'!F77</f>
        <v/>
      </c>
      <c r="G77">
        <f>'REGIÃO 1'!G77</f>
        <v/>
      </c>
      <c r="H77">
        <f>'REGIÃO 1'!H77</f>
        <v/>
      </c>
      <c r="I77">
        <f>'REGIÃO 1'!I77</f>
        <v/>
      </c>
      <c r="J77">
        <f>'REGIÃO 1'!J77</f>
        <v/>
      </c>
      <c r="K77" s="36">
        <f>'REGIÃO 1'!K77</f>
        <v/>
      </c>
      <c r="L77" t="inlineStr">
        <is>
          <t>REGIÃO 1</t>
        </is>
      </c>
    </row>
    <row r="78">
      <c r="A78">
        <f>'REGIÃO 1'!A78</f>
        <v/>
      </c>
      <c r="B78">
        <f>'REGIÃO 1'!B78</f>
        <v/>
      </c>
      <c r="C78">
        <f>'REGIÃO 1'!C78</f>
        <v/>
      </c>
      <c r="D78">
        <f>'REGIÃO 1'!D78</f>
        <v/>
      </c>
      <c r="E78">
        <f>'REGIÃO 1'!E78</f>
        <v/>
      </c>
      <c r="F78">
        <f>'REGIÃO 1'!F78</f>
        <v/>
      </c>
      <c r="G78">
        <f>'REGIÃO 1'!G78</f>
        <v/>
      </c>
      <c r="H78">
        <f>'REGIÃO 1'!H78</f>
        <v/>
      </c>
      <c r="I78">
        <f>'REGIÃO 1'!I78</f>
        <v/>
      </c>
      <c r="J78">
        <f>'REGIÃO 1'!J78</f>
        <v/>
      </c>
      <c r="K78" s="36">
        <f>'REGIÃO 1'!K78</f>
        <v/>
      </c>
      <c r="L78" t="inlineStr">
        <is>
          <t>REGIÃO 1</t>
        </is>
      </c>
    </row>
    <row r="79">
      <c r="A79">
        <f>'REGIÃO 1'!A79</f>
        <v/>
      </c>
      <c r="B79">
        <f>'REGIÃO 1'!B79</f>
        <v/>
      </c>
      <c r="C79">
        <f>'REGIÃO 1'!C79</f>
        <v/>
      </c>
      <c r="D79">
        <f>'REGIÃO 1'!D79</f>
        <v/>
      </c>
      <c r="E79">
        <f>'REGIÃO 1'!E79</f>
        <v/>
      </c>
      <c r="F79">
        <f>'REGIÃO 1'!F79</f>
        <v/>
      </c>
      <c r="G79">
        <f>'REGIÃO 1'!G79</f>
        <v/>
      </c>
      <c r="H79">
        <f>'REGIÃO 1'!H79</f>
        <v/>
      </c>
      <c r="I79">
        <f>'REGIÃO 1'!I79</f>
        <v/>
      </c>
      <c r="J79">
        <f>'REGIÃO 1'!J79</f>
        <v/>
      </c>
      <c r="K79" s="36">
        <f>'REGIÃO 1'!K79</f>
        <v/>
      </c>
      <c r="L79" t="inlineStr">
        <is>
          <t>REGIÃO 1</t>
        </is>
      </c>
    </row>
    <row r="80">
      <c r="A80">
        <f>'REGIÃO 1'!A80</f>
        <v/>
      </c>
      <c r="B80">
        <f>'REGIÃO 1'!B80</f>
        <v/>
      </c>
      <c r="C80">
        <f>'REGIÃO 1'!C80</f>
        <v/>
      </c>
      <c r="D80">
        <f>'REGIÃO 1'!D80</f>
        <v/>
      </c>
      <c r="E80">
        <f>'REGIÃO 1'!E80</f>
        <v/>
      </c>
      <c r="F80">
        <f>'REGIÃO 1'!F80</f>
        <v/>
      </c>
      <c r="G80">
        <f>'REGIÃO 1'!G80</f>
        <v/>
      </c>
      <c r="H80">
        <f>'REGIÃO 1'!H80</f>
        <v/>
      </c>
      <c r="I80">
        <f>'REGIÃO 1'!I80</f>
        <v/>
      </c>
      <c r="J80">
        <f>'REGIÃO 1'!J80</f>
        <v/>
      </c>
      <c r="K80" s="36">
        <f>'REGIÃO 1'!K80</f>
        <v/>
      </c>
      <c r="L80" t="inlineStr">
        <is>
          <t>REGIÃO 1</t>
        </is>
      </c>
    </row>
    <row r="81">
      <c r="A81">
        <f>'REGIÃO 1'!A81</f>
        <v/>
      </c>
      <c r="B81">
        <f>'REGIÃO 1'!B81</f>
        <v/>
      </c>
      <c r="C81">
        <f>'REGIÃO 1'!C81</f>
        <v/>
      </c>
      <c r="D81">
        <f>'REGIÃO 1'!D81</f>
        <v/>
      </c>
      <c r="E81">
        <f>'REGIÃO 1'!E81</f>
        <v/>
      </c>
      <c r="F81">
        <f>'REGIÃO 1'!F81</f>
        <v/>
      </c>
      <c r="G81">
        <f>'REGIÃO 1'!G81</f>
        <v/>
      </c>
      <c r="H81">
        <f>'REGIÃO 1'!H81</f>
        <v/>
      </c>
      <c r="I81">
        <f>'REGIÃO 1'!I81</f>
        <v/>
      </c>
      <c r="J81">
        <f>'REGIÃO 1'!J81</f>
        <v/>
      </c>
      <c r="K81" s="36">
        <f>'REGIÃO 1'!K81</f>
        <v/>
      </c>
      <c r="L81" t="inlineStr">
        <is>
          <t>REGIÃO 1</t>
        </is>
      </c>
    </row>
    <row r="82">
      <c r="A82">
        <f>'REGIÃO 1'!A82</f>
        <v/>
      </c>
      <c r="B82">
        <f>'REGIÃO 1'!B82</f>
        <v/>
      </c>
      <c r="C82">
        <f>'REGIÃO 1'!C82</f>
        <v/>
      </c>
      <c r="D82">
        <f>'REGIÃO 1'!D82</f>
        <v/>
      </c>
      <c r="E82">
        <f>'REGIÃO 1'!E82</f>
        <v/>
      </c>
      <c r="F82">
        <f>'REGIÃO 1'!F82</f>
        <v/>
      </c>
      <c r="G82">
        <f>'REGIÃO 1'!G82</f>
        <v/>
      </c>
      <c r="H82">
        <f>'REGIÃO 1'!H82</f>
        <v/>
      </c>
      <c r="I82">
        <f>'REGIÃO 1'!I82</f>
        <v/>
      </c>
      <c r="J82">
        <f>'REGIÃO 1'!J82</f>
        <v/>
      </c>
      <c r="K82" s="36">
        <f>'REGIÃO 1'!K82</f>
        <v/>
      </c>
      <c r="L82" t="inlineStr">
        <is>
          <t>REGIÃO 1</t>
        </is>
      </c>
    </row>
    <row r="83">
      <c r="A83">
        <f>'REGIÃO 1'!A83</f>
        <v/>
      </c>
      <c r="B83">
        <f>'REGIÃO 1'!B83</f>
        <v/>
      </c>
      <c r="C83">
        <f>'REGIÃO 1'!C83</f>
        <v/>
      </c>
      <c r="D83">
        <f>'REGIÃO 1'!D83</f>
        <v/>
      </c>
      <c r="E83">
        <f>'REGIÃO 1'!E83</f>
        <v/>
      </c>
      <c r="F83">
        <f>'REGIÃO 1'!F83</f>
        <v/>
      </c>
      <c r="G83">
        <f>'REGIÃO 1'!G83</f>
        <v/>
      </c>
      <c r="H83">
        <f>'REGIÃO 1'!H83</f>
        <v/>
      </c>
      <c r="I83">
        <f>'REGIÃO 1'!I83</f>
        <v/>
      </c>
      <c r="J83">
        <f>'REGIÃO 1'!J83</f>
        <v/>
      </c>
      <c r="K83" s="36">
        <f>'REGIÃO 1'!K83</f>
        <v/>
      </c>
      <c r="L83" t="inlineStr">
        <is>
          <t>REGIÃO 1</t>
        </is>
      </c>
    </row>
    <row r="84">
      <c r="A84">
        <f>'REGIÃO 1'!A84</f>
        <v/>
      </c>
      <c r="B84">
        <f>'REGIÃO 1'!B84</f>
        <v/>
      </c>
      <c r="C84">
        <f>'REGIÃO 1'!C84</f>
        <v/>
      </c>
      <c r="D84">
        <f>'REGIÃO 1'!D84</f>
        <v/>
      </c>
      <c r="E84">
        <f>'REGIÃO 1'!E84</f>
        <v/>
      </c>
      <c r="F84">
        <f>'REGIÃO 1'!F84</f>
        <v/>
      </c>
      <c r="G84">
        <f>'REGIÃO 1'!G84</f>
        <v/>
      </c>
      <c r="H84">
        <f>'REGIÃO 1'!H84</f>
        <v/>
      </c>
      <c r="I84">
        <f>'REGIÃO 1'!I84</f>
        <v/>
      </c>
      <c r="J84">
        <f>'REGIÃO 1'!J84</f>
        <v/>
      </c>
      <c r="K84" s="36">
        <f>'REGIÃO 1'!K84</f>
        <v/>
      </c>
      <c r="L84" t="inlineStr">
        <is>
          <t>REGIÃO 1</t>
        </is>
      </c>
    </row>
    <row r="85">
      <c r="A85">
        <f>'REGIÃO 1'!A85</f>
        <v/>
      </c>
      <c r="B85">
        <f>'REGIÃO 1'!B85</f>
        <v/>
      </c>
      <c r="C85">
        <f>'REGIÃO 1'!C85</f>
        <v/>
      </c>
      <c r="D85">
        <f>'REGIÃO 1'!D85</f>
        <v/>
      </c>
      <c r="E85">
        <f>'REGIÃO 1'!E85</f>
        <v/>
      </c>
      <c r="F85">
        <f>'REGIÃO 1'!F85</f>
        <v/>
      </c>
      <c r="G85">
        <f>'REGIÃO 1'!G85</f>
        <v/>
      </c>
      <c r="H85">
        <f>'REGIÃO 1'!H85</f>
        <v/>
      </c>
      <c r="I85">
        <f>'REGIÃO 1'!I85</f>
        <v/>
      </c>
      <c r="J85">
        <f>'REGIÃO 1'!J85</f>
        <v/>
      </c>
      <c r="K85" s="36">
        <f>'REGIÃO 1'!K85</f>
        <v/>
      </c>
      <c r="L85" t="inlineStr">
        <is>
          <t>REGIÃO 1</t>
        </is>
      </c>
    </row>
    <row r="86">
      <c r="A86">
        <f>'REGIÃO 1'!A86</f>
        <v/>
      </c>
      <c r="B86">
        <f>'REGIÃO 1'!B86</f>
        <v/>
      </c>
      <c r="C86">
        <f>'REGIÃO 1'!C86</f>
        <v/>
      </c>
      <c r="D86">
        <f>'REGIÃO 1'!D86</f>
        <v/>
      </c>
      <c r="E86">
        <f>'REGIÃO 1'!E86</f>
        <v/>
      </c>
      <c r="F86">
        <f>'REGIÃO 1'!F86</f>
        <v/>
      </c>
      <c r="G86">
        <f>'REGIÃO 1'!G86</f>
        <v/>
      </c>
      <c r="H86">
        <f>'REGIÃO 1'!H86</f>
        <v/>
      </c>
      <c r="I86">
        <f>'REGIÃO 1'!I86</f>
        <v/>
      </c>
      <c r="J86">
        <f>'REGIÃO 1'!J86</f>
        <v/>
      </c>
      <c r="K86" s="36">
        <f>'REGIÃO 1'!K86</f>
        <v/>
      </c>
      <c r="L86" t="inlineStr">
        <is>
          <t>REGIÃO 1</t>
        </is>
      </c>
    </row>
    <row r="87">
      <c r="A87">
        <f>'REGIÃO 1'!A87</f>
        <v/>
      </c>
      <c r="B87">
        <f>'REGIÃO 1'!B87</f>
        <v/>
      </c>
      <c r="C87">
        <f>'REGIÃO 1'!C87</f>
        <v/>
      </c>
      <c r="D87">
        <f>'REGIÃO 1'!D87</f>
        <v/>
      </c>
      <c r="E87">
        <f>'REGIÃO 1'!E87</f>
        <v/>
      </c>
      <c r="F87">
        <f>'REGIÃO 1'!F87</f>
        <v/>
      </c>
      <c r="G87">
        <f>'REGIÃO 1'!G87</f>
        <v/>
      </c>
      <c r="H87">
        <f>'REGIÃO 1'!H87</f>
        <v/>
      </c>
      <c r="I87">
        <f>'REGIÃO 1'!I87</f>
        <v/>
      </c>
      <c r="J87">
        <f>'REGIÃO 1'!J87</f>
        <v/>
      </c>
      <c r="K87" s="36">
        <f>'REGIÃO 1'!K87</f>
        <v/>
      </c>
      <c r="L87" t="inlineStr">
        <is>
          <t>REGIÃO 1</t>
        </is>
      </c>
    </row>
    <row r="88">
      <c r="A88">
        <f>'REGIÃO 1'!A88</f>
        <v/>
      </c>
      <c r="B88">
        <f>'REGIÃO 1'!B88</f>
        <v/>
      </c>
      <c r="C88">
        <f>'REGIÃO 1'!C88</f>
        <v/>
      </c>
      <c r="D88">
        <f>'REGIÃO 1'!D88</f>
        <v/>
      </c>
      <c r="E88">
        <f>'REGIÃO 1'!E88</f>
        <v/>
      </c>
      <c r="F88">
        <f>'REGIÃO 1'!F88</f>
        <v/>
      </c>
      <c r="G88">
        <f>'REGIÃO 1'!G88</f>
        <v/>
      </c>
      <c r="H88">
        <f>'REGIÃO 1'!H88</f>
        <v/>
      </c>
      <c r="I88">
        <f>'REGIÃO 1'!I88</f>
        <v/>
      </c>
      <c r="J88">
        <f>'REGIÃO 1'!J88</f>
        <v/>
      </c>
      <c r="K88" s="36">
        <f>'REGIÃO 1'!K88</f>
        <v/>
      </c>
      <c r="L88" t="inlineStr">
        <is>
          <t>REGIÃO 1</t>
        </is>
      </c>
    </row>
    <row r="89">
      <c r="A89">
        <f>'REGIÃO 1'!A89</f>
        <v/>
      </c>
      <c r="B89">
        <f>'REGIÃO 1'!B89</f>
        <v/>
      </c>
      <c r="C89">
        <f>'REGIÃO 1'!C89</f>
        <v/>
      </c>
      <c r="D89">
        <f>'REGIÃO 1'!D89</f>
        <v/>
      </c>
      <c r="E89">
        <f>'REGIÃO 1'!E89</f>
        <v/>
      </c>
      <c r="F89">
        <f>'REGIÃO 1'!F89</f>
        <v/>
      </c>
      <c r="G89">
        <f>'REGIÃO 1'!G89</f>
        <v/>
      </c>
      <c r="H89">
        <f>'REGIÃO 1'!H89</f>
        <v/>
      </c>
      <c r="I89">
        <f>'REGIÃO 1'!I89</f>
        <v/>
      </c>
      <c r="J89">
        <f>'REGIÃO 1'!J89</f>
        <v/>
      </c>
      <c r="K89" s="36">
        <f>'REGIÃO 1'!K89</f>
        <v/>
      </c>
      <c r="L89" t="inlineStr">
        <is>
          <t>REGIÃO 1</t>
        </is>
      </c>
    </row>
    <row r="90">
      <c r="A90">
        <f>'REGIÃO 1'!A90</f>
        <v/>
      </c>
      <c r="B90">
        <f>'REGIÃO 1'!B90</f>
        <v/>
      </c>
      <c r="C90">
        <f>'REGIÃO 1'!C90</f>
        <v/>
      </c>
      <c r="D90">
        <f>'REGIÃO 1'!D90</f>
        <v/>
      </c>
      <c r="E90">
        <f>'REGIÃO 1'!E90</f>
        <v/>
      </c>
      <c r="F90">
        <f>'REGIÃO 1'!F90</f>
        <v/>
      </c>
      <c r="G90">
        <f>'REGIÃO 1'!G90</f>
        <v/>
      </c>
      <c r="H90">
        <f>'REGIÃO 1'!H90</f>
        <v/>
      </c>
      <c r="I90">
        <f>'REGIÃO 1'!I90</f>
        <v/>
      </c>
      <c r="J90">
        <f>'REGIÃO 1'!J90</f>
        <v/>
      </c>
      <c r="K90" s="36">
        <f>'REGIÃO 1'!K90</f>
        <v/>
      </c>
      <c r="L90" t="inlineStr">
        <is>
          <t>REGIÃO 1</t>
        </is>
      </c>
    </row>
    <row r="91">
      <c r="A91">
        <f>'REGIÃO 1'!A91</f>
        <v/>
      </c>
      <c r="B91">
        <f>'REGIÃO 1'!B91</f>
        <v/>
      </c>
      <c r="C91">
        <f>'REGIÃO 1'!C91</f>
        <v/>
      </c>
      <c r="D91">
        <f>'REGIÃO 1'!D91</f>
        <v/>
      </c>
      <c r="E91">
        <f>'REGIÃO 1'!E91</f>
        <v/>
      </c>
      <c r="F91">
        <f>'REGIÃO 1'!F91</f>
        <v/>
      </c>
      <c r="G91">
        <f>'REGIÃO 1'!G91</f>
        <v/>
      </c>
      <c r="H91">
        <f>'REGIÃO 1'!H91</f>
        <v/>
      </c>
      <c r="I91">
        <f>'REGIÃO 1'!I91</f>
        <v/>
      </c>
      <c r="J91">
        <f>'REGIÃO 1'!J91</f>
        <v/>
      </c>
      <c r="K91" s="36">
        <f>'REGIÃO 1'!K91</f>
        <v/>
      </c>
      <c r="L91" t="inlineStr">
        <is>
          <t>REGIÃO 1</t>
        </is>
      </c>
    </row>
    <row r="92">
      <c r="A92">
        <f>'REGIÃO 1'!A92</f>
        <v/>
      </c>
      <c r="B92">
        <f>'REGIÃO 1'!B92</f>
        <v/>
      </c>
      <c r="C92">
        <f>'REGIÃO 1'!C92</f>
        <v/>
      </c>
      <c r="D92">
        <f>'REGIÃO 1'!D92</f>
        <v/>
      </c>
      <c r="E92">
        <f>'REGIÃO 1'!E92</f>
        <v/>
      </c>
      <c r="F92">
        <f>'REGIÃO 1'!F92</f>
        <v/>
      </c>
      <c r="G92">
        <f>'REGIÃO 1'!G92</f>
        <v/>
      </c>
      <c r="H92">
        <f>'REGIÃO 1'!H92</f>
        <v/>
      </c>
      <c r="I92">
        <f>'REGIÃO 1'!I92</f>
        <v/>
      </c>
      <c r="J92">
        <f>'REGIÃO 1'!J92</f>
        <v/>
      </c>
      <c r="K92" s="36">
        <f>'REGIÃO 1'!K92</f>
        <v/>
      </c>
      <c r="L92" t="inlineStr">
        <is>
          <t>REGIÃO 1</t>
        </is>
      </c>
    </row>
    <row r="93">
      <c r="A93">
        <f>'REGIÃO 1'!A93</f>
        <v/>
      </c>
      <c r="B93">
        <f>'REGIÃO 1'!B93</f>
        <v/>
      </c>
      <c r="C93">
        <f>'REGIÃO 1'!C93</f>
        <v/>
      </c>
      <c r="D93">
        <f>'REGIÃO 1'!D93</f>
        <v/>
      </c>
      <c r="E93">
        <f>'REGIÃO 1'!E93</f>
        <v/>
      </c>
      <c r="F93">
        <f>'REGIÃO 1'!F93</f>
        <v/>
      </c>
      <c r="G93">
        <f>'REGIÃO 1'!G93</f>
        <v/>
      </c>
      <c r="H93">
        <f>'REGIÃO 1'!H93</f>
        <v/>
      </c>
      <c r="I93">
        <f>'REGIÃO 1'!I93</f>
        <v/>
      </c>
      <c r="J93">
        <f>'REGIÃO 1'!J93</f>
        <v/>
      </c>
      <c r="K93" s="36">
        <f>'REGIÃO 1'!K93</f>
        <v/>
      </c>
      <c r="L93" t="inlineStr">
        <is>
          <t>REGIÃO 1</t>
        </is>
      </c>
    </row>
    <row r="94">
      <c r="A94">
        <f>'REGIÃO 1'!A94</f>
        <v/>
      </c>
      <c r="B94">
        <f>'REGIÃO 1'!B94</f>
        <v/>
      </c>
      <c r="C94">
        <f>'REGIÃO 1'!C94</f>
        <v/>
      </c>
      <c r="D94">
        <f>'REGIÃO 1'!D94</f>
        <v/>
      </c>
      <c r="E94">
        <f>'REGIÃO 1'!E94</f>
        <v/>
      </c>
      <c r="F94">
        <f>'REGIÃO 1'!F94</f>
        <v/>
      </c>
      <c r="G94">
        <f>'REGIÃO 1'!G94</f>
        <v/>
      </c>
      <c r="H94">
        <f>'REGIÃO 1'!H94</f>
        <v/>
      </c>
      <c r="I94">
        <f>'REGIÃO 1'!I94</f>
        <v/>
      </c>
      <c r="J94">
        <f>'REGIÃO 1'!J94</f>
        <v/>
      </c>
      <c r="K94" s="36">
        <f>'REGIÃO 1'!K94</f>
        <v/>
      </c>
      <c r="L94" t="inlineStr">
        <is>
          <t>REGIÃO 1</t>
        </is>
      </c>
    </row>
    <row r="95">
      <c r="A95">
        <f>'REGIÃO 1'!A95</f>
        <v/>
      </c>
      <c r="B95">
        <f>'REGIÃO 1'!B95</f>
        <v/>
      </c>
      <c r="C95">
        <f>'REGIÃO 1'!C95</f>
        <v/>
      </c>
      <c r="D95">
        <f>'REGIÃO 1'!D95</f>
        <v/>
      </c>
      <c r="E95">
        <f>'REGIÃO 1'!E95</f>
        <v/>
      </c>
      <c r="F95">
        <f>'REGIÃO 1'!F95</f>
        <v/>
      </c>
      <c r="G95">
        <f>'REGIÃO 1'!G95</f>
        <v/>
      </c>
      <c r="H95">
        <f>'REGIÃO 1'!H95</f>
        <v/>
      </c>
      <c r="I95">
        <f>'REGIÃO 1'!I95</f>
        <v/>
      </c>
      <c r="J95">
        <f>'REGIÃO 1'!J95</f>
        <v/>
      </c>
      <c r="K95" s="36">
        <f>'REGIÃO 1'!K95</f>
        <v/>
      </c>
      <c r="L95" t="inlineStr">
        <is>
          <t>REGIÃO 1</t>
        </is>
      </c>
    </row>
    <row r="96">
      <c r="A96">
        <f>'REGIÃO 1'!A96</f>
        <v/>
      </c>
      <c r="B96">
        <f>'REGIÃO 1'!B96</f>
        <v/>
      </c>
      <c r="C96">
        <f>'REGIÃO 1'!C96</f>
        <v/>
      </c>
      <c r="D96">
        <f>'REGIÃO 1'!D96</f>
        <v/>
      </c>
      <c r="E96">
        <f>'REGIÃO 1'!E96</f>
        <v/>
      </c>
      <c r="F96">
        <f>'REGIÃO 1'!F96</f>
        <v/>
      </c>
      <c r="G96">
        <f>'REGIÃO 1'!G96</f>
        <v/>
      </c>
      <c r="H96">
        <f>'REGIÃO 1'!H96</f>
        <v/>
      </c>
      <c r="I96">
        <f>'REGIÃO 1'!I96</f>
        <v/>
      </c>
      <c r="J96">
        <f>'REGIÃO 1'!J96</f>
        <v/>
      </c>
      <c r="K96" s="36">
        <f>'REGIÃO 1'!K96</f>
        <v/>
      </c>
      <c r="L96" t="inlineStr">
        <is>
          <t>REGIÃO 1</t>
        </is>
      </c>
    </row>
    <row r="97">
      <c r="A97">
        <f>'REGIÃO 1'!A97</f>
        <v/>
      </c>
      <c r="B97">
        <f>'REGIÃO 1'!B97</f>
        <v/>
      </c>
      <c r="C97">
        <f>'REGIÃO 1'!C97</f>
        <v/>
      </c>
      <c r="D97">
        <f>'REGIÃO 1'!D97</f>
        <v/>
      </c>
      <c r="E97">
        <f>'REGIÃO 1'!E97</f>
        <v/>
      </c>
      <c r="F97">
        <f>'REGIÃO 1'!F97</f>
        <v/>
      </c>
      <c r="G97">
        <f>'REGIÃO 1'!G97</f>
        <v/>
      </c>
      <c r="H97">
        <f>'REGIÃO 1'!H97</f>
        <v/>
      </c>
      <c r="I97">
        <f>'REGIÃO 1'!I97</f>
        <v/>
      </c>
      <c r="J97">
        <f>'REGIÃO 1'!J97</f>
        <v/>
      </c>
      <c r="K97" s="36">
        <f>'REGIÃO 1'!K97</f>
        <v/>
      </c>
      <c r="L97" t="inlineStr">
        <is>
          <t>REGIÃO 1</t>
        </is>
      </c>
    </row>
    <row r="98">
      <c r="A98">
        <f>'REGIÃO 1'!A98</f>
        <v/>
      </c>
      <c r="B98">
        <f>'REGIÃO 1'!B98</f>
        <v/>
      </c>
      <c r="C98">
        <f>'REGIÃO 1'!C98</f>
        <v/>
      </c>
      <c r="D98">
        <f>'REGIÃO 1'!D98</f>
        <v/>
      </c>
      <c r="E98">
        <f>'REGIÃO 1'!E98</f>
        <v/>
      </c>
      <c r="F98">
        <f>'REGIÃO 1'!F98</f>
        <v/>
      </c>
      <c r="G98">
        <f>'REGIÃO 1'!G98</f>
        <v/>
      </c>
      <c r="H98">
        <f>'REGIÃO 1'!H98</f>
        <v/>
      </c>
      <c r="I98">
        <f>'REGIÃO 1'!I98</f>
        <v/>
      </c>
      <c r="J98">
        <f>'REGIÃO 1'!J98</f>
        <v/>
      </c>
      <c r="K98" s="36">
        <f>'REGIÃO 1'!K98</f>
        <v/>
      </c>
      <c r="L98" t="inlineStr">
        <is>
          <t>REGIÃO 1</t>
        </is>
      </c>
    </row>
    <row r="99">
      <c r="A99">
        <f>'REGIÃO 1'!A99</f>
        <v/>
      </c>
      <c r="B99">
        <f>'REGIÃO 1'!B99</f>
        <v/>
      </c>
      <c r="C99">
        <f>'REGIÃO 1'!C99</f>
        <v/>
      </c>
      <c r="D99">
        <f>'REGIÃO 1'!D99</f>
        <v/>
      </c>
      <c r="E99">
        <f>'REGIÃO 1'!E99</f>
        <v/>
      </c>
      <c r="F99">
        <f>'REGIÃO 1'!F99</f>
        <v/>
      </c>
      <c r="G99">
        <f>'REGIÃO 1'!G99</f>
        <v/>
      </c>
      <c r="H99">
        <f>'REGIÃO 1'!H99</f>
        <v/>
      </c>
      <c r="I99">
        <f>'REGIÃO 1'!I99</f>
        <v/>
      </c>
      <c r="J99">
        <f>'REGIÃO 1'!J99</f>
        <v/>
      </c>
      <c r="K99" s="36">
        <f>'REGIÃO 1'!K99</f>
        <v/>
      </c>
      <c r="L99" t="inlineStr">
        <is>
          <t>REGIÃO 1</t>
        </is>
      </c>
    </row>
    <row r="100">
      <c r="A100">
        <f>'REGIÃO 1'!A100</f>
        <v/>
      </c>
      <c r="B100">
        <f>'REGIÃO 1'!B100</f>
        <v/>
      </c>
      <c r="C100">
        <f>'REGIÃO 1'!C100</f>
        <v/>
      </c>
      <c r="D100">
        <f>'REGIÃO 1'!D100</f>
        <v/>
      </c>
      <c r="E100">
        <f>'REGIÃO 1'!E100</f>
        <v/>
      </c>
      <c r="F100">
        <f>'REGIÃO 1'!F100</f>
        <v/>
      </c>
      <c r="G100">
        <f>'REGIÃO 1'!G100</f>
        <v/>
      </c>
      <c r="H100">
        <f>'REGIÃO 1'!H100</f>
        <v/>
      </c>
      <c r="I100">
        <f>'REGIÃO 1'!I100</f>
        <v/>
      </c>
      <c r="J100">
        <f>'REGIÃO 1'!J100</f>
        <v/>
      </c>
      <c r="K100" s="36">
        <f>'REGIÃO 1'!K100</f>
        <v/>
      </c>
      <c r="L100" t="inlineStr">
        <is>
          <t>REGIÃO 1</t>
        </is>
      </c>
    </row>
    <row r="101">
      <c r="A101">
        <f>'REGIÃO 1'!A101</f>
        <v/>
      </c>
      <c r="B101">
        <f>'REGIÃO 1'!B101</f>
        <v/>
      </c>
      <c r="C101">
        <f>'REGIÃO 1'!C101</f>
        <v/>
      </c>
      <c r="D101">
        <f>'REGIÃO 1'!D101</f>
        <v/>
      </c>
      <c r="E101">
        <f>'REGIÃO 1'!E101</f>
        <v/>
      </c>
      <c r="F101">
        <f>'REGIÃO 1'!F101</f>
        <v/>
      </c>
      <c r="G101">
        <f>'REGIÃO 1'!G101</f>
        <v/>
      </c>
      <c r="H101">
        <f>'REGIÃO 1'!H101</f>
        <v/>
      </c>
      <c r="I101">
        <f>'REGIÃO 1'!I101</f>
        <v/>
      </c>
      <c r="J101">
        <f>'REGIÃO 1'!J101</f>
        <v/>
      </c>
      <c r="K101" s="36">
        <f>'REGIÃO 1'!K101</f>
        <v/>
      </c>
      <c r="L101" t="inlineStr">
        <is>
          <t>REGIÃO 1</t>
        </is>
      </c>
    </row>
    <row r="102">
      <c r="A102">
        <f>'REGIÃO 1'!A102</f>
        <v/>
      </c>
      <c r="B102">
        <f>'REGIÃO 1'!B102</f>
        <v/>
      </c>
      <c r="C102">
        <f>'REGIÃO 1'!C102</f>
        <v/>
      </c>
      <c r="D102">
        <f>'REGIÃO 1'!D102</f>
        <v/>
      </c>
      <c r="E102">
        <f>'REGIÃO 1'!E102</f>
        <v/>
      </c>
      <c r="F102">
        <f>'REGIÃO 1'!F102</f>
        <v/>
      </c>
      <c r="G102">
        <f>'REGIÃO 1'!G102</f>
        <v/>
      </c>
      <c r="H102">
        <f>'REGIÃO 1'!H102</f>
        <v/>
      </c>
      <c r="I102">
        <f>'REGIÃO 1'!I102</f>
        <v/>
      </c>
      <c r="J102">
        <f>'REGIÃO 1'!J102</f>
        <v/>
      </c>
      <c r="K102" s="36">
        <f>'REGIÃO 1'!K102</f>
        <v/>
      </c>
      <c r="L102" t="inlineStr">
        <is>
          <t>REGIÃO 1</t>
        </is>
      </c>
    </row>
    <row r="103">
      <c r="A103">
        <f>'REGIÃO 1'!A103</f>
        <v/>
      </c>
      <c r="B103">
        <f>'REGIÃO 1'!B103</f>
        <v/>
      </c>
      <c r="C103">
        <f>'REGIÃO 1'!C103</f>
        <v/>
      </c>
      <c r="D103">
        <f>'REGIÃO 1'!D103</f>
        <v/>
      </c>
      <c r="E103">
        <f>'REGIÃO 1'!E103</f>
        <v/>
      </c>
      <c r="F103">
        <f>'REGIÃO 1'!F103</f>
        <v/>
      </c>
      <c r="G103">
        <f>'REGIÃO 1'!G103</f>
        <v/>
      </c>
      <c r="H103">
        <f>'REGIÃO 1'!H103</f>
        <v/>
      </c>
      <c r="I103">
        <f>'REGIÃO 1'!I103</f>
        <v/>
      </c>
      <c r="J103">
        <f>'REGIÃO 1'!J103</f>
        <v/>
      </c>
      <c r="K103" s="36">
        <f>'REGIÃO 1'!K103</f>
        <v/>
      </c>
      <c r="L103" t="inlineStr">
        <is>
          <t>REGIÃO 1</t>
        </is>
      </c>
    </row>
    <row r="104">
      <c r="A104">
        <f>'REGIÃO 1'!A104</f>
        <v/>
      </c>
      <c r="B104">
        <f>'REGIÃO 1'!B104</f>
        <v/>
      </c>
      <c r="C104">
        <f>'REGIÃO 1'!C104</f>
        <v/>
      </c>
      <c r="D104">
        <f>'REGIÃO 1'!D104</f>
        <v/>
      </c>
      <c r="E104">
        <f>'REGIÃO 1'!E104</f>
        <v/>
      </c>
      <c r="F104">
        <f>'REGIÃO 1'!F104</f>
        <v/>
      </c>
      <c r="G104">
        <f>'REGIÃO 1'!G104</f>
        <v/>
      </c>
      <c r="H104">
        <f>'REGIÃO 1'!H104</f>
        <v/>
      </c>
      <c r="I104">
        <f>'REGIÃO 1'!I104</f>
        <v/>
      </c>
      <c r="J104">
        <f>'REGIÃO 1'!J104</f>
        <v/>
      </c>
      <c r="K104" s="36">
        <f>'REGIÃO 1'!K104</f>
        <v/>
      </c>
      <c r="L104" t="inlineStr">
        <is>
          <t>REGIÃO 1</t>
        </is>
      </c>
    </row>
    <row r="105">
      <c r="A105">
        <f>'REGIÃO 1'!A105</f>
        <v/>
      </c>
      <c r="B105">
        <f>'REGIÃO 1'!B105</f>
        <v/>
      </c>
      <c r="C105">
        <f>'REGIÃO 1'!C105</f>
        <v/>
      </c>
      <c r="D105">
        <f>'REGIÃO 1'!D105</f>
        <v/>
      </c>
      <c r="E105">
        <f>'REGIÃO 1'!E105</f>
        <v/>
      </c>
      <c r="F105">
        <f>'REGIÃO 1'!F105</f>
        <v/>
      </c>
      <c r="G105">
        <f>'REGIÃO 1'!G105</f>
        <v/>
      </c>
      <c r="H105">
        <f>'REGIÃO 1'!H105</f>
        <v/>
      </c>
      <c r="I105">
        <f>'REGIÃO 1'!I105</f>
        <v/>
      </c>
      <c r="J105">
        <f>'REGIÃO 1'!J105</f>
        <v/>
      </c>
      <c r="K105" s="36">
        <f>'REGIÃO 1'!K105</f>
        <v/>
      </c>
      <c r="L105" t="inlineStr">
        <is>
          <t>REGIÃO 1</t>
        </is>
      </c>
    </row>
    <row r="106">
      <c r="A106">
        <f>'REGIÃO 1'!A106</f>
        <v/>
      </c>
      <c r="B106">
        <f>'REGIÃO 1'!B106</f>
        <v/>
      </c>
      <c r="C106">
        <f>'REGIÃO 1'!C106</f>
        <v/>
      </c>
      <c r="D106">
        <f>'REGIÃO 1'!D106</f>
        <v/>
      </c>
      <c r="E106">
        <f>'REGIÃO 1'!E106</f>
        <v/>
      </c>
      <c r="F106">
        <f>'REGIÃO 1'!F106</f>
        <v/>
      </c>
      <c r="G106">
        <f>'REGIÃO 1'!G106</f>
        <v/>
      </c>
      <c r="H106">
        <f>'REGIÃO 1'!H106</f>
        <v/>
      </c>
      <c r="I106">
        <f>'REGIÃO 1'!I106</f>
        <v/>
      </c>
      <c r="J106">
        <f>'REGIÃO 1'!J106</f>
        <v/>
      </c>
      <c r="K106" s="36">
        <f>'REGIÃO 1'!K106</f>
        <v/>
      </c>
      <c r="L106" t="inlineStr">
        <is>
          <t>REGIÃO 1</t>
        </is>
      </c>
    </row>
    <row r="107">
      <c r="A107">
        <f>'REGIÃO 1'!A107</f>
        <v/>
      </c>
      <c r="B107">
        <f>'REGIÃO 1'!B107</f>
        <v/>
      </c>
      <c r="C107">
        <f>'REGIÃO 1'!C107</f>
        <v/>
      </c>
      <c r="D107">
        <f>'REGIÃO 1'!D107</f>
        <v/>
      </c>
      <c r="E107">
        <f>'REGIÃO 1'!E107</f>
        <v/>
      </c>
      <c r="F107">
        <f>'REGIÃO 1'!F107</f>
        <v/>
      </c>
      <c r="G107">
        <f>'REGIÃO 1'!G107</f>
        <v/>
      </c>
      <c r="H107">
        <f>'REGIÃO 1'!H107</f>
        <v/>
      </c>
      <c r="I107">
        <f>'REGIÃO 1'!I107</f>
        <v/>
      </c>
      <c r="J107">
        <f>'REGIÃO 1'!J107</f>
        <v/>
      </c>
      <c r="K107" s="36">
        <f>'REGIÃO 1'!K107</f>
        <v/>
      </c>
      <c r="L107" t="inlineStr">
        <is>
          <t>REGIÃO 1</t>
        </is>
      </c>
    </row>
    <row r="108">
      <c r="A108">
        <f>'REGIÃO 1'!A108</f>
        <v/>
      </c>
      <c r="B108">
        <f>'REGIÃO 1'!B108</f>
        <v/>
      </c>
      <c r="C108">
        <f>'REGIÃO 1'!C108</f>
        <v/>
      </c>
      <c r="D108">
        <f>'REGIÃO 1'!D108</f>
        <v/>
      </c>
      <c r="E108">
        <f>'REGIÃO 1'!E108</f>
        <v/>
      </c>
      <c r="F108">
        <f>'REGIÃO 1'!F108</f>
        <v/>
      </c>
      <c r="G108">
        <f>'REGIÃO 1'!G108</f>
        <v/>
      </c>
      <c r="H108">
        <f>'REGIÃO 1'!H108</f>
        <v/>
      </c>
      <c r="I108">
        <f>'REGIÃO 1'!I108</f>
        <v/>
      </c>
      <c r="J108">
        <f>'REGIÃO 1'!J108</f>
        <v/>
      </c>
      <c r="K108" s="36">
        <f>'REGIÃO 1'!K108</f>
        <v/>
      </c>
      <c r="L108" t="inlineStr">
        <is>
          <t>REGIÃO 1</t>
        </is>
      </c>
    </row>
    <row r="109">
      <c r="A109">
        <f>'REGIÃO 1'!A109</f>
        <v/>
      </c>
      <c r="B109">
        <f>'REGIÃO 1'!B109</f>
        <v/>
      </c>
      <c r="C109">
        <f>'REGIÃO 1'!C109</f>
        <v/>
      </c>
      <c r="D109">
        <f>'REGIÃO 1'!D109</f>
        <v/>
      </c>
      <c r="E109">
        <f>'REGIÃO 1'!E109</f>
        <v/>
      </c>
      <c r="F109">
        <f>'REGIÃO 1'!F109</f>
        <v/>
      </c>
      <c r="G109">
        <f>'REGIÃO 1'!G109</f>
        <v/>
      </c>
      <c r="H109">
        <f>'REGIÃO 1'!H109</f>
        <v/>
      </c>
      <c r="I109">
        <f>'REGIÃO 1'!I109</f>
        <v/>
      </c>
      <c r="J109">
        <f>'REGIÃO 1'!J109</f>
        <v/>
      </c>
      <c r="K109" s="36">
        <f>'REGIÃO 1'!K109</f>
        <v/>
      </c>
      <c r="L109" t="inlineStr">
        <is>
          <t>REGIÃO 1</t>
        </is>
      </c>
    </row>
    <row r="110">
      <c r="A110">
        <f>'REGIÃO 1'!A110</f>
        <v/>
      </c>
      <c r="B110">
        <f>'REGIÃO 1'!B110</f>
        <v/>
      </c>
      <c r="C110">
        <f>'REGIÃO 1'!C110</f>
        <v/>
      </c>
      <c r="D110">
        <f>'REGIÃO 1'!D110</f>
        <v/>
      </c>
      <c r="E110">
        <f>'REGIÃO 1'!E110</f>
        <v/>
      </c>
      <c r="F110">
        <f>'REGIÃO 1'!F110</f>
        <v/>
      </c>
      <c r="G110">
        <f>'REGIÃO 1'!G110</f>
        <v/>
      </c>
      <c r="H110">
        <f>'REGIÃO 1'!H110</f>
        <v/>
      </c>
      <c r="I110">
        <f>'REGIÃO 1'!I110</f>
        <v/>
      </c>
      <c r="J110">
        <f>'REGIÃO 1'!J110</f>
        <v/>
      </c>
      <c r="K110" s="36">
        <f>'REGIÃO 1'!K110</f>
        <v/>
      </c>
      <c r="L110" t="inlineStr">
        <is>
          <t>REGIÃO 1</t>
        </is>
      </c>
    </row>
    <row r="111">
      <c r="A111">
        <f>'REGIÃO 1'!A111</f>
        <v/>
      </c>
      <c r="B111">
        <f>'REGIÃO 1'!B111</f>
        <v/>
      </c>
      <c r="C111">
        <f>'REGIÃO 1'!C111</f>
        <v/>
      </c>
      <c r="D111">
        <f>'REGIÃO 1'!D111</f>
        <v/>
      </c>
      <c r="E111">
        <f>'REGIÃO 1'!E111</f>
        <v/>
      </c>
      <c r="F111">
        <f>'REGIÃO 1'!F111</f>
        <v/>
      </c>
      <c r="G111">
        <f>'REGIÃO 1'!G111</f>
        <v/>
      </c>
      <c r="H111">
        <f>'REGIÃO 1'!H111</f>
        <v/>
      </c>
      <c r="I111">
        <f>'REGIÃO 1'!I111</f>
        <v/>
      </c>
      <c r="J111">
        <f>'REGIÃO 1'!J111</f>
        <v/>
      </c>
      <c r="K111" s="36">
        <f>'REGIÃO 1'!K111</f>
        <v/>
      </c>
      <c r="L111" t="inlineStr">
        <is>
          <t>REGIÃO 1</t>
        </is>
      </c>
    </row>
    <row r="112">
      <c r="A112">
        <f>'REGIÃO 1'!A112</f>
        <v/>
      </c>
      <c r="B112">
        <f>'REGIÃO 1'!B112</f>
        <v/>
      </c>
      <c r="C112">
        <f>'REGIÃO 1'!C112</f>
        <v/>
      </c>
      <c r="D112">
        <f>'REGIÃO 1'!D112</f>
        <v/>
      </c>
      <c r="E112">
        <f>'REGIÃO 1'!E112</f>
        <v/>
      </c>
      <c r="F112">
        <f>'REGIÃO 1'!F112</f>
        <v/>
      </c>
      <c r="G112">
        <f>'REGIÃO 1'!G112</f>
        <v/>
      </c>
      <c r="H112">
        <f>'REGIÃO 1'!H112</f>
        <v/>
      </c>
      <c r="I112">
        <f>'REGIÃO 1'!I112</f>
        <v/>
      </c>
      <c r="J112">
        <f>'REGIÃO 1'!J112</f>
        <v/>
      </c>
      <c r="K112" s="36">
        <f>'REGIÃO 1'!K112</f>
        <v/>
      </c>
      <c r="L112" t="inlineStr">
        <is>
          <t>REGIÃO 1</t>
        </is>
      </c>
    </row>
    <row r="113">
      <c r="A113">
        <f>'REGIÃO 1'!A113</f>
        <v/>
      </c>
      <c r="B113">
        <f>'REGIÃO 1'!B113</f>
        <v/>
      </c>
      <c r="C113">
        <f>'REGIÃO 1'!C113</f>
        <v/>
      </c>
      <c r="D113">
        <f>'REGIÃO 1'!D113</f>
        <v/>
      </c>
      <c r="E113">
        <f>'REGIÃO 1'!E113</f>
        <v/>
      </c>
      <c r="F113">
        <f>'REGIÃO 1'!F113</f>
        <v/>
      </c>
      <c r="G113">
        <f>'REGIÃO 1'!G113</f>
        <v/>
      </c>
      <c r="H113">
        <f>'REGIÃO 1'!H113</f>
        <v/>
      </c>
      <c r="I113">
        <f>'REGIÃO 1'!I113</f>
        <v/>
      </c>
      <c r="J113">
        <f>'REGIÃO 1'!J113</f>
        <v/>
      </c>
      <c r="K113" s="36">
        <f>'REGIÃO 1'!K113</f>
        <v/>
      </c>
      <c r="L113" t="inlineStr">
        <is>
          <t>REGIÃO 1</t>
        </is>
      </c>
    </row>
    <row r="114">
      <c r="A114">
        <f>'REGIÃO 1'!A114</f>
        <v/>
      </c>
      <c r="B114">
        <f>'REGIÃO 1'!B114</f>
        <v/>
      </c>
      <c r="C114">
        <f>'REGIÃO 1'!C114</f>
        <v/>
      </c>
      <c r="D114">
        <f>'REGIÃO 1'!D114</f>
        <v/>
      </c>
      <c r="E114">
        <f>'REGIÃO 1'!E114</f>
        <v/>
      </c>
      <c r="F114">
        <f>'REGIÃO 1'!F114</f>
        <v/>
      </c>
      <c r="G114">
        <f>'REGIÃO 1'!G114</f>
        <v/>
      </c>
      <c r="H114">
        <f>'REGIÃO 1'!H114</f>
        <v/>
      </c>
      <c r="I114">
        <f>'REGIÃO 1'!I114</f>
        <v/>
      </c>
      <c r="J114">
        <f>'REGIÃO 1'!J114</f>
        <v/>
      </c>
      <c r="K114" s="36">
        <f>'REGIÃO 1'!K114</f>
        <v/>
      </c>
      <c r="L114" t="inlineStr">
        <is>
          <t>REGIÃO 1</t>
        </is>
      </c>
    </row>
    <row r="115">
      <c r="A115">
        <f>'REGIÃO 1'!A115</f>
        <v/>
      </c>
      <c r="B115">
        <f>'REGIÃO 1'!B115</f>
        <v/>
      </c>
      <c r="C115">
        <f>'REGIÃO 1'!C115</f>
        <v/>
      </c>
      <c r="D115">
        <f>'REGIÃO 1'!D115</f>
        <v/>
      </c>
      <c r="E115">
        <f>'REGIÃO 1'!E115</f>
        <v/>
      </c>
      <c r="F115">
        <f>'REGIÃO 1'!F115</f>
        <v/>
      </c>
      <c r="G115">
        <f>'REGIÃO 1'!G115</f>
        <v/>
      </c>
      <c r="H115">
        <f>'REGIÃO 1'!H115</f>
        <v/>
      </c>
      <c r="I115">
        <f>'REGIÃO 1'!I115</f>
        <v/>
      </c>
      <c r="J115">
        <f>'REGIÃO 1'!J115</f>
        <v/>
      </c>
      <c r="K115" s="36">
        <f>'REGIÃO 1'!K115</f>
        <v/>
      </c>
      <c r="L115" t="inlineStr">
        <is>
          <t>REGIÃO 1</t>
        </is>
      </c>
    </row>
    <row r="116">
      <c r="A116">
        <f>'REGIÃO 1'!A116</f>
        <v/>
      </c>
      <c r="B116">
        <f>'REGIÃO 1'!B116</f>
        <v/>
      </c>
      <c r="C116">
        <f>'REGIÃO 1'!C116</f>
        <v/>
      </c>
      <c r="D116">
        <f>'REGIÃO 1'!D116</f>
        <v/>
      </c>
      <c r="E116">
        <f>'REGIÃO 1'!E116</f>
        <v/>
      </c>
      <c r="F116">
        <f>'REGIÃO 1'!F116</f>
        <v/>
      </c>
      <c r="G116">
        <f>'REGIÃO 1'!G116</f>
        <v/>
      </c>
      <c r="H116">
        <f>'REGIÃO 1'!H116</f>
        <v/>
      </c>
      <c r="I116">
        <f>'REGIÃO 1'!I116</f>
        <v/>
      </c>
      <c r="J116">
        <f>'REGIÃO 1'!J116</f>
        <v/>
      </c>
      <c r="K116" s="36">
        <f>'REGIÃO 1'!K116</f>
        <v/>
      </c>
      <c r="L116" t="inlineStr">
        <is>
          <t>REGIÃO 1</t>
        </is>
      </c>
    </row>
    <row r="117">
      <c r="A117">
        <f>'REGIÃO 1'!A117</f>
        <v/>
      </c>
      <c r="B117">
        <f>'REGIÃO 1'!B117</f>
        <v/>
      </c>
      <c r="C117">
        <f>'REGIÃO 1'!C117</f>
        <v/>
      </c>
      <c r="D117">
        <f>'REGIÃO 1'!D117</f>
        <v/>
      </c>
      <c r="E117">
        <f>'REGIÃO 1'!E117</f>
        <v/>
      </c>
      <c r="F117">
        <f>'REGIÃO 1'!F117</f>
        <v/>
      </c>
      <c r="G117">
        <f>'REGIÃO 1'!G117</f>
        <v/>
      </c>
      <c r="H117">
        <f>'REGIÃO 1'!H117</f>
        <v/>
      </c>
      <c r="I117">
        <f>'REGIÃO 1'!I117</f>
        <v/>
      </c>
      <c r="J117">
        <f>'REGIÃO 1'!J117</f>
        <v/>
      </c>
      <c r="K117" s="36">
        <f>'REGIÃO 1'!K117</f>
        <v/>
      </c>
      <c r="L117" t="inlineStr">
        <is>
          <t>REGIÃO 1</t>
        </is>
      </c>
    </row>
    <row r="118">
      <c r="A118">
        <f>'REGIÃO 1'!A118</f>
        <v/>
      </c>
      <c r="B118">
        <f>'REGIÃO 1'!B118</f>
        <v/>
      </c>
      <c r="C118">
        <f>'REGIÃO 1'!C118</f>
        <v/>
      </c>
      <c r="D118">
        <f>'REGIÃO 1'!D118</f>
        <v/>
      </c>
      <c r="E118">
        <f>'REGIÃO 1'!E118</f>
        <v/>
      </c>
      <c r="F118">
        <f>'REGIÃO 1'!F118</f>
        <v/>
      </c>
      <c r="G118">
        <f>'REGIÃO 1'!G118</f>
        <v/>
      </c>
      <c r="H118">
        <f>'REGIÃO 1'!H118</f>
        <v/>
      </c>
      <c r="I118">
        <f>'REGIÃO 1'!I118</f>
        <v/>
      </c>
      <c r="J118">
        <f>'REGIÃO 1'!J118</f>
        <v/>
      </c>
      <c r="K118" s="36">
        <f>'REGIÃO 1'!K118</f>
        <v/>
      </c>
      <c r="L118" t="inlineStr">
        <is>
          <t>REGIÃO 1</t>
        </is>
      </c>
    </row>
    <row r="119">
      <c r="A119">
        <f>'REGIÃO 1'!A119</f>
        <v/>
      </c>
      <c r="B119">
        <f>'REGIÃO 1'!B119</f>
        <v/>
      </c>
      <c r="C119">
        <f>'REGIÃO 1'!C119</f>
        <v/>
      </c>
      <c r="D119">
        <f>'REGIÃO 1'!D119</f>
        <v/>
      </c>
      <c r="E119">
        <f>'REGIÃO 1'!E119</f>
        <v/>
      </c>
      <c r="F119">
        <f>'REGIÃO 1'!F119</f>
        <v/>
      </c>
      <c r="G119">
        <f>'REGIÃO 1'!G119</f>
        <v/>
      </c>
      <c r="H119">
        <f>'REGIÃO 1'!H119</f>
        <v/>
      </c>
      <c r="I119">
        <f>'REGIÃO 1'!I119</f>
        <v/>
      </c>
      <c r="J119">
        <f>'REGIÃO 1'!J119</f>
        <v/>
      </c>
      <c r="K119" s="36">
        <f>'REGIÃO 1'!K119</f>
        <v/>
      </c>
      <c r="L119" t="inlineStr">
        <is>
          <t>REGIÃO 1</t>
        </is>
      </c>
    </row>
    <row r="120">
      <c r="A120">
        <f>'REGIÃO 1'!A120</f>
        <v/>
      </c>
      <c r="B120">
        <f>'REGIÃO 1'!B120</f>
        <v/>
      </c>
      <c r="C120">
        <f>'REGIÃO 1'!C120</f>
        <v/>
      </c>
      <c r="D120">
        <f>'REGIÃO 1'!D120</f>
        <v/>
      </c>
      <c r="E120">
        <f>'REGIÃO 1'!E120</f>
        <v/>
      </c>
      <c r="F120">
        <f>'REGIÃO 1'!F120</f>
        <v/>
      </c>
      <c r="G120">
        <f>'REGIÃO 1'!G120</f>
        <v/>
      </c>
      <c r="H120">
        <f>'REGIÃO 1'!H120</f>
        <v/>
      </c>
      <c r="I120">
        <f>'REGIÃO 1'!I120</f>
        <v/>
      </c>
      <c r="J120">
        <f>'REGIÃO 1'!J120</f>
        <v/>
      </c>
      <c r="K120" s="36">
        <f>'REGIÃO 1'!K120</f>
        <v/>
      </c>
      <c r="L120" t="inlineStr">
        <is>
          <t>REGIÃO 1</t>
        </is>
      </c>
    </row>
    <row r="121">
      <c r="A121">
        <f>'REGIÃO 1'!A121</f>
        <v/>
      </c>
      <c r="B121">
        <f>'REGIÃO 1'!B121</f>
        <v/>
      </c>
      <c r="C121">
        <f>'REGIÃO 1'!C121</f>
        <v/>
      </c>
      <c r="D121">
        <f>'REGIÃO 1'!D121</f>
        <v/>
      </c>
      <c r="E121">
        <f>'REGIÃO 1'!E121</f>
        <v/>
      </c>
      <c r="F121">
        <f>'REGIÃO 1'!F121</f>
        <v/>
      </c>
      <c r="G121">
        <f>'REGIÃO 1'!G121</f>
        <v/>
      </c>
      <c r="H121">
        <f>'REGIÃO 1'!H121</f>
        <v/>
      </c>
      <c r="I121">
        <f>'REGIÃO 1'!I121</f>
        <v/>
      </c>
      <c r="J121">
        <f>'REGIÃO 1'!J121</f>
        <v/>
      </c>
      <c r="K121" s="36">
        <f>'REGIÃO 1'!K121</f>
        <v/>
      </c>
      <c r="L121" t="inlineStr">
        <is>
          <t>REGIÃO 1</t>
        </is>
      </c>
    </row>
    <row r="122">
      <c r="A122">
        <f>'REGIÃO 1'!A122</f>
        <v/>
      </c>
      <c r="B122">
        <f>'REGIÃO 1'!B122</f>
        <v/>
      </c>
      <c r="C122">
        <f>'REGIÃO 1'!C122</f>
        <v/>
      </c>
      <c r="D122">
        <f>'REGIÃO 1'!D122</f>
        <v/>
      </c>
      <c r="E122">
        <f>'REGIÃO 1'!E122</f>
        <v/>
      </c>
      <c r="F122">
        <f>'REGIÃO 1'!F122</f>
        <v/>
      </c>
      <c r="G122">
        <f>'REGIÃO 1'!G122</f>
        <v/>
      </c>
      <c r="H122">
        <f>'REGIÃO 1'!H122</f>
        <v/>
      </c>
      <c r="I122">
        <f>'REGIÃO 1'!I122</f>
        <v/>
      </c>
      <c r="J122">
        <f>'REGIÃO 1'!J122</f>
        <v/>
      </c>
      <c r="K122" s="36">
        <f>'REGIÃO 1'!K122</f>
        <v/>
      </c>
      <c r="L122" t="inlineStr">
        <is>
          <t>REGIÃO 1</t>
        </is>
      </c>
    </row>
    <row r="123">
      <c r="A123">
        <f>'REGIÃO 1'!A123</f>
        <v/>
      </c>
      <c r="B123">
        <f>'REGIÃO 1'!B123</f>
        <v/>
      </c>
      <c r="C123">
        <f>'REGIÃO 1'!C123</f>
        <v/>
      </c>
      <c r="D123">
        <f>'REGIÃO 1'!D123</f>
        <v/>
      </c>
      <c r="E123">
        <f>'REGIÃO 1'!E123</f>
        <v/>
      </c>
      <c r="F123">
        <f>'REGIÃO 1'!F123</f>
        <v/>
      </c>
      <c r="G123">
        <f>'REGIÃO 1'!G123</f>
        <v/>
      </c>
      <c r="H123">
        <f>'REGIÃO 1'!H123</f>
        <v/>
      </c>
      <c r="I123">
        <f>'REGIÃO 1'!I123</f>
        <v/>
      </c>
      <c r="J123">
        <f>'REGIÃO 1'!J123</f>
        <v/>
      </c>
      <c r="K123" s="36">
        <f>'REGIÃO 1'!K123</f>
        <v/>
      </c>
      <c r="L123" t="inlineStr">
        <is>
          <t>REGIÃO 1</t>
        </is>
      </c>
    </row>
    <row r="124">
      <c r="A124">
        <f>'REGIÃO 1'!A124</f>
        <v/>
      </c>
      <c r="B124">
        <f>'REGIÃO 1'!B124</f>
        <v/>
      </c>
      <c r="C124">
        <f>'REGIÃO 1'!C124</f>
        <v/>
      </c>
      <c r="D124">
        <f>'REGIÃO 1'!D124</f>
        <v/>
      </c>
      <c r="E124">
        <f>'REGIÃO 1'!E124</f>
        <v/>
      </c>
      <c r="F124">
        <f>'REGIÃO 1'!F124</f>
        <v/>
      </c>
      <c r="G124">
        <f>'REGIÃO 1'!G124</f>
        <v/>
      </c>
      <c r="H124">
        <f>'REGIÃO 1'!H124</f>
        <v/>
      </c>
      <c r="I124">
        <f>'REGIÃO 1'!I124</f>
        <v/>
      </c>
      <c r="J124">
        <f>'REGIÃO 1'!J124</f>
        <v/>
      </c>
      <c r="K124" s="36">
        <f>'REGIÃO 1'!K124</f>
        <v/>
      </c>
      <c r="L124" t="inlineStr">
        <is>
          <t>REGIÃO 1</t>
        </is>
      </c>
    </row>
    <row r="125">
      <c r="A125">
        <f>'REGIÃO 1'!A125</f>
        <v/>
      </c>
      <c r="B125">
        <f>'REGIÃO 1'!B125</f>
        <v/>
      </c>
      <c r="C125">
        <f>'REGIÃO 1'!C125</f>
        <v/>
      </c>
      <c r="D125">
        <f>'REGIÃO 1'!D125</f>
        <v/>
      </c>
      <c r="E125">
        <f>'REGIÃO 1'!E125</f>
        <v/>
      </c>
      <c r="F125">
        <f>'REGIÃO 1'!F125</f>
        <v/>
      </c>
      <c r="G125">
        <f>'REGIÃO 1'!G125</f>
        <v/>
      </c>
      <c r="H125">
        <f>'REGIÃO 1'!H125</f>
        <v/>
      </c>
      <c r="I125">
        <f>'REGIÃO 1'!I125</f>
        <v/>
      </c>
      <c r="J125">
        <f>'REGIÃO 1'!J125</f>
        <v/>
      </c>
      <c r="K125" s="36">
        <f>'REGIÃO 1'!K125</f>
        <v/>
      </c>
      <c r="L125" t="inlineStr">
        <is>
          <t>REGIÃO 1</t>
        </is>
      </c>
    </row>
    <row r="126">
      <c r="A126">
        <f>'REGIÃO 1'!A126</f>
        <v/>
      </c>
      <c r="B126">
        <f>'REGIÃO 1'!B126</f>
        <v/>
      </c>
      <c r="C126">
        <f>'REGIÃO 1'!C126</f>
        <v/>
      </c>
      <c r="D126">
        <f>'REGIÃO 1'!D126</f>
        <v/>
      </c>
      <c r="E126">
        <f>'REGIÃO 1'!E126</f>
        <v/>
      </c>
      <c r="F126">
        <f>'REGIÃO 1'!F126</f>
        <v/>
      </c>
      <c r="G126">
        <f>'REGIÃO 1'!G126</f>
        <v/>
      </c>
      <c r="H126">
        <f>'REGIÃO 1'!H126</f>
        <v/>
      </c>
      <c r="I126">
        <f>'REGIÃO 1'!I126</f>
        <v/>
      </c>
      <c r="J126">
        <f>'REGIÃO 1'!J126</f>
        <v/>
      </c>
      <c r="K126" s="36">
        <f>'REGIÃO 1'!K126</f>
        <v/>
      </c>
      <c r="L126" t="inlineStr">
        <is>
          <t>REGIÃO 1</t>
        </is>
      </c>
    </row>
    <row r="127">
      <c r="A127">
        <f>'REGIÃO 1'!A127</f>
        <v/>
      </c>
      <c r="B127">
        <f>'REGIÃO 1'!B127</f>
        <v/>
      </c>
      <c r="C127">
        <f>'REGIÃO 1'!C127</f>
        <v/>
      </c>
      <c r="D127">
        <f>'REGIÃO 1'!D127</f>
        <v/>
      </c>
      <c r="E127">
        <f>'REGIÃO 1'!E127</f>
        <v/>
      </c>
      <c r="F127">
        <f>'REGIÃO 1'!F127</f>
        <v/>
      </c>
      <c r="G127">
        <f>'REGIÃO 1'!G127</f>
        <v/>
      </c>
      <c r="H127">
        <f>'REGIÃO 1'!H127</f>
        <v/>
      </c>
      <c r="I127">
        <f>'REGIÃO 1'!I127</f>
        <v/>
      </c>
      <c r="J127">
        <f>'REGIÃO 1'!J127</f>
        <v/>
      </c>
      <c r="K127" s="36">
        <f>'REGIÃO 1'!K127</f>
        <v/>
      </c>
      <c r="L127" t="inlineStr">
        <is>
          <t>REGIÃO 1</t>
        </is>
      </c>
    </row>
    <row r="128">
      <c r="A128">
        <f>'REGIÃO 1'!A128</f>
        <v/>
      </c>
      <c r="B128">
        <f>'REGIÃO 1'!B128</f>
        <v/>
      </c>
      <c r="C128">
        <f>'REGIÃO 1'!C128</f>
        <v/>
      </c>
      <c r="D128">
        <f>'REGIÃO 1'!D128</f>
        <v/>
      </c>
      <c r="E128">
        <f>'REGIÃO 1'!E128</f>
        <v/>
      </c>
      <c r="F128">
        <f>'REGIÃO 1'!F128</f>
        <v/>
      </c>
      <c r="G128">
        <f>'REGIÃO 1'!G128</f>
        <v/>
      </c>
      <c r="H128">
        <f>'REGIÃO 1'!H128</f>
        <v/>
      </c>
      <c r="I128">
        <f>'REGIÃO 1'!I128</f>
        <v/>
      </c>
      <c r="J128">
        <f>'REGIÃO 1'!J128</f>
        <v/>
      </c>
      <c r="K128" s="36">
        <f>'REGIÃO 1'!K128</f>
        <v/>
      </c>
      <c r="L128" t="inlineStr">
        <is>
          <t>REGIÃO 1</t>
        </is>
      </c>
    </row>
    <row r="129">
      <c r="A129">
        <f>'REGIÃO 1'!A129</f>
        <v/>
      </c>
      <c r="B129">
        <f>'REGIÃO 1'!B129</f>
        <v/>
      </c>
      <c r="C129">
        <f>'REGIÃO 1'!C129</f>
        <v/>
      </c>
      <c r="D129">
        <f>'REGIÃO 1'!D129</f>
        <v/>
      </c>
      <c r="E129">
        <f>'REGIÃO 1'!E129</f>
        <v/>
      </c>
      <c r="F129">
        <f>'REGIÃO 1'!F129</f>
        <v/>
      </c>
      <c r="G129">
        <f>'REGIÃO 1'!G129</f>
        <v/>
      </c>
      <c r="H129">
        <f>'REGIÃO 1'!H129</f>
        <v/>
      </c>
      <c r="I129">
        <f>'REGIÃO 1'!I129</f>
        <v/>
      </c>
      <c r="J129">
        <f>'REGIÃO 1'!J129</f>
        <v/>
      </c>
      <c r="K129" s="36">
        <f>'REGIÃO 1'!K129</f>
        <v/>
      </c>
      <c r="L129" t="inlineStr">
        <is>
          <t>REGIÃO 1</t>
        </is>
      </c>
    </row>
    <row r="130">
      <c r="A130">
        <f>'REGIÃO 1'!A130</f>
        <v/>
      </c>
      <c r="B130">
        <f>'REGIÃO 1'!B130</f>
        <v/>
      </c>
      <c r="C130">
        <f>'REGIÃO 1'!C130</f>
        <v/>
      </c>
      <c r="D130">
        <f>'REGIÃO 1'!D130</f>
        <v/>
      </c>
      <c r="E130">
        <f>'REGIÃO 1'!E130</f>
        <v/>
      </c>
      <c r="F130">
        <f>'REGIÃO 1'!F130</f>
        <v/>
      </c>
      <c r="G130">
        <f>'REGIÃO 1'!G130</f>
        <v/>
      </c>
      <c r="H130">
        <f>'REGIÃO 1'!H130</f>
        <v/>
      </c>
      <c r="I130">
        <f>'REGIÃO 1'!I130</f>
        <v/>
      </c>
      <c r="J130">
        <f>'REGIÃO 1'!J130</f>
        <v/>
      </c>
      <c r="K130" s="36">
        <f>'REGIÃO 1'!K130</f>
        <v/>
      </c>
      <c r="L130" t="inlineStr">
        <is>
          <t>REGIÃO 1</t>
        </is>
      </c>
    </row>
    <row r="131">
      <c r="A131">
        <f>'REGIÃO 1'!A131</f>
        <v/>
      </c>
      <c r="B131">
        <f>'REGIÃO 1'!B131</f>
        <v/>
      </c>
      <c r="C131">
        <f>'REGIÃO 1'!C131</f>
        <v/>
      </c>
      <c r="D131">
        <f>'REGIÃO 1'!D131</f>
        <v/>
      </c>
      <c r="E131">
        <f>'REGIÃO 1'!E131</f>
        <v/>
      </c>
      <c r="F131">
        <f>'REGIÃO 1'!F131</f>
        <v/>
      </c>
      <c r="G131">
        <f>'REGIÃO 1'!G131</f>
        <v/>
      </c>
      <c r="H131">
        <f>'REGIÃO 1'!H131</f>
        <v/>
      </c>
      <c r="I131">
        <f>'REGIÃO 1'!I131</f>
        <v/>
      </c>
      <c r="J131">
        <f>'REGIÃO 1'!J131</f>
        <v/>
      </c>
      <c r="K131" s="36">
        <f>'REGIÃO 1'!K131</f>
        <v/>
      </c>
      <c r="L131" t="inlineStr">
        <is>
          <t>REGIÃO 1</t>
        </is>
      </c>
    </row>
    <row r="132">
      <c r="A132">
        <f>'REGIÃO 1'!A132</f>
        <v/>
      </c>
      <c r="B132">
        <f>'REGIÃO 1'!B132</f>
        <v/>
      </c>
      <c r="C132">
        <f>'REGIÃO 1'!C132</f>
        <v/>
      </c>
      <c r="D132">
        <f>'REGIÃO 1'!D132</f>
        <v/>
      </c>
      <c r="E132">
        <f>'REGIÃO 1'!E132</f>
        <v/>
      </c>
      <c r="F132">
        <f>'REGIÃO 1'!F132</f>
        <v/>
      </c>
      <c r="G132">
        <f>'REGIÃO 1'!G132</f>
        <v/>
      </c>
      <c r="H132">
        <f>'REGIÃO 1'!H132</f>
        <v/>
      </c>
      <c r="I132">
        <f>'REGIÃO 1'!I132</f>
        <v/>
      </c>
      <c r="J132">
        <f>'REGIÃO 1'!J132</f>
        <v/>
      </c>
      <c r="K132" s="36">
        <f>'REGIÃO 1'!K132</f>
        <v/>
      </c>
      <c r="L132" t="inlineStr">
        <is>
          <t>REGIÃO 1</t>
        </is>
      </c>
    </row>
    <row r="133">
      <c r="A133">
        <f>'REGIÃO 1'!A133</f>
        <v/>
      </c>
      <c r="B133">
        <f>'REGIÃO 1'!B133</f>
        <v/>
      </c>
      <c r="C133">
        <f>'REGIÃO 1'!C133</f>
        <v/>
      </c>
      <c r="D133">
        <f>'REGIÃO 1'!D133</f>
        <v/>
      </c>
      <c r="E133">
        <f>'REGIÃO 1'!E133</f>
        <v/>
      </c>
      <c r="F133">
        <f>'REGIÃO 1'!F133</f>
        <v/>
      </c>
      <c r="G133">
        <f>'REGIÃO 1'!G133</f>
        <v/>
      </c>
      <c r="H133">
        <f>'REGIÃO 1'!H133</f>
        <v/>
      </c>
      <c r="I133">
        <f>'REGIÃO 1'!I133</f>
        <v/>
      </c>
      <c r="J133">
        <f>'REGIÃO 1'!J133</f>
        <v/>
      </c>
      <c r="K133" s="36">
        <f>'REGIÃO 1'!K133</f>
        <v/>
      </c>
      <c r="L133" t="inlineStr">
        <is>
          <t>REGIÃO 1</t>
        </is>
      </c>
    </row>
    <row r="134">
      <c r="A134">
        <f>'REGIÃO 1'!A134</f>
        <v/>
      </c>
      <c r="B134">
        <f>'REGIÃO 1'!B134</f>
        <v/>
      </c>
      <c r="C134">
        <f>'REGIÃO 1'!C134</f>
        <v/>
      </c>
      <c r="D134">
        <f>'REGIÃO 1'!D134</f>
        <v/>
      </c>
      <c r="E134">
        <f>'REGIÃO 1'!E134</f>
        <v/>
      </c>
      <c r="F134">
        <f>'REGIÃO 1'!F134</f>
        <v/>
      </c>
      <c r="G134">
        <f>'REGIÃO 1'!G134</f>
        <v/>
      </c>
      <c r="H134">
        <f>'REGIÃO 1'!H134</f>
        <v/>
      </c>
      <c r="I134">
        <f>'REGIÃO 1'!I134</f>
        <v/>
      </c>
      <c r="J134">
        <f>'REGIÃO 1'!J134</f>
        <v/>
      </c>
      <c r="K134" s="36">
        <f>'REGIÃO 1'!K134</f>
        <v/>
      </c>
      <c r="L134" t="inlineStr">
        <is>
          <t>REGIÃO 1</t>
        </is>
      </c>
    </row>
    <row r="135">
      <c r="A135">
        <f>'REGIÃO 1'!A135</f>
        <v/>
      </c>
      <c r="B135">
        <f>'REGIÃO 1'!B135</f>
        <v/>
      </c>
      <c r="C135">
        <f>'REGIÃO 1'!C135</f>
        <v/>
      </c>
      <c r="D135">
        <f>'REGIÃO 1'!D135</f>
        <v/>
      </c>
      <c r="E135">
        <f>'REGIÃO 1'!E135</f>
        <v/>
      </c>
      <c r="F135">
        <f>'REGIÃO 1'!F135</f>
        <v/>
      </c>
      <c r="G135">
        <f>'REGIÃO 1'!G135</f>
        <v/>
      </c>
      <c r="H135">
        <f>'REGIÃO 1'!H135</f>
        <v/>
      </c>
      <c r="I135">
        <f>'REGIÃO 1'!I135</f>
        <v/>
      </c>
      <c r="J135">
        <f>'REGIÃO 1'!J135</f>
        <v/>
      </c>
      <c r="K135" s="36">
        <f>'REGIÃO 1'!K135</f>
        <v/>
      </c>
      <c r="L135" t="inlineStr">
        <is>
          <t>REGIÃO 1</t>
        </is>
      </c>
    </row>
    <row r="136">
      <c r="A136">
        <f>'REGIÃO 1'!A136</f>
        <v/>
      </c>
      <c r="B136">
        <f>'REGIÃO 1'!B136</f>
        <v/>
      </c>
      <c r="C136">
        <f>'REGIÃO 1'!C136</f>
        <v/>
      </c>
      <c r="D136">
        <f>'REGIÃO 1'!D136</f>
        <v/>
      </c>
      <c r="E136">
        <f>'REGIÃO 1'!E136</f>
        <v/>
      </c>
      <c r="F136">
        <f>'REGIÃO 1'!F136</f>
        <v/>
      </c>
      <c r="G136">
        <f>'REGIÃO 1'!G136</f>
        <v/>
      </c>
      <c r="H136">
        <f>'REGIÃO 1'!H136</f>
        <v/>
      </c>
      <c r="I136">
        <f>'REGIÃO 1'!I136</f>
        <v/>
      </c>
      <c r="J136">
        <f>'REGIÃO 1'!J136</f>
        <v/>
      </c>
      <c r="K136" s="36">
        <f>'REGIÃO 1'!K136</f>
        <v/>
      </c>
      <c r="L136" t="inlineStr">
        <is>
          <t>REGIÃO 1</t>
        </is>
      </c>
    </row>
    <row r="137">
      <c r="A137">
        <f>'REGIÃO 1'!A137</f>
        <v/>
      </c>
      <c r="B137">
        <f>'REGIÃO 1'!B137</f>
        <v/>
      </c>
      <c r="C137">
        <f>'REGIÃO 1'!C137</f>
        <v/>
      </c>
      <c r="D137">
        <f>'REGIÃO 1'!D137</f>
        <v/>
      </c>
      <c r="E137">
        <f>'REGIÃO 1'!E137</f>
        <v/>
      </c>
      <c r="F137">
        <f>'REGIÃO 1'!F137</f>
        <v/>
      </c>
      <c r="G137">
        <f>'REGIÃO 1'!G137</f>
        <v/>
      </c>
      <c r="H137">
        <f>'REGIÃO 1'!H137</f>
        <v/>
      </c>
      <c r="I137">
        <f>'REGIÃO 1'!I137</f>
        <v/>
      </c>
      <c r="J137">
        <f>'REGIÃO 1'!J137</f>
        <v/>
      </c>
      <c r="K137" s="36">
        <f>'REGIÃO 1'!K137</f>
        <v/>
      </c>
      <c r="L137" t="inlineStr">
        <is>
          <t>REGIÃO 1</t>
        </is>
      </c>
    </row>
    <row r="138">
      <c r="A138">
        <f>'REGIÃO 1'!A138</f>
        <v/>
      </c>
      <c r="B138">
        <f>'REGIÃO 1'!B138</f>
        <v/>
      </c>
      <c r="C138">
        <f>'REGIÃO 1'!C138</f>
        <v/>
      </c>
      <c r="D138">
        <f>'REGIÃO 1'!D138</f>
        <v/>
      </c>
      <c r="E138">
        <f>'REGIÃO 1'!E138</f>
        <v/>
      </c>
      <c r="F138">
        <f>'REGIÃO 1'!F138</f>
        <v/>
      </c>
      <c r="G138">
        <f>'REGIÃO 1'!G138</f>
        <v/>
      </c>
      <c r="H138">
        <f>'REGIÃO 1'!H138</f>
        <v/>
      </c>
      <c r="I138">
        <f>'REGIÃO 1'!I138</f>
        <v/>
      </c>
      <c r="J138">
        <f>'REGIÃO 1'!J138</f>
        <v/>
      </c>
      <c r="K138" s="36">
        <f>'REGIÃO 1'!K138</f>
        <v/>
      </c>
      <c r="L138" t="inlineStr">
        <is>
          <t>REGIÃO 1</t>
        </is>
      </c>
    </row>
    <row r="139">
      <c r="A139">
        <f>'REGIÃO 1'!A139</f>
        <v/>
      </c>
      <c r="B139">
        <f>'REGIÃO 1'!B139</f>
        <v/>
      </c>
      <c r="C139">
        <f>'REGIÃO 1'!C139</f>
        <v/>
      </c>
      <c r="D139">
        <f>'REGIÃO 1'!D139</f>
        <v/>
      </c>
      <c r="E139">
        <f>'REGIÃO 1'!E139</f>
        <v/>
      </c>
      <c r="F139">
        <f>'REGIÃO 1'!F139</f>
        <v/>
      </c>
      <c r="G139">
        <f>'REGIÃO 1'!G139</f>
        <v/>
      </c>
      <c r="H139">
        <f>'REGIÃO 1'!H139</f>
        <v/>
      </c>
      <c r="I139">
        <f>'REGIÃO 1'!I139</f>
        <v/>
      </c>
      <c r="J139">
        <f>'REGIÃO 1'!J139</f>
        <v/>
      </c>
      <c r="K139" s="36">
        <f>'REGIÃO 1'!K139</f>
        <v/>
      </c>
      <c r="L139" t="inlineStr">
        <is>
          <t>REGIÃO 1</t>
        </is>
      </c>
    </row>
    <row r="140">
      <c r="A140">
        <f>'REGIÃO 1'!A140</f>
        <v/>
      </c>
      <c r="B140">
        <f>'REGIÃO 1'!B140</f>
        <v/>
      </c>
      <c r="C140">
        <f>'REGIÃO 1'!C140</f>
        <v/>
      </c>
      <c r="D140">
        <f>'REGIÃO 1'!D140</f>
        <v/>
      </c>
      <c r="E140">
        <f>'REGIÃO 1'!E140</f>
        <v/>
      </c>
      <c r="F140">
        <f>'REGIÃO 1'!F140</f>
        <v/>
      </c>
      <c r="G140">
        <f>'REGIÃO 1'!G140</f>
        <v/>
      </c>
      <c r="H140">
        <f>'REGIÃO 1'!H140</f>
        <v/>
      </c>
      <c r="I140">
        <f>'REGIÃO 1'!I140</f>
        <v/>
      </c>
      <c r="J140">
        <f>'REGIÃO 1'!J140</f>
        <v/>
      </c>
      <c r="K140" s="36">
        <f>'REGIÃO 1'!K140</f>
        <v/>
      </c>
      <c r="L140" t="inlineStr">
        <is>
          <t>REGIÃO 1</t>
        </is>
      </c>
    </row>
    <row r="141">
      <c r="A141">
        <f>'REGIÃO 1'!A141</f>
        <v/>
      </c>
      <c r="B141">
        <f>'REGIÃO 1'!B141</f>
        <v/>
      </c>
      <c r="C141">
        <f>'REGIÃO 1'!C141</f>
        <v/>
      </c>
      <c r="D141">
        <f>'REGIÃO 1'!D141</f>
        <v/>
      </c>
      <c r="E141">
        <f>'REGIÃO 1'!E141</f>
        <v/>
      </c>
      <c r="F141">
        <f>'REGIÃO 1'!F141</f>
        <v/>
      </c>
      <c r="G141">
        <f>'REGIÃO 1'!G141</f>
        <v/>
      </c>
      <c r="H141">
        <f>'REGIÃO 1'!H141</f>
        <v/>
      </c>
      <c r="I141">
        <f>'REGIÃO 1'!I141</f>
        <v/>
      </c>
      <c r="J141">
        <f>'REGIÃO 1'!J141</f>
        <v/>
      </c>
      <c r="K141" s="36">
        <f>'REGIÃO 1'!K141</f>
        <v/>
      </c>
      <c r="L141" t="inlineStr">
        <is>
          <t>REGIÃO 1</t>
        </is>
      </c>
    </row>
    <row r="142">
      <c r="A142">
        <f>'REGIÃO 1'!A142</f>
        <v/>
      </c>
      <c r="B142">
        <f>'REGIÃO 1'!B142</f>
        <v/>
      </c>
      <c r="C142">
        <f>'REGIÃO 1'!C142</f>
        <v/>
      </c>
      <c r="D142">
        <f>'REGIÃO 1'!D142</f>
        <v/>
      </c>
      <c r="E142">
        <f>'REGIÃO 1'!E142</f>
        <v/>
      </c>
      <c r="F142">
        <f>'REGIÃO 1'!F142</f>
        <v/>
      </c>
      <c r="G142">
        <f>'REGIÃO 1'!G142</f>
        <v/>
      </c>
      <c r="H142">
        <f>'REGIÃO 1'!H142</f>
        <v/>
      </c>
      <c r="I142">
        <f>'REGIÃO 1'!I142</f>
        <v/>
      </c>
      <c r="J142">
        <f>'REGIÃO 1'!J142</f>
        <v/>
      </c>
      <c r="K142" s="36">
        <f>'REGIÃO 1'!K142</f>
        <v/>
      </c>
      <c r="L142" t="inlineStr">
        <is>
          <t>REGIÃO 1</t>
        </is>
      </c>
    </row>
    <row r="143">
      <c r="A143">
        <f>'REGIÃO 1'!A143</f>
        <v/>
      </c>
      <c r="B143">
        <f>'REGIÃO 1'!B143</f>
        <v/>
      </c>
      <c r="C143">
        <f>'REGIÃO 1'!C143</f>
        <v/>
      </c>
      <c r="D143">
        <f>'REGIÃO 1'!D143</f>
        <v/>
      </c>
      <c r="E143">
        <f>'REGIÃO 1'!E143</f>
        <v/>
      </c>
      <c r="F143">
        <f>'REGIÃO 1'!F143</f>
        <v/>
      </c>
      <c r="G143">
        <f>'REGIÃO 1'!G143</f>
        <v/>
      </c>
      <c r="H143">
        <f>'REGIÃO 1'!H143</f>
        <v/>
      </c>
      <c r="I143">
        <f>'REGIÃO 1'!I143</f>
        <v/>
      </c>
      <c r="J143">
        <f>'REGIÃO 1'!J143</f>
        <v/>
      </c>
      <c r="K143" s="36">
        <f>'REGIÃO 1'!K143</f>
        <v/>
      </c>
      <c r="L143" t="inlineStr">
        <is>
          <t>REGIÃO 1</t>
        </is>
      </c>
    </row>
    <row r="144">
      <c r="A144">
        <f>'REGIÃO 1'!A144</f>
        <v/>
      </c>
      <c r="B144">
        <f>'REGIÃO 1'!B144</f>
        <v/>
      </c>
      <c r="C144">
        <f>'REGIÃO 1'!C144</f>
        <v/>
      </c>
      <c r="D144">
        <f>'REGIÃO 1'!D144</f>
        <v/>
      </c>
      <c r="E144">
        <f>'REGIÃO 1'!E144</f>
        <v/>
      </c>
      <c r="F144">
        <f>'REGIÃO 1'!F144</f>
        <v/>
      </c>
      <c r="G144">
        <f>'REGIÃO 1'!G144</f>
        <v/>
      </c>
      <c r="H144">
        <f>'REGIÃO 1'!H144</f>
        <v/>
      </c>
      <c r="I144">
        <f>'REGIÃO 1'!I144</f>
        <v/>
      </c>
      <c r="J144">
        <f>'REGIÃO 1'!J144</f>
        <v/>
      </c>
      <c r="K144" s="36">
        <f>'REGIÃO 1'!K144</f>
        <v/>
      </c>
      <c r="L144" t="inlineStr">
        <is>
          <t>REGIÃO 1</t>
        </is>
      </c>
    </row>
    <row r="145">
      <c r="A145">
        <f>'REGIÃO 1'!A145</f>
        <v/>
      </c>
      <c r="B145">
        <f>'REGIÃO 1'!B145</f>
        <v/>
      </c>
      <c r="C145">
        <f>'REGIÃO 1'!C145</f>
        <v/>
      </c>
      <c r="D145">
        <f>'REGIÃO 1'!D145</f>
        <v/>
      </c>
      <c r="E145">
        <f>'REGIÃO 1'!E145</f>
        <v/>
      </c>
      <c r="F145">
        <f>'REGIÃO 1'!F145</f>
        <v/>
      </c>
      <c r="G145">
        <f>'REGIÃO 1'!G145</f>
        <v/>
      </c>
      <c r="H145">
        <f>'REGIÃO 1'!H145</f>
        <v/>
      </c>
      <c r="I145">
        <f>'REGIÃO 1'!I145</f>
        <v/>
      </c>
      <c r="J145">
        <f>'REGIÃO 1'!J145</f>
        <v/>
      </c>
      <c r="K145" s="36">
        <f>'REGIÃO 1'!K145</f>
        <v/>
      </c>
      <c r="L145" t="inlineStr">
        <is>
          <t>REGIÃO 1</t>
        </is>
      </c>
    </row>
    <row r="146">
      <c r="A146">
        <f>'REGIÃO 1'!A146</f>
        <v/>
      </c>
      <c r="B146">
        <f>'REGIÃO 1'!B146</f>
        <v/>
      </c>
      <c r="C146">
        <f>'REGIÃO 1'!C146</f>
        <v/>
      </c>
      <c r="D146">
        <f>'REGIÃO 1'!D146</f>
        <v/>
      </c>
      <c r="E146">
        <f>'REGIÃO 1'!E146</f>
        <v/>
      </c>
      <c r="F146">
        <f>'REGIÃO 1'!F146</f>
        <v/>
      </c>
      <c r="G146">
        <f>'REGIÃO 1'!G146</f>
        <v/>
      </c>
      <c r="H146">
        <f>'REGIÃO 1'!H146</f>
        <v/>
      </c>
      <c r="I146">
        <f>'REGIÃO 1'!I146</f>
        <v/>
      </c>
      <c r="J146">
        <f>'REGIÃO 1'!J146</f>
        <v/>
      </c>
      <c r="K146" s="36">
        <f>'REGIÃO 1'!K146</f>
        <v/>
      </c>
      <c r="L146" t="inlineStr">
        <is>
          <t>REGIÃO 1</t>
        </is>
      </c>
    </row>
    <row r="147">
      <c r="A147">
        <f>'REGIÃO 1'!A147</f>
        <v/>
      </c>
      <c r="B147">
        <f>'REGIÃO 1'!B147</f>
        <v/>
      </c>
      <c r="C147">
        <f>'REGIÃO 1'!C147</f>
        <v/>
      </c>
      <c r="D147">
        <f>'REGIÃO 1'!D147</f>
        <v/>
      </c>
      <c r="E147">
        <f>'REGIÃO 1'!E147</f>
        <v/>
      </c>
      <c r="F147">
        <f>'REGIÃO 1'!F147</f>
        <v/>
      </c>
      <c r="G147">
        <f>'REGIÃO 1'!G147</f>
        <v/>
      </c>
      <c r="H147">
        <f>'REGIÃO 1'!H147</f>
        <v/>
      </c>
      <c r="I147">
        <f>'REGIÃO 1'!I147</f>
        <v/>
      </c>
      <c r="J147">
        <f>'REGIÃO 1'!J147</f>
        <v/>
      </c>
      <c r="K147" s="36">
        <f>'REGIÃO 1'!K147</f>
        <v/>
      </c>
      <c r="L147" t="inlineStr">
        <is>
          <t>REGIÃO 1</t>
        </is>
      </c>
    </row>
    <row r="148">
      <c r="A148">
        <f>'REGIÃO 1'!A148</f>
        <v/>
      </c>
      <c r="B148">
        <f>'REGIÃO 1'!B148</f>
        <v/>
      </c>
      <c r="C148">
        <f>'REGIÃO 1'!C148</f>
        <v/>
      </c>
      <c r="D148">
        <f>'REGIÃO 1'!D148</f>
        <v/>
      </c>
      <c r="E148">
        <f>'REGIÃO 1'!E148</f>
        <v/>
      </c>
      <c r="F148">
        <f>'REGIÃO 1'!F148</f>
        <v/>
      </c>
      <c r="G148">
        <f>'REGIÃO 1'!G148</f>
        <v/>
      </c>
      <c r="H148">
        <f>'REGIÃO 1'!H148</f>
        <v/>
      </c>
      <c r="I148">
        <f>'REGIÃO 1'!I148</f>
        <v/>
      </c>
      <c r="J148">
        <f>'REGIÃO 1'!J148</f>
        <v/>
      </c>
      <c r="K148" s="36">
        <f>'REGIÃO 1'!K148</f>
        <v/>
      </c>
      <c r="L148" t="inlineStr">
        <is>
          <t>REGIÃO 1</t>
        </is>
      </c>
    </row>
    <row r="149">
      <c r="A149">
        <f>'REGIÃO 1'!A149</f>
        <v/>
      </c>
      <c r="B149">
        <f>'REGIÃO 1'!B149</f>
        <v/>
      </c>
      <c r="C149">
        <f>'REGIÃO 1'!C149</f>
        <v/>
      </c>
      <c r="D149">
        <f>'REGIÃO 1'!D149</f>
        <v/>
      </c>
      <c r="E149">
        <f>'REGIÃO 1'!E149</f>
        <v/>
      </c>
      <c r="F149">
        <f>'REGIÃO 1'!F149</f>
        <v/>
      </c>
      <c r="G149">
        <f>'REGIÃO 1'!G149</f>
        <v/>
      </c>
      <c r="H149">
        <f>'REGIÃO 1'!H149</f>
        <v/>
      </c>
      <c r="I149">
        <f>'REGIÃO 1'!I149</f>
        <v/>
      </c>
      <c r="J149">
        <f>'REGIÃO 1'!J149</f>
        <v/>
      </c>
      <c r="K149" s="36">
        <f>'REGIÃO 1'!K149</f>
        <v/>
      </c>
      <c r="L149" t="inlineStr">
        <is>
          <t>REGIÃO 1</t>
        </is>
      </c>
    </row>
    <row r="150">
      <c r="A150">
        <f>'REGIÃO 1'!A150</f>
        <v/>
      </c>
      <c r="B150">
        <f>'REGIÃO 1'!B150</f>
        <v/>
      </c>
      <c r="C150">
        <f>'REGIÃO 1'!C150</f>
        <v/>
      </c>
      <c r="D150">
        <f>'REGIÃO 1'!D150</f>
        <v/>
      </c>
      <c r="E150">
        <f>'REGIÃO 1'!E150</f>
        <v/>
      </c>
      <c r="F150">
        <f>'REGIÃO 1'!F150</f>
        <v/>
      </c>
      <c r="G150">
        <f>'REGIÃO 1'!G150</f>
        <v/>
      </c>
      <c r="H150">
        <f>'REGIÃO 1'!H150</f>
        <v/>
      </c>
      <c r="I150">
        <f>'REGIÃO 1'!I150</f>
        <v/>
      </c>
      <c r="J150">
        <f>'REGIÃO 1'!J150</f>
        <v/>
      </c>
      <c r="K150" s="36">
        <f>'REGIÃO 1'!K150</f>
        <v/>
      </c>
      <c r="L150" t="inlineStr">
        <is>
          <t>REGIÃO 1</t>
        </is>
      </c>
    </row>
    <row r="151">
      <c r="A151">
        <f>'REGIÃO 1'!A151</f>
        <v/>
      </c>
      <c r="B151">
        <f>'REGIÃO 1'!B151</f>
        <v/>
      </c>
      <c r="C151">
        <f>'REGIÃO 1'!C151</f>
        <v/>
      </c>
      <c r="D151">
        <f>'REGIÃO 1'!D151</f>
        <v/>
      </c>
      <c r="E151">
        <f>'REGIÃO 1'!E151</f>
        <v/>
      </c>
      <c r="F151">
        <f>'REGIÃO 1'!F151</f>
        <v/>
      </c>
      <c r="G151">
        <f>'REGIÃO 1'!G151</f>
        <v/>
      </c>
      <c r="H151">
        <f>'REGIÃO 1'!H151</f>
        <v/>
      </c>
      <c r="I151">
        <f>'REGIÃO 1'!I151</f>
        <v/>
      </c>
      <c r="J151">
        <f>'REGIÃO 1'!J151</f>
        <v/>
      </c>
      <c r="K151" s="36">
        <f>'REGIÃO 1'!K151</f>
        <v/>
      </c>
      <c r="L151" t="inlineStr">
        <is>
          <t>REGIÃO 1</t>
        </is>
      </c>
    </row>
    <row r="152">
      <c r="A152">
        <f>'REGIÃO 1'!A152</f>
        <v/>
      </c>
      <c r="B152">
        <f>'REGIÃO 1'!B152</f>
        <v/>
      </c>
      <c r="C152">
        <f>'REGIÃO 1'!C152</f>
        <v/>
      </c>
      <c r="D152">
        <f>'REGIÃO 1'!D152</f>
        <v/>
      </c>
      <c r="E152">
        <f>'REGIÃO 1'!E152</f>
        <v/>
      </c>
      <c r="F152">
        <f>'REGIÃO 1'!F152</f>
        <v/>
      </c>
      <c r="G152">
        <f>'REGIÃO 1'!G152</f>
        <v/>
      </c>
      <c r="H152">
        <f>'REGIÃO 1'!H152</f>
        <v/>
      </c>
      <c r="I152">
        <f>'REGIÃO 1'!I152</f>
        <v/>
      </c>
      <c r="J152">
        <f>'REGIÃO 1'!J152</f>
        <v/>
      </c>
      <c r="K152" s="36">
        <f>'REGIÃO 1'!K152</f>
        <v/>
      </c>
      <c r="L152" t="inlineStr">
        <is>
          <t>REGIÃO 1</t>
        </is>
      </c>
    </row>
    <row r="153">
      <c r="A153">
        <f>'REGIÃO 1'!A153</f>
        <v/>
      </c>
      <c r="B153">
        <f>'REGIÃO 1'!B153</f>
        <v/>
      </c>
      <c r="C153">
        <f>'REGIÃO 1'!C153</f>
        <v/>
      </c>
      <c r="D153">
        <f>'REGIÃO 1'!D153</f>
        <v/>
      </c>
      <c r="E153">
        <f>'REGIÃO 1'!E153</f>
        <v/>
      </c>
      <c r="F153">
        <f>'REGIÃO 1'!F153</f>
        <v/>
      </c>
      <c r="G153">
        <f>'REGIÃO 1'!G153</f>
        <v/>
      </c>
      <c r="H153">
        <f>'REGIÃO 1'!H153</f>
        <v/>
      </c>
      <c r="I153">
        <f>'REGIÃO 1'!I153</f>
        <v/>
      </c>
      <c r="J153">
        <f>'REGIÃO 1'!J153</f>
        <v/>
      </c>
      <c r="K153" s="36">
        <f>'REGIÃO 1'!K153</f>
        <v/>
      </c>
      <c r="L153" t="inlineStr">
        <is>
          <t>REGIÃO 1</t>
        </is>
      </c>
    </row>
    <row r="154">
      <c r="A154">
        <f>'REGIÃO 1'!A154</f>
        <v/>
      </c>
      <c r="B154">
        <f>'REGIÃO 1'!B154</f>
        <v/>
      </c>
      <c r="C154">
        <f>'REGIÃO 1'!C154</f>
        <v/>
      </c>
      <c r="D154">
        <f>'REGIÃO 1'!D154</f>
        <v/>
      </c>
      <c r="E154">
        <f>'REGIÃO 1'!E154</f>
        <v/>
      </c>
      <c r="F154">
        <f>'REGIÃO 1'!F154</f>
        <v/>
      </c>
      <c r="G154">
        <f>'REGIÃO 1'!G154</f>
        <v/>
      </c>
      <c r="H154">
        <f>'REGIÃO 1'!H154</f>
        <v/>
      </c>
      <c r="I154">
        <f>'REGIÃO 1'!I154</f>
        <v/>
      </c>
      <c r="J154">
        <f>'REGIÃO 1'!J154</f>
        <v/>
      </c>
      <c r="K154" s="36">
        <f>'REGIÃO 1'!K154</f>
        <v/>
      </c>
      <c r="L154" t="inlineStr">
        <is>
          <t>REGIÃO 1</t>
        </is>
      </c>
    </row>
    <row r="155">
      <c r="A155">
        <f>'REGIÃO 1'!A155</f>
        <v/>
      </c>
      <c r="B155">
        <f>'REGIÃO 1'!B155</f>
        <v/>
      </c>
      <c r="C155">
        <f>'REGIÃO 1'!C155</f>
        <v/>
      </c>
      <c r="D155">
        <f>'REGIÃO 1'!D155</f>
        <v/>
      </c>
      <c r="E155">
        <f>'REGIÃO 1'!E155</f>
        <v/>
      </c>
      <c r="F155">
        <f>'REGIÃO 1'!F155</f>
        <v/>
      </c>
      <c r="G155">
        <f>'REGIÃO 1'!G155</f>
        <v/>
      </c>
      <c r="H155">
        <f>'REGIÃO 1'!H155</f>
        <v/>
      </c>
      <c r="I155">
        <f>'REGIÃO 1'!I155</f>
        <v/>
      </c>
      <c r="J155">
        <f>'REGIÃO 1'!J155</f>
        <v/>
      </c>
      <c r="K155" s="36">
        <f>'REGIÃO 1'!K155</f>
        <v/>
      </c>
      <c r="L155" t="inlineStr">
        <is>
          <t>REGIÃO 1</t>
        </is>
      </c>
    </row>
    <row r="156">
      <c r="A156">
        <f>'REGIÃO 1'!A156</f>
        <v/>
      </c>
      <c r="B156">
        <f>'REGIÃO 1'!B156</f>
        <v/>
      </c>
      <c r="C156">
        <f>'REGIÃO 1'!C156</f>
        <v/>
      </c>
      <c r="D156">
        <f>'REGIÃO 1'!D156</f>
        <v/>
      </c>
      <c r="E156">
        <f>'REGIÃO 1'!E156</f>
        <v/>
      </c>
      <c r="F156">
        <f>'REGIÃO 1'!F156</f>
        <v/>
      </c>
      <c r="G156">
        <f>'REGIÃO 1'!G156</f>
        <v/>
      </c>
      <c r="H156">
        <f>'REGIÃO 1'!H156</f>
        <v/>
      </c>
      <c r="I156">
        <f>'REGIÃO 1'!I156</f>
        <v/>
      </c>
      <c r="J156">
        <f>'REGIÃO 1'!J156</f>
        <v/>
      </c>
      <c r="K156" s="36">
        <f>'REGIÃO 1'!K156</f>
        <v/>
      </c>
      <c r="L156" t="inlineStr">
        <is>
          <t>REGIÃO 1</t>
        </is>
      </c>
    </row>
    <row r="157">
      <c r="A157">
        <f>'REGIÃO 1'!A157</f>
        <v/>
      </c>
      <c r="B157">
        <f>'REGIÃO 1'!B157</f>
        <v/>
      </c>
      <c r="C157">
        <f>'REGIÃO 1'!C157</f>
        <v/>
      </c>
      <c r="D157">
        <f>'REGIÃO 1'!D157</f>
        <v/>
      </c>
      <c r="E157">
        <f>'REGIÃO 1'!E157</f>
        <v/>
      </c>
      <c r="F157">
        <f>'REGIÃO 1'!F157</f>
        <v/>
      </c>
      <c r="G157">
        <f>'REGIÃO 1'!G157</f>
        <v/>
      </c>
      <c r="H157">
        <f>'REGIÃO 1'!H157</f>
        <v/>
      </c>
      <c r="I157">
        <f>'REGIÃO 1'!I157</f>
        <v/>
      </c>
      <c r="J157">
        <f>'REGIÃO 1'!J157</f>
        <v/>
      </c>
      <c r="K157" s="36">
        <f>'REGIÃO 1'!K157</f>
        <v/>
      </c>
      <c r="L157" t="inlineStr">
        <is>
          <t>REGIÃO 1</t>
        </is>
      </c>
    </row>
    <row r="158">
      <c r="A158">
        <f>'REGIÃO 1'!A158</f>
        <v/>
      </c>
      <c r="B158">
        <f>'REGIÃO 1'!B158</f>
        <v/>
      </c>
      <c r="C158">
        <f>'REGIÃO 1'!C158</f>
        <v/>
      </c>
      <c r="D158">
        <f>'REGIÃO 1'!D158</f>
        <v/>
      </c>
      <c r="E158">
        <f>'REGIÃO 1'!E158</f>
        <v/>
      </c>
      <c r="F158">
        <f>'REGIÃO 1'!F158</f>
        <v/>
      </c>
      <c r="G158">
        <f>'REGIÃO 1'!G158</f>
        <v/>
      </c>
      <c r="H158">
        <f>'REGIÃO 1'!H158</f>
        <v/>
      </c>
      <c r="I158">
        <f>'REGIÃO 1'!I158</f>
        <v/>
      </c>
      <c r="J158">
        <f>'REGIÃO 1'!J158</f>
        <v/>
      </c>
      <c r="K158" s="36">
        <f>'REGIÃO 1'!K158</f>
        <v/>
      </c>
      <c r="L158" t="inlineStr">
        <is>
          <t>REGIÃO 1</t>
        </is>
      </c>
    </row>
    <row r="159">
      <c r="A159">
        <f>'REGIÃO 1'!A159</f>
        <v/>
      </c>
      <c r="B159">
        <f>'REGIÃO 1'!B159</f>
        <v/>
      </c>
      <c r="C159">
        <f>'REGIÃO 1'!C159</f>
        <v/>
      </c>
      <c r="D159">
        <f>'REGIÃO 1'!D159</f>
        <v/>
      </c>
      <c r="E159">
        <f>'REGIÃO 1'!E159</f>
        <v/>
      </c>
      <c r="F159">
        <f>'REGIÃO 1'!F159</f>
        <v/>
      </c>
      <c r="G159">
        <f>'REGIÃO 1'!G159</f>
        <v/>
      </c>
      <c r="H159">
        <f>'REGIÃO 1'!H159</f>
        <v/>
      </c>
      <c r="I159">
        <f>'REGIÃO 1'!I159</f>
        <v/>
      </c>
      <c r="J159">
        <f>'REGIÃO 1'!J159</f>
        <v/>
      </c>
      <c r="K159" s="36">
        <f>'REGIÃO 1'!K159</f>
        <v/>
      </c>
      <c r="L159" t="inlineStr">
        <is>
          <t>REGIÃO 1</t>
        </is>
      </c>
    </row>
    <row r="160">
      <c r="A160">
        <f>'REGIÃO 1'!A160</f>
        <v/>
      </c>
      <c r="B160">
        <f>'REGIÃO 1'!B160</f>
        <v/>
      </c>
      <c r="C160">
        <f>'REGIÃO 1'!C160</f>
        <v/>
      </c>
      <c r="D160">
        <f>'REGIÃO 1'!D160</f>
        <v/>
      </c>
      <c r="E160">
        <f>'REGIÃO 1'!E160</f>
        <v/>
      </c>
      <c r="F160">
        <f>'REGIÃO 1'!F160</f>
        <v/>
      </c>
      <c r="G160">
        <f>'REGIÃO 1'!G160</f>
        <v/>
      </c>
      <c r="H160">
        <f>'REGIÃO 1'!H160</f>
        <v/>
      </c>
      <c r="I160">
        <f>'REGIÃO 1'!I160</f>
        <v/>
      </c>
      <c r="J160">
        <f>'REGIÃO 1'!J160</f>
        <v/>
      </c>
      <c r="K160" s="36">
        <f>'REGIÃO 1'!K160</f>
        <v/>
      </c>
      <c r="L160" t="inlineStr">
        <is>
          <t>REGIÃO 1</t>
        </is>
      </c>
    </row>
    <row r="161">
      <c r="A161">
        <f>'REGIÃO 1'!A161</f>
        <v/>
      </c>
      <c r="B161">
        <f>'REGIÃO 1'!B161</f>
        <v/>
      </c>
      <c r="C161">
        <f>'REGIÃO 1'!C161</f>
        <v/>
      </c>
      <c r="D161">
        <f>'REGIÃO 1'!D161</f>
        <v/>
      </c>
      <c r="E161">
        <f>'REGIÃO 1'!E161</f>
        <v/>
      </c>
      <c r="F161">
        <f>'REGIÃO 1'!F161</f>
        <v/>
      </c>
      <c r="G161">
        <f>'REGIÃO 1'!G161</f>
        <v/>
      </c>
      <c r="H161">
        <f>'REGIÃO 1'!H161</f>
        <v/>
      </c>
      <c r="I161">
        <f>'REGIÃO 1'!I161</f>
        <v/>
      </c>
      <c r="J161">
        <f>'REGIÃO 1'!J161</f>
        <v/>
      </c>
      <c r="K161" s="36">
        <f>'REGIÃO 1'!K161</f>
        <v/>
      </c>
      <c r="L161" t="inlineStr">
        <is>
          <t>REGIÃO 1</t>
        </is>
      </c>
    </row>
    <row r="162">
      <c r="A162">
        <f>'REGIÃO 1'!A162</f>
        <v/>
      </c>
      <c r="B162">
        <f>'REGIÃO 1'!B162</f>
        <v/>
      </c>
      <c r="C162">
        <f>'REGIÃO 1'!C162</f>
        <v/>
      </c>
      <c r="D162">
        <f>'REGIÃO 1'!D162</f>
        <v/>
      </c>
      <c r="E162">
        <f>'REGIÃO 1'!E162</f>
        <v/>
      </c>
      <c r="F162">
        <f>'REGIÃO 1'!F162</f>
        <v/>
      </c>
      <c r="G162">
        <f>'REGIÃO 1'!G162</f>
        <v/>
      </c>
      <c r="H162">
        <f>'REGIÃO 1'!H162</f>
        <v/>
      </c>
      <c r="I162">
        <f>'REGIÃO 1'!I162</f>
        <v/>
      </c>
      <c r="J162">
        <f>'REGIÃO 1'!J162</f>
        <v/>
      </c>
      <c r="K162" s="36">
        <f>'REGIÃO 1'!K162</f>
        <v/>
      </c>
      <c r="L162" t="inlineStr">
        <is>
          <t>REGIÃO 1</t>
        </is>
      </c>
    </row>
    <row r="163">
      <c r="A163">
        <f>'REGIÃO 1'!A163</f>
        <v/>
      </c>
      <c r="B163">
        <f>'REGIÃO 1'!B163</f>
        <v/>
      </c>
      <c r="C163">
        <f>'REGIÃO 1'!C163</f>
        <v/>
      </c>
      <c r="D163">
        <f>'REGIÃO 1'!D163</f>
        <v/>
      </c>
      <c r="E163">
        <f>'REGIÃO 1'!E163</f>
        <v/>
      </c>
      <c r="F163">
        <f>'REGIÃO 1'!F163</f>
        <v/>
      </c>
      <c r="G163">
        <f>'REGIÃO 1'!G163</f>
        <v/>
      </c>
      <c r="H163">
        <f>'REGIÃO 1'!H163</f>
        <v/>
      </c>
      <c r="I163">
        <f>'REGIÃO 1'!I163</f>
        <v/>
      </c>
      <c r="J163">
        <f>'REGIÃO 1'!J163</f>
        <v/>
      </c>
      <c r="K163" s="36">
        <f>'REGIÃO 1'!K163</f>
        <v/>
      </c>
      <c r="L163" t="inlineStr">
        <is>
          <t>REGIÃO 1</t>
        </is>
      </c>
    </row>
    <row r="164">
      <c r="A164">
        <f>'REGIÃO 1'!A164</f>
        <v/>
      </c>
      <c r="B164">
        <f>'REGIÃO 1'!B164</f>
        <v/>
      </c>
      <c r="C164">
        <f>'REGIÃO 1'!C164</f>
        <v/>
      </c>
      <c r="D164">
        <f>'REGIÃO 1'!D164</f>
        <v/>
      </c>
      <c r="E164">
        <f>'REGIÃO 1'!E164</f>
        <v/>
      </c>
      <c r="F164">
        <f>'REGIÃO 1'!F164</f>
        <v/>
      </c>
      <c r="G164">
        <f>'REGIÃO 1'!G164</f>
        <v/>
      </c>
      <c r="H164">
        <f>'REGIÃO 1'!H164</f>
        <v/>
      </c>
      <c r="I164">
        <f>'REGIÃO 1'!I164</f>
        <v/>
      </c>
      <c r="J164">
        <f>'REGIÃO 1'!J164</f>
        <v/>
      </c>
      <c r="K164" s="36">
        <f>'REGIÃO 1'!K164</f>
        <v/>
      </c>
      <c r="L164" t="inlineStr">
        <is>
          <t>REGIÃO 1</t>
        </is>
      </c>
    </row>
    <row r="165">
      <c r="A165">
        <f>'REGIÃO 1'!A165</f>
        <v/>
      </c>
      <c r="B165">
        <f>'REGIÃO 1'!B165</f>
        <v/>
      </c>
      <c r="C165">
        <f>'REGIÃO 1'!C165</f>
        <v/>
      </c>
      <c r="D165">
        <f>'REGIÃO 1'!D165</f>
        <v/>
      </c>
      <c r="E165">
        <f>'REGIÃO 1'!E165</f>
        <v/>
      </c>
      <c r="F165">
        <f>'REGIÃO 1'!F165</f>
        <v/>
      </c>
      <c r="G165">
        <f>'REGIÃO 1'!G165</f>
        <v/>
      </c>
      <c r="H165">
        <f>'REGIÃO 1'!H165</f>
        <v/>
      </c>
      <c r="I165">
        <f>'REGIÃO 1'!I165</f>
        <v/>
      </c>
      <c r="J165">
        <f>'REGIÃO 1'!J165</f>
        <v/>
      </c>
      <c r="K165" s="36">
        <f>'REGIÃO 1'!K165</f>
        <v/>
      </c>
      <c r="L165" t="inlineStr">
        <is>
          <t>REGIÃO 1</t>
        </is>
      </c>
    </row>
    <row r="166">
      <c r="A166">
        <f>'REGIÃO 1'!A166</f>
        <v/>
      </c>
      <c r="B166">
        <f>'REGIÃO 1'!B166</f>
        <v/>
      </c>
      <c r="C166">
        <f>'REGIÃO 1'!C166</f>
        <v/>
      </c>
      <c r="D166">
        <f>'REGIÃO 1'!D166</f>
        <v/>
      </c>
      <c r="E166">
        <f>'REGIÃO 1'!E166</f>
        <v/>
      </c>
      <c r="F166">
        <f>'REGIÃO 1'!F166</f>
        <v/>
      </c>
      <c r="G166">
        <f>'REGIÃO 1'!G166</f>
        <v/>
      </c>
      <c r="H166">
        <f>'REGIÃO 1'!H166</f>
        <v/>
      </c>
      <c r="I166">
        <f>'REGIÃO 1'!I166</f>
        <v/>
      </c>
      <c r="J166">
        <f>'REGIÃO 1'!J166</f>
        <v/>
      </c>
      <c r="K166" s="36">
        <f>'REGIÃO 1'!K166</f>
        <v/>
      </c>
      <c r="L166" t="inlineStr">
        <is>
          <t>REGIÃO 1</t>
        </is>
      </c>
    </row>
    <row r="167">
      <c r="A167">
        <f>'REGIÃO 1'!A167</f>
        <v/>
      </c>
      <c r="B167">
        <f>'REGIÃO 1'!B167</f>
        <v/>
      </c>
      <c r="C167">
        <f>'REGIÃO 1'!C167</f>
        <v/>
      </c>
      <c r="D167">
        <f>'REGIÃO 1'!D167</f>
        <v/>
      </c>
      <c r="E167">
        <f>'REGIÃO 1'!E167</f>
        <v/>
      </c>
      <c r="F167">
        <f>'REGIÃO 1'!F167</f>
        <v/>
      </c>
      <c r="G167">
        <f>'REGIÃO 1'!G167</f>
        <v/>
      </c>
      <c r="H167">
        <f>'REGIÃO 1'!H167</f>
        <v/>
      </c>
      <c r="I167">
        <f>'REGIÃO 1'!I167</f>
        <v/>
      </c>
      <c r="J167">
        <f>'REGIÃO 1'!J167</f>
        <v/>
      </c>
      <c r="K167" s="36">
        <f>'REGIÃO 1'!K167</f>
        <v/>
      </c>
      <c r="L167" t="inlineStr">
        <is>
          <t>REGIÃO 1</t>
        </is>
      </c>
    </row>
    <row r="168">
      <c r="A168">
        <f>'REGIÃO 1'!A168</f>
        <v/>
      </c>
      <c r="B168">
        <f>'REGIÃO 1'!B168</f>
        <v/>
      </c>
      <c r="C168">
        <f>'REGIÃO 1'!C168</f>
        <v/>
      </c>
      <c r="D168">
        <f>'REGIÃO 1'!D168</f>
        <v/>
      </c>
      <c r="E168">
        <f>'REGIÃO 1'!E168</f>
        <v/>
      </c>
      <c r="F168">
        <f>'REGIÃO 1'!F168</f>
        <v/>
      </c>
      <c r="G168">
        <f>'REGIÃO 1'!G168</f>
        <v/>
      </c>
      <c r="H168">
        <f>'REGIÃO 1'!H168</f>
        <v/>
      </c>
      <c r="I168">
        <f>'REGIÃO 1'!I168</f>
        <v/>
      </c>
      <c r="J168">
        <f>'REGIÃO 1'!J168</f>
        <v/>
      </c>
      <c r="K168" s="36">
        <f>'REGIÃO 1'!K168</f>
        <v/>
      </c>
      <c r="L168" t="inlineStr">
        <is>
          <t>REGIÃO 1</t>
        </is>
      </c>
    </row>
    <row r="169">
      <c r="A169">
        <f>'REGIÃO 1'!A169</f>
        <v/>
      </c>
      <c r="B169">
        <f>'REGIÃO 1'!B169</f>
        <v/>
      </c>
      <c r="C169">
        <f>'REGIÃO 1'!C169</f>
        <v/>
      </c>
      <c r="D169">
        <f>'REGIÃO 1'!D169</f>
        <v/>
      </c>
      <c r="E169">
        <f>'REGIÃO 1'!E169</f>
        <v/>
      </c>
      <c r="F169">
        <f>'REGIÃO 1'!F169</f>
        <v/>
      </c>
      <c r="G169">
        <f>'REGIÃO 1'!G169</f>
        <v/>
      </c>
      <c r="H169">
        <f>'REGIÃO 1'!H169</f>
        <v/>
      </c>
      <c r="I169">
        <f>'REGIÃO 1'!I169</f>
        <v/>
      </c>
      <c r="J169">
        <f>'REGIÃO 1'!J169</f>
        <v/>
      </c>
      <c r="K169" s="36">
        <f>'REGIÃO 1'!K169</f>
        <v/>
      </c>
      <c r="L169" t="inlineStr">
        <is>
          <t>REGIÃO 1</t>
        </is>
      </c>
    </row>
    <row r="170">
      <c r="A170">
        <f>'REGIÃO 1'!A170</f>
        <v/>
      </c>
      <c r="B170">
        <f>'REGIÃO 1'!B170</f>
        <v/>
      </c>
      <c r="C170">
        <f>'REGIÃO 1'!C170</f>
        <v/>
      </c>
      <c r="D170">
        <f>'REGIÃO 1'!D170</f>
        <v/>
      </c>
      <c r="E170">
        <f>'REGIÃO 1'!E170</f>
        <v/>
      </c>
      <c r="F170">
        <f>'REGIÃO 1'!F170</f>
        <v/>
      </c>
      <c r="G170">
        <f>'REGIÃO 1'!G170</f>
        <v/>
      </c>
      <c r="H170">
        <f>'REGIÃO 1'!H170</f>
        <v/>
      </c>
      <c r="I170">
        <f>'REGIÃO 1'!I170</f>
        <v/>
      </c>
      <c r="J170">
        <f>'REGIÃO 1'!J170</f>
        <v/>
      </c>
      <c r="K170" s="36">
        <f>'REGIÃO 1'!K170</f>
        <v/>
      </c>
      <c r="L170" t="inlineStr">
        <is>
          <t>REGIÃO 1</t>
        </is>
      </c>
    </row>
    <row r="171">
      <c r="A171">
        <f>'REGIÃO 1'!A171</f>
        <v/>
      </c>
      <c r="B171">
        <f>'REGIÃO 1'!B171</f>
        <v/>
      </c>
      <c r="C171">
        <f>'REGIÃO 1'!C171</f>
        <v/>
      </c>
      <c r="D171">
        <f>'REGIÃO 1'!D171</f>
        <v/>
      </c>
      <c r="E171">
        <f>'REGIÃO 1'!E171</f>
        <v/>
      </c>
      <c r="F171">
        <f>'REGIÃO 1'!F171</f>
        <v/>
      </c>
      <c r="G171">
        <f>'REGIÃO 1'!G171</f>
        <v/>
      </c>
      <c r="H171">
        <f>'REGIÃO 1'!H171</f>
        <v/>
      </c>
      <c r="I171">
        <f>'REGIÃO 1'!I171</f>
        <v/>
      </c>
      <c r="J171">
        <f>'REGIÃO 1'!J171</f>
        <v/>
      </c>
      <c r="K171" s="36">
        <f>'REGIÃO 1'!K171</f>
        <v/>
      </c>
      <c r="L171" t="inlineStr">
        <is>
          <t>REGIÃO 1</t>
        </is>
      </c>
    </row>
    <row r="172">
      <c r="A172">
        <f>'REGIÃO 1'!A172</f>
        <v/>
      </c>
      <c r="B172">
        <f>'REGIÃO 1'!B172</f>
        <v/>
      </c>
      <c r="C172">
        <f>'REGIÃO 1'!C172</f>
        <v/>
      </c>
      <c r="D172">
        <f>'REGIÃO 1'!D172</f>
        <v/>
      </c>
      <c r="E172">
        <f>'REGIÃO 1'!E172</f>
        <v/>
      </c>
      <c r="F172">
        <f>'REGIÃO 1'!F172</f>
        <v/>
      </c>
      <c r="G172">
        <f>'REGIÃO 1'!G172</f>
        <v/>
      </c>
      <c r="H172">
        <f>'REGIÃO 1'!H172</f>
        <v/>
      </c>
      <c r="I172">
        <f>'REGIÃO 1'!I172</f>
        <v/>
      </c>
      <c r="J172">
        <f>'REGIÃO 1'!J172</f>
        <v/>
      </c>
      <c r="K172" s="36">
        <f>'REGIÃO 1'!K172</f>
        <v/>
      </c>
      <c r="L172" t="inlineStr">
        <is>
          <t>REGIÃO 1</t>
        </is>
      </c>
    </row>
    <row r="173">
      <c r="A173">
        <f>'REGIÃO 1'!A173</f>
        <v/>
      </c>
      <c r="B173">
        <f>'REGIÃO 1'!B173</f>
        <v/>
      </c>
      <c r="C173">
        <f>'REGIÃO 1'!C173</f>
        <v/>
      </c>
      <c r="D173">
        <f>'REGIÃO 1'!D173</f>
        <v/>
      </c>
      <c r="E173">
        <f>'REGIÃO 1'!E173</f>
        <v/>
      </c>
      <c r="F173">
        <f>'REGIÃO 1'!F173</f>
        <v/>
      </c>
      <c r="G173">
        <f>'REGIÃO 1'!G173</f>
        <v/>
      </c>
      <c r="H173">
        <f>'REGIÃO 1'!H173</f>
        <v/>
      </c>
      <c r="I173">
        <f>'REGIÃO 1'!I173</f>
        <v/>
      </c>
      <c r="J173">
        <f>'REGIÃO 1'!J173</f>
        <v/>
      </c>
      <c r="K173" s="36">
        <f>'REGIÃO 1'!K173</f>
        <v/>
      </c>
      <c r="L173" t="inlineStr">
        <is>
          <t>REGIÃO 1</t>
        </is>
      </c>
    </row>
    <row r="174">
      <c r="A174">
        <f>'REGIÃO 1'!A174</f>
        <v/>
      </c>
      <c r="B174">
        <f>'REGIÃO 1'!B174</f>
        <v/>
      </c>
      <c r="C174">
        <f>'REGIÃO 1'!C174</f>
        <v/>
      </c>
      <c r="D174">
        <f>'REGIÃO 1'!D174</f>
        <v/>
      </c>
      <c r="E174">
        <f>'REGIÃO 1'!E174</f>
        <v/>
      </c>
      <c r="F174">
        <f>'REGIÃO 1'!F174</f>
        <v/>
      </c>
      <c r="G174">
        <f>'REGIÃO 1'!G174</f>
        <v/>
      </c>
      <c r="H174">
        <f>'REGIÃO 1'!H174</f>
        <v/>
      </c>
      <c r="I174">
        <f>'REGIÃO 1'!I174</f>
        <v/>
      </c>
      <c r="J174">
        <f>'REGIÃO 1'!J174</f>
        <v/>
      </c>
      <c r="K174" s="36">
        <f>'REGIÃO 1'!K174</f>
        <v/>
      </c>
      <c r="L174" t="inlineStr">
        <is>
          <t>REGIÃO 1</t>
        </is>
      </c>
    </row>
    <row r="175">
      <c r="A175">
        <f>'REGIÃO 1'!A175</f>
        <v/>
      </c>
      <c r="B175">
        <f>'REGIÃO 1'!B175</f>
        <v/>
      </c>
      <c r="C175">
        <f>'REGIÃO 1'!C175</f>
        <v/>
      </c>
      <c r="D175">
        <f>'REGIÃO 1'!D175</f>
        <v/>
      </c>
      <c r="E175">
        <f>'REGIÃO 1'!E175</f>
        <v/>
      </c>
      <c r="F175">
        <f>'REGIÃO 1'!F175</f>
        <v/>
      </c>
      <c r="G175">
        <f>'REGIÃO 1'!G175</f>
        <v/>
      </c>
      <c r="H175">
        <f>'REGIÃO 1'!H175</f>
        <v/>
      </c>
      <c r="I175">
        <f>'REGIÃO 1'!I175</f>
        <v/>
      </c>
      <c r="J175">
        <f>'REGIÃO 1'!J175</f>
        <v/>
      </c>
      <c r="K175" s="36">
        <f>'REGIÃO 1'!K175</f>
        <v/>
      </c>
      <c r="L175" t="inlineStr">
        <is>
          <t>REGIÃO 1</t>
        </is>
      </c>
    </row>
    <row r="176">
      <c r="A176">
        <f>'REGIÃO 1'!A176</f>
        <v/>
      </c>
      <c r="B176">
        <f>'REGIÃO 1'!B176</f>
        <v/>
      </c>
      <c r="C176">
        <f>'REGIÃO 1'!C176</f>
        <v/>
      </c>
      <c r="D176">
        <f>'REGIÃO 1'!D176</f>
        <v/>
      </c>
      <c r="E176">
        <f>'REGIÃO 1'!E176</f>
        <v/>
      </c>
      <c r="F176">
        <f>'REGIÃO 1'!F176</f>
        <v/>
      </c>
      <c r="G176">
        <f>'REGIÃO 1'!G176</f>
        <v/>
      </c>
      <c r="H176">
        <f>'REGIÃO 1'!H176</f>
        <v/>
      </c>
      <c r="I176">
        <f>'REGIÃO 1'!I176</f>
        <v/>
      </c>
      <c r="J176">
        <f>'REGIÃO 1'!J176</f>
        <v/>
      </c>
      <c r="K176" s="36">
        <f>'REGIÃO 1'!K176</f>
        <v/>
      </c>
      <c r="L176" t="inlineStr">
        <is>
          <t>REGIÃO 1</t>
        </is>
      </c>
    </row>
    <row r="177">
      <c r="A177">
        <f>'REGIÃO 1'!A177</f>
        <v/>
      </c>
      <c r="B177">
        <f>'REGIÃO 1'!B177</f>
        <v/>
      </c>
      <c r="C177">
        <f>'REGIÃO 1'!C177</f>
        <v/>
      </c>
      <c r="D177">
        <f>'REGIÃO 1'!D177</f>
        <v/>
      </c>
      <c r="E177">
        <f>'REGIÃO 1'!E177</f>
        <v/>
      </c>
      <c r="F177">
        <f>'REGIÃO 1'!F177</f>
        <v/>
      </c>
      <c r="G177">
        <f>'REGIÃO 1'!G177</f>
        <v/>
      </c>
      <c r="H177">
        <f>'REGIÃO 1'!H177</f>
        <v/>
      </c>
      <c r="I177">
        <f>'REGIÃO 1'!I177</f>
        <v/>
      </c>
      <c r="J177">
        <f>'REGIÃO 1'!J177</f>
        <v/>
      </c>
      <c r="K177" s="36">
        <f>'REGIÃO 1'!K177</f>
        <v/>
      </c>
      <c r="L177" t="inlineStr">
        <is>
          <t>REGIÃO 1</t>
        </is>
      </c>
    </row>
    <row r="178">
      <c r="A178">
        <f>'REGIÃO 1'!A178</f>
        <v/>
      </c>
      <c r="B178">
        <f>'REGIÃO 1'!B178</f>
        <v/>
      </c>
      <c r="C178">
        <f>'REGIÃO 1'!C178</f>
        <v/>
      </c>
      <c r="D178">
        <f>'REGIÃO 1'!D178</f>
        <v/>
      </c>
      <c r="E178">
        <f>'REGIÃO 1'!E178</f>
        <v/>
      </c>
      <c r="F178">
        <f>'REGIÃO 1'!F178</f>
        <v/>
      </c>
      <c r="G178">
        <f>'REGIÃO 1'!G178</f>
        <v/>
      </c>
      <c r="H178">
        <f>'REGIÃO 1'!H178</f>
        <v/>
      </c>
      <c r="I178">
        <f>'REGIÃO 1'!I178</f>
        <v/>
      </c>
      <c r="J178">
        <f>'REGIÃO 1'!J178</f>
        <v/>
      </c>
      <c r="K178" s="36">
        <f>'REGIÃO 1'!K178</f>
        <v/>
      </c>
      <c r="L178" t="inlineStr">
        <is>
          <t>REGIÃO 1</t>
        </is>
      </c>
    </row>
    <row r="179">
      <c r="A179">
        <f>'REGIÃO 1'!A179</f>
        <v/>
      </c>
      <c r="B179">
        <f>'REGIÃO 1'!B179</f>
        <v/>
      </c>
      <c r="C179">
        <f>'REGIÃO 1'!C179</f>
        <v/>
      </c>
      <c r="D179">
        <f>'REGIÃO 1'!D179</f>
        <v/>
      </c>
      <c r="E179">
        <f>'REGIÃO 1'!E179</f>
        <v/>
      </c>
      <c r="F179">
        <f>'REGIÃO 1'!F179</f>
        <v/>
      </c>
      <c r="G179">
        <f>'REGIÃO 1'!G179</f>
        <v/>
      </c>
      <c r="H179">
        <f>'REGIÃO 1'!H179</f>
        <v/>
      </c>
      <c r="I179">
        <f>'REGIÃO 1'!I179</f>
        <v/>
      </c>
      <c r="J179">
        <f>'REGIÃO 1'!J179</f>
        <v/>
      </c>
      <c r="K179" s="36">
        <f>'REGIÃO 1'!K179</f>
        <v/>
      </c>
      <c r="L179" t="inlineStr">
        <is>
          <t>REGIÃO 1</t>
        </is>
      </c>
    </row>
    <row r="180">
      <c r="A180">
        <f>'REGIÃO 1'!A180</f>
        <v/>
      </c>
      <c r="B180">
        <f>'REGIÃO 1'!B180</f>
        <v/>
      </c>
      <c r="C180">
        <f>'REGIÃO 1'!C180</f>
        <v/>
      </c>
      <c r="D180">
        <f>'REGIÃO 1'!D180</f>
        <v/>
      </c>
      <c r="E180">
        <f>'REGIÃO 1'!E180</f>
        <v/>
      </c>
      <c r="F180">
        <f>'REGIÃO 1'!F180</f>
        <v/>
      </c>
      <c r="G180">
        <f>'REGIÃO 1'!G180</f>
        <v/>
      </c>
      <c r="H180">
        <f>'REGIÃO 1'!H180</f>
        <v/>
      </c>
      <c r="I180">
        <f>'REGIÃO 1'!I180</f>
        <v/>
      </c>
      <c r="J180">
        <f>'REGIÃO 1'!J180</f>
        <v/>
      </c>
      <c r="K180" s="36">
        <f>'REGIÃO 1'!K180</f>
        <v/>
      </c>
      <c r="L180" t="inlineStr">
        <is>
          <t>REGIÃO 1</t>
        </is>
      </c>
    </row>
    <row r="181">
      <c r="A181">
        <f>'REGIÃO 1'!A181</f>
        <v/>
      </c>
      <c r="B181">
        <f>'REGIÃO 1'!B181</f>
        <v/>
      </c>
      <c r="C181">
        <f>'REGIÃO 1'!C181</f>
        <v/>
      </c>
      <c r="D181">
        <f>'REGIÃO 1'!D181</f>
        <v/>
      </c>
      <c r="E181">
        <f>'REGIÃO 1'!E181</f>
        <v/>
      </c>
      <c r="F181">
        <f>'REGIÃO 1'!F181</f>
        <v/>
      </c>
      <c r="G181">
        <f>'REGIÃO 1'!G181</f>
        <v/>
      </c>
      <c r="H181">
        <f>'REGIÃO 1'!H181</f>
        <v/>
      </c>
      <c r="I181">
        <f>'REGIÃO 1'!I181</f>
        <v/>
      </c>
      <c r="J181">
        <f>'REGIÃO 1'!J181</f>
        <v/>
      </c>
      <c r="K181" s="36">
        <f>'REGIÃO 1'!K181</f>
        <v/>
      </c>
      <c r="L181" t="inlineStr">
        <is>
          <t>REGIÃO 1</t>
        </is>
      </c>
    </row>
    <row r="182">
      <c r="A182">
        <f>'REGIÃO 1'!A182</f>
        <v/>
      </c>
      <c r="B182">
        <f>'REGIÃO 1'!B182</f>
        <v/>
      </c>
      <c r="C182">
        <f>'REGIÃO 1'!C182</f>
        <v/>
      </c>
      <c r="D182">
        <f>'REGIÃO 1'!D182</f>
        <v/>
      </c>
      <c r="E182">
        <f>'REGIÃO 1'!E182</f>
        <v/>
      </c>
      <c r="F182">
        <f>'REGIÃO 1'!F182</f>
        <v/>
      </c>
      <c r="G182">
        <f>'REGIÃO 1'!G182</f>
        <v/>
      </c>
      <c r="H182">
        <f>'REGIÃO 1'!H182</f>
        <v/>
      </c>
      <c r="I182">
        <f>'REGIÃO 1'!I182</f>
        <v/>
      </c>
      <c r="J182">
        <f>'REGIÃO 1'!J182</f>
        <v/>
      </c>
      <c r="K182" s="36">
        <f>'REGIÃO 1'!K182</f>
        <v/>
      </c>
      <c r="L182" t="inlineStr">
        <is>
          <t>REGIÃO 1</t>
        </is>
      </c>
    </row>
    <row r="183">
      <c r="A183">
        <f>'REGIÃO 1'!A183</f>
        <v/>
      </c>
      <c r="B183">
        <f>'REGIÃO 1'!B183</f>
        <v/>
      </c>
      <c r="C183">
        <f>'REGIÃO 1'!C183</f>
        <v/>
      </c>
      <c r="D183">
        <f>'REGIÃO 1'!D183</f>
        <v/>
      </c>
      <c r="E183">
        <f>'REGIÃO 1'!E183</f>
        <v/>
      </c>
      <c r="F183">
        <f>'REGIÃO 1'!F183</f>
        <v/>
      </c>
      <c r="G183">
        <f>'REGIÃO 1'!G183</f>
        <v/>
      </c>
      <c r="H183">
        <f>'REGIÃO 1'!H183</f>
        <v/>
      </c>
      <c r="I183">
        <f>'REGIÃO 1'!I183</f>
        <v/>
      </c>
      <c r="J183">
        <f>'REGIÃO 1'!J183</f>
        <v/>
      </c>
      <c r="K183" s="36">
        <f>'REGIÃO 1'!K183</f>
        <v/>
      </c>
      <c r="L183" t="inlineStr">
        <is>
          <t>REGIÃO 1</t>
        </is>
      </c>
    </row>
    <row r="184">
      <c r="A184">
        <f>'REGIÃO 1'!A184</f>
        <v/>
      </c>
      <c r="B184">
        <f>'REGIÃO 1'!B184</f>
        <v/>
      </c>
      <c r="C184">
        <f>'REGIÃO 1'!C184</f>
        <v/>
      </c>
      <c r="D184">
        <f>'REGIÃO 1'!D184</f>
        <v/>
      </c>
      <c r="E184">
        <f>'REGIÃO 1'!E184</f>
        <v/>
      </c>
      <c r="F184">
        <f>'REGIÃO 1'!F184</f>
        <v/>
      </c>
      <c r="G184">
        <f>'REGIÃO 1'!G184</f>
        <v/>
      </c>
      <c r="H184">
        <f>'REGIÃO 1'!H184</f>
        <v/>
      </c>
      <c r="I184">
        <f>'REGIÃO 1'!I184</f>
        <v/>
      </c>
      <c r="J184">
        <f>'REGIÃO 1'!J184</f>
        <v/>
      </c>
      <c r="K184" s="36">
        <f>'REGIÃO 1'!K184</f>
        <v/>
      </c>
      <c r="L184" t="inlineStr">
        <is>
          <t>REGIÃO 1</t>
        </is>
      </c>
    </row>
    <row r="185">
      <c r="A185">
        <f>'REGIÃO 1'!A185</f>
        <v/>
      </c>
      <c r="B185">
        <f>'REGIÃO 1'!B185</f>
        <v/>
      </c>
      <c r="C185">
        <f>'REGIÃO 1'!C185</f>
        <v/>
      </c>
      <c r="D185">
        <f>'REGIÃO 1'!D185</f>
        <v/>
      </c>
      <c r="E185">
        <f>'REGIÃO 1'!E185</f>
        <v/>
      </c>
      <c r="F185">
        <f>'REGIÃO 1'!F185</f>
        <v/>
      </c>
      <c r="G185">
        <f>'REGIÃO 1'!G185</f>
        <v/>
      </c>
      <c r="H185">
        <f>'REGIÃO 1'!H185</f>
        <v/>
      </c>
      <c r="I185">
        <f>'REGIÃO 1'!I185</f>
        <v/>
      </c>
      <c r="J185">
        <f>'REGIÃO 1'!J185</f>
        <v/>
      </c>
      <c r="K185" s="36">
        <f>'REGIÃO 1'!K185</f>
        <v/>
      </c>
      <c r="L185" t="inlineStr">
        <is>
          <t>REGIÃO 1</t>
        </is>
      </c>
    </row>
    <row r="186">
      <c r="A186">
        <f>'REGIÃO 1'!A186</f>
        <v/>
      </c>
      <c r="B186">
        <f>'REGIÃO 1'!B186</f>
        <v/>
      </c>
      <c r="C186">
        <f>'REGIÃO 1'!C186</f>
        <v/>
      </c>
      <c r="D186">
        <f>'REGIÃO 1'!D186</f>
        <v/>
      </c>
      <c r="E186">
        <f>'REGIÃO 1'!E186</f>
        <v/>
      </c>
      <c r="F186">
        <f>'REGIÃO 1'!F186</f>
        <v/>
      </c>
      <c r="G186">
        <f>'REGIÃO 1'!G186</f>
        <v/>
      </c>
      <c r="H186">
        <f>'REGIÃO 1'!H186</f>
        <v/>
      </c>
      <c r="I186">
        <f>'REGIÃO 1'!I186</f>
        <v/>
      </c>
      <c r="J186">
        <f>'REGIÃO 1'!J186</f>
        <v/>
      </c>
      <c r="K186" s="36">
        <f>'REGIÃO 1'!K186</f>
        <v/>
      </c>
      <c r="L186" t="inlineStr">
        <is>
          <t>REGIÃO 1</t>
        </is>
      </c>
    </row>
    <row r="187">
      <c r="A187">
        <f>'REGIÃO 1'!A187</f>
        <v/>
      </c>
      <c r="B187">
        <f>'REGIÃO 1'!B187</f>
        <v/>
      </c>
      <c r="C187">
        <f>'REGIÃO 1'!C187</f>
        <v/>
      </c>
      <c r="D187">
        <f>'REGIÃO 1'!D187</f>
        <v/>
      </c>
      <c r="E187">
        <f>'REGIÃO 1'!E187</f>
        <v/>
      </c>
      <c r="F187">
        <f>'REGIÃO 1'!F187</f>
        <v/>
      </c>
      <c r="G187">
        <f>'REGIÃO 1'!G187</f>
        <v/>
      </c>
      <c r="H187">
        <f>'REGIÃO 1'!H187</f>
        <v/>
      </c>
      <c r="I187">
        <f>'REGIÃO 1'!I187</f>
        <v/>
      </c>
      <c r="J187">
        <f>'REGIÃO 1'!J187</f>
        <v/>
      </c>
      <c r="K187" s="36">
        <f>'REGIÃO 1'!K187</f>
        <v/>
      </c>
      <c r="L187" t="inlineStr">
        <is>
          <t>REGIÃO 1</t>
        </is>
      </c>
    </row>
    <row r="188">
      <c r="A188">
        <f>'REGIÃO 1'!A188</f>
        <v/>
      </c>
      <c r="B188">
        <f>'REGIÃO 1'!B188</f>
        <v/>
      </c>
      <c r="C188">
        <f>'REGIÃO 1'!C188</f>
        <v/>
      </c>
      <c r="D188">
        <f>'REGIÃO 1'!D188</f>
        <v/>
      </c>
      <c r="E188">
        <f>'REGIÃO 1'!E188</f>
        <v/>
      </c>
      <c r="F188">
        <f>'REGIÃO 1'!F188</f>
        <v/>
      </c>
      <c r="G188">
        <f>'REGIÃO 1'!G188</f>
        <v/>
      </c>
      <c r="H188">
        <f>'REGIÃO 1'!H188</f>
        <v/>
      </c>
      <c r="I188">
        <f>'REGIÃO 1'!I188</f>
        <v/>
      </c>
      <c r="J188">
        <f>'REGIÃO 1'!J188</f>
        <v/>
      </c>
      <c r="K188" s="36">
        <f>'REGIÃO 1'!K188</f>
        <v/>
      </c>
      <c r="L188" t="inlineStr">
        <is>
          <t>REGIÃO 1</t>
        </is>
      </c>
    </row>
    <row r="189">
      <c r="A189">
        <f>'REGIÃO 1'!A189</f>
        <v/>
      </c>
      <c r="B189">
        <f>'REGIÃO 1'!B189</f>
        <v/>
      </c>
      <c r="C189">
        <f>'REGIÃO 1'!C189</f>
        <v/>
      </c>
      <c r="D189">
        <f>'REGIÃO 1'!D189</f>
        <v/>
      </c>
      <c r="E189">
        <f>'REGIÃO 1'!E189</f>
        <v/>
      </c>
      <c r="F189">
        <f>'REGIÃO 1'!F189</f>
        <v/>
      </c>
      <c r="G189">
        <f>'REGIÃO 1'!G189</f>
        <v/>
      </c>
      <c r="H189">
        <f>'REGIÃO 1'!H189</f>
        <v/>
      </c>
      <c r="I189">
        <f>'REGIÃO 1'!I189</f>
        <v/>
      </c>
      <c r="J189">
        <f>'REGIÃO 1'!J189</f>
        <v/>
      </c>
      <c r="K189" s="36">
        <f>'REGIÃO 1'!K189</f>
        <v/>
      </c>
      <c r="L189" t="inlineStr">
        <is>
          <t>REGIÃO 1</t>
        </is>
      </c>
    </row>
    <row r="190">
      <c r="A190">
        <f>'REGIÃO 1'!A190</f>
        <v/>
      </c>
      <c r="B190">
        <f>'REGIÃO 1'!B190</f>
        <v/>
      </c>
      <c r="C190">
        <f>'REGIÃO 1'!C190</f>
        <v/>
      </c>
      <c r="D190">
        <f>'REGIÃO 1'!D190</f>
        <v/>
      </c>
      <c r="E190">
        <f>'REGIÃO 1'!E190</f>
        <v/>
      </c>
      <c r="F190">
        <f>'REGIÃO 1'!F190</f>
        <v/>
      </c>
      <c r="G190">
        <f>'REGIÃO 1'!G190</f>
        <v/>
      </c>
      <c r="H190">
        <f>'REGIÃO 1'!H190</f>
        <v/>
      </c>
      <c r="I190">
        <f>'REGIÃO 1'!I190</f>
        <v/>
      </c>
      <c r="J190">
        <f>'REGIÃO 1'!J190</f>
        <v/>
      </c>
      <c r="K190" s="36">
        <f>'REGIÃO 1'!K190</f>
        <v/>
      </c>
      <c r="L190" t="inlineStr">
        <is>
          <t>REGIÃO 1</t>
        </is>
      </c>
    </row>
    <row r="191">
      <c r="A191">
        <f>'REGIÃO 1'!A191</f>
        <v/>
      </c>
      <c r="B191">
        <f>'REGIÃO 1'!B191</f>
        <v/>
      </c>
      <c r="C191">
        <f>'REGIÃO 1'!C191</f>
        <v/>
      </c>
      <c r="D191">
        <f>'REGIÃO 1'!D191</f>
        <v/>
      </c>
      <c r="E191">
        <f>'REGIÃO 1'!E191</f>
        <v/>
      </c>
      <c r="F191">
        <f>'REGIÃO 1'!F191</f>
        <v/>
      </c>
      <c r="G191">
        <f>'REGIÃO 1'!G191</f>
        <v/>
      </c>
      <c r="H191">
        <f>'REGIÃO 1'!H191</f>
        <v/>
      </c>
      <c r="I191">
        <f>'REGIÃO 1'!I191</f>
        <v/>
      </c>
      <c r="J191">
        <f>'REGIÃO 1'!J191</f>
        <v/>
      </c>
      <c r="K191" s="36">
        <f>'REGIÃO 1'!K191</f>
        <v/>
      </c>
      <c r="L191" t="inlineStr">
        <is>
          <t>REGIÃO 1</t>
        </is>
      </c>
    </row>
    <row r="192">
      <c r="A192">
        <f>'REGIÃO 1'!A192</f>
        <v/>
      </c>
      <c r="B192">
        <f>'REGIÃO 1'!B192</f>
        <v/>
      </c>
      <c r="C192">
        <f>'REGIÃO 1'!C192</f>
        <v/>
      </c>
      <c r="D192">
        <f>'REGIÃO 1'!D192</f>
        <v/>
      </c>
      <c r="E192">
        <f>'REGIÃO 1'!E192</f>
        <v/>
      </c>
      <c r="F192">
        <f>'REGIÃO 1'!F192</f>
        <v/>
      </c>
      <c r="G192">
        <f>'REGIÃO 1'!G192</f>
        <v/>
      </c>
      <c r="H192">
        <f>'REGIÃO 1'!H192</f>
        <v/>
      </c>
      <c r="I192">
        <f>'REGIÃO 1'!I192</f>
        <v/>
      </c>
      <c r="J192">
        <f>'REGIÃO 1'!J192</f>
        <v/>
      </c>
      <c r="K192" s="36">
        <f>'REGIÃO 1'!K192</f>
        <v/>
      </c>
      <c r="L192" t="inlineStr">
        <is>
          <t>REGIÃO 1</t>
        </is>
      </c>
    </row>
    <row r="193">
      <c r="A193">
        <f>'REGIÃO 1'!A193</f>
        <v/>
      </c>
      <c r="B193">
        <f>'REGIÃO 1'!B193</f>
        <v/>
      </c>
      <c r="C193">
        <f>'REGIÃO 1'!C193</f>
        <v/>
      </c>
      <c r="D193">
        <f>'REGIÃO 1'!D193</f>
        <v/>
      </c>
      <c r="E193">
        <f>'REGIÃO 1'!E193</f>
        <v/>
      </c>
      <c r="F193">
        <f>'REGIÃO 1'!F193</f>
        <v/>
      </c>
      <c r="G193">
        <f>'REGIÃO 1'!G193</f>
        <v/>
      </c>
      <c r="H193">
        <f>'REGIÃO 1'!H193</f>
        <v/>
      </c>
      <c r="I193">
        <f>'REGIÃO 1'!I193</f>
        <v/>
      </c>
      <c r="J193">
        <f>'REGIÃO 1'!J193</f>
        <v/>
      </c>
      <c r="K193" s="36">
        <f>'REGIÃO 1'!K193</f>
        <v/>
      </c>
      <c r="L193" t="inlineStr">
        <is>
          <t>REGIÃO 1</t>
        </is>
      </c>
    </row>
    <row r="194">
      <c r="A194">
        <f>'REGIÃO 1'!A194</f>
        <v/>
      </c>
      <c r="B194">
        <f>'REGIÃO 1'!B194</f>
        <v/>
      </c>
      <c r="C194">
        <f>'REGIÃO 1'!C194</f>
        <v/>
      </c>
      <c r="D194">
        <f>'REGIÃO 1'!D194</f>
        <v/>
      </c>
      <c r="E194">
        <f>'REGIÃO 1'!E194</f>
        <v/>
      </c>
      <c r="F194">
        <f>'REGIÃO 1'!F194</f>
        <v/>
      </c>
      <c r="G194">
        <f>'REGIÃO 1'!G194</f>
        <v/>
      </c>
      <c r="H194">
        <f>'REGIÃO 1'!H194</f>
        <v/>
      </c>
      <c r="I194">
        <f>'REGIÃO 1'!I194</f>
        <v/>
      </c>
      <c r="J194">
        <f>'REGIÃO 1'!J194</f>
        <v/>
      </c>
      <c r="K194" s="36">
        <f>'REGIÃO 1'!K194</f>
        <v/>
      </c>
      <c r="L194" t="inlineStr">
        <is>
          <t>REGIÃO 1</t>
        </is>
      </c>
    </row>
    <row r="195">
      <c r="A195">
        <f>'REGIÃO 1'!A195</f>
        <v/>
      </c>
      <c r="B195">
        <f>'REGIÃO 1'!B195</f>
        <v/>
      </c>
      <c r="C195">
        <f>'REGIÃO 1'!C195</f>
        <v/>
      </c>
      <c r="D195">
        <f>'REGIÃO 1'!D195</f>
        <v/>
      </c>
      <c r="E195">
        <f>'REGIÃO 1'!E195</f>
        <v/>
      </c>
      <c r="F195">
        <f>'REGIÃO 1'!F195</f>
        <v/>
      </c>
      <c r="G195">
        <f>'REGIÃO 1'!G195</f>
        <v/>
      </c>
      <c r="H195">
        <f>'REGIÃO 1'!H195</f>
        <v/>
      </c>
      <c r="I195">
        <f>'REGIÃO 1'!I195</f>
        <v/>
      </c>
      <c r="J195">
        <f>'REGIÃO 1'!J195</f>
        <v/>
      </c>
      <c r="K195" s="36">
        <f>'REGIÃO 1'!K195</f>
        <v/>
      </c>
      <c r="L195" t="inlineStr">
        <is>
          <t>REGIÃO 1</t>
        </is>
      </c>
    </row>
    <row r="196">
      <c r="A196">
        <f>'REGIÃO 1'!A196</f>
        <v/>
      </c>
      <c r="B196">
        <f>'REGIÃO 1'!B196</f>
        <v/>
      </c>
      <c r="C196">
        <f>'REGIÃO 1'!C196</f>
        <v/>
      </c>
      <c r="D196">
        <f>'REGIÃO 1'!D196</f>
        <v/>
      </c>
      <c r="E196">
        <f>'REGIÃO 1'!E196</f>
        <v/>
      </c>
      <c r="F196">
        <f>'REGIÃO 1'!F196</f>
        <v/>
      </c>
      <c r="G196">
        <f>'REGIÃO 1'!G196</f>
        <v/>
      </c>
      <c r="H196">
        <f>'REGIÃO 1'!H196</f>
        <v/>
      </c>
      <c r="I196">
        <f>'REGIÃO 1'!I196</f>
        <v/>
      </c>
      <c r="J196">
        <f>'REGIÃO 1'!J196</f>
        <v/>
      </c>
      <c r="K196" s="36">
        <f>'REGIÃO 1'!K196</f>
        <v/>
      </c>
      <c r="L196" t="inlineStr">
        <is>
          <t>REGIÃO 1</t>
        </is>
      </c>
    </row>
    <row r="197">
      <c r="A197">
        <f>'REGIÃO 1'!A197</f>
        <v/>
      </c>
      <c r="B197">
        <f>'REGIÃO 1'!B197</f>
        <v/>
      </c>
      <c r="C197">
        <f>'REGIÃO 1'!C197</f>
        <v/>
      </c>
      <c r="D197">
        <f>'REGIÃO 1'!D197</f>
        <v/>
      </c>
      <c r="E197">
        <f>'REGIÃO 1'!E197</f>
        <v/>
      </c>
      <c r="F197">
        <f>'REGIÃO 1'!F197</f>
        <v/>
      </c>
      <c r="G197">
        <f>'REGIÃO 1'!G197</f>
        <v/>
      </c>
      <c r="H197">
        <f>'REGIÃO 1'!H197</f>
        <v/>
      </c>
      <c r="I197">
        <f>'REGIÃO 1'!I197</f>
        <v/>
      </c>
      <c r="J197">
        <f>'REGIÃO 1'!J197</f>
        <v/>
      </c>
      <c r="K197" s="36">
        <f>'REGIÃO 1'!K197</f>
        <v/>
      </c>
      <c r="L197" t="inlineStr">
        <is>
          <t>REGIÃO 1</t>
        </is>
      </c>
    </row>
    <row r="198">
      <c r="A198">
        <f>'REGIÃO 1'!A198</f>
        <v/>
      </c>
      <c r="B198">
        <f>'REGIÃO 1'!B198</f>
        <v/>
      </c>
      <c r="C198">
        <f>'REGIÃO 1'!C198</f>
        <v/>
      </c>
      <c r="D198">
        <f>'REGIÃO 1'!D198</f>
        <v/>
      </c>
      <c r="E198">
        <f>'REGIÃO 1'!E198</f>
        <v/>
      </c>
      <c r="F198">
        <f>'REGIÃO 1'!F198</f>
        <v/>
      </c>
      <c r="G198">
        <f>'REGIÃO 1'!G198</f>
        <v/>
      </c>
      <c r="H198">
        <f>'REGIÃO 1'!H198</f>
        <v/>
      </c>
      <c r="I198">
        <f>'REGIÃO 1'!I198</f>
        <v/>
      </c>
      <c r="J198">
        <f>'REGIÃO 1'!J198</f>
        <v/>
      </c>
      <c r="K198" s="36">
        <f>'REGIÃO 1'!K198</f>
        <v/>
      </c>
      <c r="L198" t="inlineStr">
        <is>
          <t>REGIÃO 1</t>
        </is>
      </c>
    </row>
    <row r="199">
      <c r="A199">
        <f>'REGIÃO 1'!A199</f>
        <v/>
      </c>
      <c r="B199">
        <f>'REGIÃO 1'!B199</f>
        <v/>
      </c>
      <c r="C199">
        <f>'REGIÃO 1'!C199</f>
        <v/>
      </c>
      <c r="D199">
        <f>'REGIÃO 1'!D199</f>
        <v/>
      </c>
      <c r="E199">
        <f>'REGIÃO 1'!E199</f>
        <v/>
      </c>
      <c r="F199">
        <f>'REGIÃO 1'!F199</f>
        <v/>
      </c>
      <c r="G199">
        <f>'REGIÃO 1'!G199</f>
        <v/>
      </c>
      <c r="H199">
        <f>'REGIÃO 1'!H199</f>
        <v/>
      </c>
      <c r="I199">
        <f>'REGIÃO 1'!I199</f>
        <v/>
      </c>
      <c r="J199">
        <f>'REGIÃO 1'!J199</f>
        <v/>
      </c>
      <c r="K199" s="36">
        <f>'REGIÃO 1'!K199</f>
        <v/>
      </c>
      <c r="L199" t="inlineStr">
        <is>
          <t>REGIÃO 1</t>
        </is>
      </c>
    </row>
    <row r="200">
      <c r="A200">
        <f>'REGIÃO 1'!A200</f>
        <v/>
      </c>
      <c r="B200">
        <f>'REGIÃO 1'!B200</f>
        <v/>
      </c>
      <c r="C200">
        <f>'REGIÃO 1'!C200</f>
        <v/>
      </c>
      <c r="D200">
        <f>'REGIÃO 1'!D200</f>
        <v/>
      </c>
      <c r="E200">
        <f>'REGIÃO 1'!E200</f>
        <v/>
      </c>
      <c r="F200">
        <f>'REGIÃO 1'!F200</f>
        <v/>
      </c>
      <c r="G200">
        <f>'REGIÃO 1'!G200</f>
        <v/>
      </c>
      <c r="H200">
        <f>'REGIÃO 1'!H200</f>
        <v/>
      </c>
      <c r="I200">
        <f>'REGIÃO 1'!I200</f>
        <v/>
      </c>
      <c r="J200">
        <f>'REGIÃO 1'!J200</f>
        <v/>
      </c>
      <c r="K200" s="36">
        <f>'REGIÃO 1'!K200</f>
        <v/>
      </c>
      <c r="L200" t="inlineStr">
        <is>
          <t>REGIÃO 1</t>
        </is>
      </c>
    </row>
    <row r="201">
      <c r="A201">
        <f>'REGIÃO 1'!A201</f>
        <v/>
      </c>
      <c r="B201">
        <f>'REGIÃO 1'!B201</f>
        <v/>
      </c>
      <c r="C201">
        <f>'REGIÃO 1'!C201</f>
        <v/>
      </c>
      <c r="D201">
        <f>'REGIÃO 1'!D201</f>
        <v/>
      </c>
      <c r="E201">
        <f>'REGIÃO 1'!E201</f>
        <v/>
      </c>
      <c r="F201">
        <f>'REGIÃO 1'!F201</f>
        <v/>
      </c>
      <c r="G201">
        <f>'REGIÃO 1'!G201</f>
        <v/>
      </c>
      <c r="H201">
        <f>'REGIÃO 1'!H201</f>
        <v/>
      </c>
      <c r="I201">
        <f>'REGIÃO 1'!I201</f>
        <v/>
      </c>
      <c r="J201">
        <f>'REGIÃO 1'!J201</f>
        <v/>
      </c>
      <c r="K201" s="36">
        <f>'REGIÃO 1'!K201</f>
        <v/>
      </c>
      <c r="L201" t="inlineStr">
        <is>
          <t>REGIÃO 1</t>
        </is>
      </c>
    </row>
    <row r="202">
      <c r="A202">
        <f>'REGIÃO 1'!A202</f>
        <v/>
      </c>
      <c r="B202">
        <f>'REGIÃO 1'!B202</f>
        <v/>
      </c>
      <c r="C202">
        <f>'REGIÃO 1'!C202</f>
        <v/>
      </c>
      <c r="D202">
        <f>'REGIÃO 1'!D202</f>
        <v/>
      </c>
      <c r="E202">
        <f>'REGIÃO 1'!E202</f>
        <v/>
      </c>
      <c r="F202">
        <f>'REGIÃO 1'!F202</f>
        <v/>
      </c>
      <c r="G202">
        <f>'REGIÃO 1'!G202</f>
        <v/>
      </c>
      <c r="H202">
        <f>'REGIÃO 1'!H202</f>
        <v/>
      </c>
      <c r="I202">
        <f>'REGIÃO 1'!I202</f>
        <v/>
      </c>
      <c r="J202">
        <f>'REGIÃO 1'!J202</f>
        <v/>
      </c>
      <c r="K202" s="36">
        <f>'REGIÃO 1'!K202</f>
        <v/>
      </c>
      <c r="L202" t="inlineStr">
        <is>
          <t>REGIÃO 1</t>
        </is>
      </c>
    </row>
    <row r="203">
      <c r="A203">
        <f>'REGIÃO 1'!A203</f>
        <v/>
      </c>
      <c r="B203">
        <f>'REGIÃO 1'!B203</f>
        <v/>
      </c>
      <c r="C203">
        <f>'REGIÃO 1'!C203</f>
        <v/>
      </c>
      <c r="D203">
        <f>'REGIÃO 1'!D203</f>
        <v/>
      </c>
      <c r="E203">
        <f>'REGIÃO 1'!E203</f>
        <v/>
      </c>
      <c r="F203">
        <f>'REGIÃO 1'!F203</f>
        <v/>
      </c>
      <c r="G203">
        <f>'REGIÃO 1'!G203</f>
        <v/>
      </c>
      <c r="H203">
        <f>'REGIÃO 1'!H203</f>
        <v/>
      </c>
      <c r="I203">
        <f>'REGIÃO 1'!I203</f>
        <v/>
      </c>
      <c r="J203">
        <f>'REGIÃO 1'!J203</f>
        <v/>
      </c>
      <c r="K203" s="36">
        <f>'REGIÃO 1'!K203</f>
        <v/>
      </c>
      <c r="L203" t="inlineStr">
        <is>
          <t>REGIÃO 1</t>
        </is>
      </c>
    </row>
    <row r="204">
      <c r="A204">
        <f>'REGIÃO 1'!A204</f>
        <v/>
      </c>
      <c r="B204">
        <f>'REGIÃO 1'!B204</f>
        <v/>
      </c>
      <c r="C204">
        <f>'REGIÃO 1'!C204</f>
        <v/>
      </c>
      <c r="D204">
        <f>'REGIÃO 1'!D204</f>
        <v/>
      </c>
      <c r="E204">
        <f>'REGIÃO 1'!E204</f>
        <v/>
      </c>
      <c r="F204">
        <f>'REGIÃO 1'!F204</f>
        <v/>
      </c>
      <c r="G204">
        <f>'REGIÃO 1'!G204</f>
        <v/>
      </c>
      <c r="H204">
        <f>'REGIÃO 1'!H204</f>
        <v/>
      </c>
      <c r="I204">
        <f>'REGIÃO 1'!I204</f>
        <v/>
      </c>
      <c r="J204">
        <f>'REGIÃO 1'!J204</f>
        <v/>
      </c>
      <c r="K204" s="36">
        <f>'REGIÃO 1'!K204</f>
        <v/>
      </c>
      <c r="L204" t="inlineStr">
        <is>
          <t>REGIÃO 1</t>
        </is>
      </c>
    </row>
    <row r="205">
      <c r="A205">
        <f>'REGIÃO 1'!A205</f>
        <v/>
      </c>
      <c r="B205">
        <f>'REGIÃO 1'!B205</f>
        <v/>
      </c>
      <c r="C205">
        <f>'REGIÃO 1'!C205</f>
        <v/>
      </c>
      <c r="D205">
        <f>'REGIÃO 1'!D205</f>
        <v/>
      </c>
      <c r="E205">
        <f>'REGIÃO 1'!E205</f>
        <v/>
      </c>
      <c r="F205">
        <f>'REGIÃO 1'!F205</f>
        <v/>
      </c>
      <c r="G205">
        <f>'REGIÃO 1'!G205</f>
        <v/>
      </c>
      <c r="H205">
        <f>'REGIÃO 1'!H205</f>
        <v/>
      </c>
      <c r="I205">
        <f>'REGIÃO 1'!I205</f>
        <v/>
      </c>
      <c r="J205">
        <f>'REGIÃO 1'!J205</f>
        <v/>
      </c>
      <c r="K205" s="36">
        <f>'REGIÃO 1'!K205</f>
        <v/>
      </c>
      <c r="L205" t="inlineStr">
        <is>
          <t>REGIÃO 1</t>
        </is>
      </c>
    </row>
    <row r="206">
      <c r="A206">
        <f>'REGIÃO 1'!A206</f>
        <v/>
      </c>
      <c r="B206">
        <f>'REGIÃO 1'!B206</f>
        <v/>
      </c>
      <c r="C206">
        <f>'REGIÃO 1'!C206</f>
        <v/>
      </c>
      <c r="D206">
        <f>'REGIÃO 1'!D206</f>
        <v/>
      </c>
      <c r="E206">
        <f>'REGIÃO 1'!E206</f>
        <v/>
      </c>
      <c r="F206">
        <f>'REGIÃO 1'!F206</f>
        <v/>
      </c>
      <c r="G206">
        <f>'REGIÃO 1'!G206</f>
        <v/>
      </c>
      <c r="H206">
        <f>'REGIÃO 1'!H206</f>
        <v/>
      </c>
      <c r="I206">
        <f>'REGIÃO 1'!I206</f>
        <v/>
      </c>
      <c r="J206">
        <f>'REGIÃO 1'!J206</f>
        <v/>
      </c>
      <c r="K206" s="36">
        <f>'REGIÃO 1'!K206</f>
        <v/>
      </c>
      <c r="L206" t="inlineStr">
        <is>
          <t>REGIÃO 1</t>
        </is>
      </c>
    </row>
    <row r="207">
      <c r="A207">
        <f>'REGIÃO 1'!A207</f>
        <v/>
      </c>
      <c r="B207">
        <f>'REGIÃO 1'!B207</f>
        <v/>
      </c>
      <c r="C207">
        <f>'REGIÃO 1'!C207</f>
        <v/>
      </c>
      <c r="D207">
        <f>'REGIÃO 1'!D207</f>
        <v/>
      </c>
      <c r="E207">
        <f>'REGIÃO 1'!E207</f>
        <v/>
      </c>
      <c r="F207">
        <f>'REGIÃO 1'!F207</f>
        <v/>
      </c>
      <c r="G207">
        <f>'REGIÃO 1'!G207</f>
        <v/>
      </c>
      <c r="H207">
        <f>'REGIÃO 1'!H207</f>
        <v/>
      </c>
      <c r="I207">
        <f>'REGIÃO 1'!I207</f>
        <v/>
      </c>
      <c r="J207">
        <f>'REGIÃO 1'!J207</f>
        <v/>
      </c>
      <c r="K207" s="36">
        <f>'REGIÃO 1'!K207</f>
        <v/>
      </c>
      <c r="L207" t="inlineStr">
        <is>
          <t>REGIÃO 1</t>
        </is>
      </c>
    </row>
    <row r="208">
      <c r="A208">
        <f>'REGIÃO 1'!A208</f>
        <v/>
      </c>
      <c r="B208">
        <f>'REGIÃO 1'!B208</f>
        <v/>
      </c>
      <c r="C208">
        <f>'REGIÃO 1'!C208</f>
        <v/>
      </c>
      <c r="D208">
        <f>'REGIÃO 1'!D208</f>
        <v/>
      </c>
      <c r="E208">
        <f>'REGIÃO 1'!E208</f>
        <v/>
      </c>
      <c r="F208">
        <f>'REGIÃO 1'!F208</f>
        <v/>
      </c>
      <c r="G208">
        <f>'REGIÃO 1'!G208</f>
        <v/>
      </c>
      <c r="H208">
        <f>'REGIÃO 1'!H208</f>
        <v/>
      </c>
      <c r="I208">
        <f>'REGIÃO 1'!I208</f>
        <v/>
      </c>
      <c r="J208">
        <f>'REGIÃO 1'!J208</f>
        <v/>
      </c>
      <c r="K208" s="36">
        <f>'REGIÃO 1'!K208</f>
        <v/>
      </c>
      <c r="L208" t="inlineStr">
        <is>
          <t>REGIÃO 1</t>
        </is>
      </c>
    </row>
    <row r="209">
      <c r="A209">
        <f>'REGIÃO 1'!A209</f>
        <v/>
      </c>
      <c r="B209">
        <f>'REGIÃO 1'!B209</f>
        <v/>
      </c>
      <c r="C209">
        <f>'REGIÃO 1'!C209</f>
        <v/>
      </c>
      <c r="D209">
        <f>'REGIÃO 1'!D209</f>
        <v/>
      </c>
      <c r="E209">
        <f>'REGIÃO 1'!E209</f>
        <v/>
      </c>
      <c r="F209">
        <f>'REGIÃO 1'!F209</f>
        <v/>
      </c>
      <c r="G209">
        <f>'REGIÃO 1'!G209</f>
        <v/>
      </c>
      <c r="H209">
        <f>'REGIÃO 1'!H209</f>
        <v/>
      </c>
      <c r="I209">
        <f>'REGIÃO 1'!I209</f>
        <v/>
      </c>
      <c r="J209">
        <f>'REGIÃO 1'!J209</f>
        <v/>
      </c>
      <c r="K209" s="36">
        <f>'REGIÃO 1'!K209</f>
        <v/>
      </c>
      <c r="L209" t="inlineStr">
        <is>
          <t>REGIÃO 1</t>
        </is>
      </c>
    </row>
    <row r="210">
      <c r="A210">
        <f>'REGIÃO 1'!A210</f>
        <v/>
      </c>
      <c r="B210">
        <f>'REGIÃO 1'!B210</f>
        <v/>
      </c>
      <c r="C210">
        <f>'REGIÃO 1'!C210</f>
        <v/>
      </c>
      <c r="D210">
        <f>'REGIÃO 1'!D210</f>
        <v/>
      </c>
      <c r="E210">
        <f>'REGIÃO 1'!E210</f>
        <v/>
      </c>
      <c r="F210">
        <f>'REGIÃO 1'!F210</f>
        <v/>
      </c>
      <c r="G210">
        <f>'REGIÃO 1'!G210</f>
        <v/>
      </c>
      <c r="H210">
        <f>'REGIÃO 1'!H210</f>
        <v/>
      </c>
      <c r="I210">
        <f>'REGIÃO 1'!I210</f>
        <v/>
      </c>
      <c r="J210">
        <f>'REGIÃO 1'!J210</f>
        <v/>
      </c>
      <c r="K210" s="36">
        <f>'REGIÃO 1'!K210</f>
        <v/>
      </c>
      <c r="L210" t="inlineStr">
        <is>
          <t>REGIÃO 1</t>
        </is>
      </c>
    </row>
    <row r="211">
      <c r="A211">
        <f>'REGIÃO 1'!A211</f>
        <v/>
      </c>
      <c r="B211">
        <f>'REGIÃO 1'!B211</f>
        <v/>
      </c>
      <c r="C211">
        <f>'REGIÃO 1'!C211</f>
        <v/>
      </c>
      <c r="D211">
        <f>'REGIÃO 1'!D211</f>
        <v/>
      </c>
      <c r="E211">
        <f>'REGIÃO 1'!E211</f>
        <v/>
      </c>
      <c r="F211">
        <f>'REGIÃO 1'!F211</f>
        <v/>
      </c>
      <c r="G211">
        <f>'REGIÃO 1'!G211</f>
        <v/>
      </c>
      <c r="H211">
        <f>'REGIÃO 1'!H211</f>
        <v/>
      </c>
      <c r="I211">
        <f>'REGIÃO 1'!I211</f>
        <v/>
      </c>
      <c r="J211">
        <f>'REGIÃO 1'!J211</f>
        <v/>
      </c>
      <c r="K211" s="36">
        <f>'REGIÃO 1'!K211</f>
        <v/>
      </c>
      <c r="L211" t="inlineStr">
        <is>
          <t>REGIÃO 1</t>
        </is>
      </c>
    </row>
    <row r="212">
      <c r="A212">
        <f>'REGIÃO 1'!A212</f>
        <v/>
      </c>
      <c r="B212">
        <f>'REGIÃO 1'!B212</f>
        <v/>
      </c>
      <c r="C212">
        <f>'REGIÃO 1'!C212</f>
        <v/>
      </c>
      <c r="D212">
        <f>'REGIÃO 1'!D212</f>
        <v/>
      </c>
      <c r="E212">
        <f>'REGIÃO 1'!E212</f>
        <v/>
      </c>
      <c r="F212">
        <f>'REGIÃO 1'!F212</f>
        <v/>
      </c>
      <c r="G212">
        <f>'REGIÃO 1'!G212</f>
        <v/>
      </c>
      <c r="H212">
        <f>'REGIÃO 1'!H212</f>
        <v/>
      </c>
      <c r="I212">
        <f>'REGIÃO 1'!I212</f>
        <v/>
      </c>
      <c r="J212">
        <f>'REGIÃO 1'!J212</f>
        <v/>
      </c>
      <c r="K212" s="36">
        <f>'REGIÃO 1'!K212</f>
        <v/>
      </c>
      <c r="L212" t="inlineStr">
        <is>
          <t>REGIÃO 1</t>
        </is>
      </c>
    </row>
    <row r="213">
      <c r="A213">
        <f>'REGIÃO 1'!A213</f>
        <v/>
      </c>
      <c r="B213">
        <f>'REGIÃO 1'!B213</f>
        <v/>
      </c>
      <c r="C213">
        <f>'REGIÃO 1'!C213</f>
        <v/>
      </c>
      <c r="D213">
        <f>'REGIÃO 1'!D213</f>
        <v/>
      </c>
      <c r="E213">
        <f>'REGIÃO 1'!E213</f>
        <v/>
      </c>
      <c r="F213">
        <f>'REGIÃO 1'!F213</f>
        <v/>
      </c>
      <c r="G213">
        <f>'REGIÃO 1'!G213</f>
        <v/>
      </c>
      <c r="H213">
        <f>'REGIÃO 1'!H213</f>
        <v/>
      </c>
      <c r="I213">
        <f>'REGIÃO 1'!I213</f>
        <v/>
      </c>
      <c r="J213">
        <f>'REGIÃO 1'!J213</f>
        <v/>
      </c>
      <c r="K213" s="36">
        <f>'REGIÃO 1'!K213</f>
        <v/>
      </c>
      <c r="L213" t="inlineStr">
        <is>
          <t>REGIÃO 1</t>
        </is>
      </c>
    </row>
    <row r="214">
      <c r="A214">
        <f>'REGIÃO 1'!A214</f>
        <v/>
      </c>
      <c r="B214">
        <f>'REGIÃO 1'!B214</f>
        <v/>
      </c>
      <c r="C214">
        <f>'REGIÃO 1'!C214</f>
        <v/>
      </c>
      <c r="D214">
        <f>'REGIÃO 1'!D214</f>
        <v/>
      </c>
      <c r="E214">
        <f>'REGIÃO 1'!E214</f>
        <v/>
      </c>
      <c r="F214">
        <f>'REGIÃO 1'!F214</f>
        <v/>
      </c>
      <c r="G214">
        <f>'REGIÃO 1'!G214</f>
        <v/>
      </c>
      <c r="H214">
        <f>'REGIÃO 1'!H214</f>
        <v/>
      </c>
      <c r="I214">
        <f>'REGIÃO 1'!I214</f>
        <v/>
      </c>
      <c r="J214">
        <f>'REGIÃO 1'!J214</f>
        <v/>
      </c>
      <c r="K214" s="36">
        <f>'REGIÃO 1'!K214</f>
        <v/>
      </c>
      <c r="L214" t="inlineStr">
        <is>
          <t>REGIÃO 1</t>
        </is>
      </c>
    </row>
    <row r="215">
      <c r="A215" s="35">
        <f>'REGIÃO 2'!A2</f>
        <v/>
      </c>
      <c r="B215">
        <f>'REGIÃO 2'!B2</f>
        <v/>
      </c>
      <c r="C215" s="35">
        <f>'REGIÃO 2'!C2</f>
        <v/>
      </c>
      <c r="D215">
        <f>'REGIÃO 2'!D2</f>
        <v/>
      </c>
      <c r="E215">
        <f>'REGIÃO 2'!E2</f>
        <v/>
      </c>
      <c r="F215">
        <f>'REGIÃO 2'!F2</f>
        <v/>
      </c>
      <c r="G215">
        <f>'REGIÃO 2'!G2</f>
        <v/>
      </c>
      <c r="H215">
        <f>'REGIÃO 2'!H2</f>
        <v/>
      </c>
      <c r="I215">
        <f>'REGIÃO 2'!I2</f>
        <v/>
      </c>
      <c r="J215">
        <f>'REGIÃO 2'!J2</f>
        <v/>
      </c>
      <c r="K215" s="36">
        <f>'REGIÃO 2'!K2</f>
        <v/>
      </c>
      <c r="L215" t="inlineStr">
        <is>
          <t>REGIÃO 2</t>
        </is>
      </c>
    </row>
    <row r="216">
      <c r="A216">
        <f>'REGIÃO 2'!A3</f>
        <v/>
      </c>
      <c r="B216">
        <f>'REGIÃO 2'!B3</f>
        <v/>
      </c>
      <c r="C216">
        <f>'REGIÃO 2'!C3</f>
        <v/>
      </c>
      <c r="D216">
        <f>'REGIÃO 2'!D3</f>
        <v/>
      </c>
      <c r="E216">
        <f>'REGIÃO 2'!E3</f>
        <v/>
      </c>
      <c r="F216">
        <f>'REGIÃO 2'!F3</f>
        <v/>
      </c>
      <c r="G216">
        <f>'REGIÃO 2'!G3</f>
        <v/>
      </c>
      <c r="H216">
        <f>'REGIÃO 2'!H3</f>
        <v/>
      </c>
      <c r="I216">
        <f>'REGIÃO 2'!I3</f>
        <v/>
      </c>
      <c r="J216">
        <f>'REGIÃO 2'!J3</f>
        <v/>
      </c>
      <c r="K216" s="36">
        <f>'REGIÃO 2'!K3</f>
        <v/>
      </c>
      <c r="L216" t="inlineStr">
        <is>
          <t>REGIÃO 2</t>
        </is>
      </c>
    </row>
    <row r="217">
      <c r="A217">
        <f>'REGIÃO 2'!A4</f>
        <v/>
      </c>
      <c r="B217">
        <f>'REGIÃO 2'!B4</f>
        <v/>
      </c>
      <c r="C217">
        <f>'REGIÃO 2'!C4</f>
        <v/>
      </c>
      <c r="D217">
        <f>'REGIÃO 2'!D4</f>
        <v/>
      </c>
      <c r="E217">
        <f>'REGIÃO 2'!E4</f>
        <v/>
      </c>
      <c r="F217">
        <f>'REGIÃO 2'!F4</f>
        <v/>
      </c>
      <c r="G217">
        <f>'REGIÃO 2'!G4</f>
        <v/>
      </c>
      <c r="H217">
        <f>'REGIÃO 2'!H4</f>
        <v/>
      </c>
      <c r="I217">
        <f>'REGIÃO 2'!I4</f>
        <v/>
      </c>
      <c r="J217">
        <f>'REGIÃO 2'!J4</f>
        <v/>
      </c>
      <c r="K217" s="36">
        <f>'REGIÃO 2'!K4</f>
        <v/>
      </c>
      <c r="L217" t="inlineStr">
        <is>
          <t>REGIÃO 2</t>
        </is>
      </c>
    </row>
    <row r="218">
      <c r="A218">
        <f>'REGIÃO 2'!A5</f>
        <v/>
      </c>
      <c r="B218">
        <f>'REGIÃO 2'!B5</f>
        <v/>
      </c>
      <c r="C218">
        <f>'REGIÃO 2'!C5</f>
        <v/>
      </c>
      <c r="D218">
        <f>'REGIÃO 2'!D5</f>
        <v/>
      </c>
      <c r="E218">
        <f>'REGIÃO 2'!E5</f>
        <v/>
      </c>
      <c r="F218">
        <f>'REGIÃO 2'!F5</f>
        <v/>
      </c>
      <c r="G218">
        <f>'REGIÃO 2'!G5</f>
        <v/>
      </c>
      <c r="H218">
        <f>'REGIÃO 2'!H5</f>
        <v/>
      </c>
      <c r="I218">
        <f>'REGIÃO 2'!I5</f>
        <v/>
      </c>
      <c r="J218">
        <f>'REGIÃO 2'!J5</f>
        <v/>
      </c>
      <c r="K218" s="36">
        <f>'REGIÃO 2'!K5</f>
        <v/>
      </c>
      <c r="L218" t="inlineStr">
        <is>
          <t>REGIÃO 2</t>
        </is>
      </c>
    </row>
    <row r="219">
      <c r="A219">
        <f>'REGIÃO 2'!A6</f>
        <v/>
      </c>
      <c r="B219">
        <f>'REGIÃO 2'!B6</f>
        <v/>
      </c>
      <c r="C219">
        <f>'REGIÃO 2'!C6</f>
        <v/>
      </c>
      <c r="D219">
        <f>'REGIÃO 2'!D6</f>
        <v/>
      </c>
      <c r="E219">
        <f>'REGIÃO 2'!E6</f>
        <v/>
      </c>
      <c r="F219">
        <f>'REGIÃO 2'!F6</f>
        <v/>
      </c>
      <c r="G219">
        <f>'REGIÃO 2'!G6</f>
        <v/>
      </c>
      <c r="H219">
        <f>'REGIÃO 2'!H6</f>
        <v/>
      </c>
      <c r="I219">
        <f>'REGIÃO 2'!I6</f>
        <v/>
      </c>
      <c r="J219">
        <f>'REGIÃO 2'!J6</f>
        <v/>
      </c>
      <c r="K219" s="36">
        <f>'REGIÃO 2'!K6</f>
        <v/>
      </c>
      <c r="L219" t="inlineStr">
        <is>
          <t>REGIÃO 2</t>
        </is>
      </c>
    </row>
    <row r="220">
      <c r="A220">
        <f>'REGIÃO 2'!A7</f>
        <v/>
      </c>
      <c r="B220">
        <f>'REGIÃO 2'!B7</f>
        <v/>
      </c>
      <c r="C220">
        <f>'REGIÃO 2'!C7</f>
        <v/>
      </c>
      <c r="D220">
        <f>'REGIÃO 2'!D7</f>
        <v/>
      </c>
      <c r="E220">
        <f>'REGIÃO 2'!E7</f>
        <v/>
      </c>
      <c r="F220">
        <f>'REGIÃO 2'!F7</f>
        <v/>
      </c>
      <c r="G220">
        <f>'REGIÃO 2'!G7</f>
        <v/>
      </c>
      <c r="H220">
        <f>'REGIÃO 2'!H7</f>
        <v/>
      </c>
      <c r="I220">
        <f>'REGIÃO 2'!I7</f>
        <v/>
      </c>
      <c r="J220">
        <f>'REGIÃO 2'!J7</f>
        <v/>
      </c>
      <c r="K220" s="36">
        <f>'REGIÃO 2'!K7</f>
        <v/>
      </c>
      <c r="L220" t="inlineStr">
        <is>
          <t>REGIÃO 2</t>
        </is>
      </c>
    </row>
    <row r="221">
      <c r="A221">
        <f>'REGIÃO 2'!A8</f>
        <v/>
      </c>
      <c r="B221">
        <f>'REGIÃO 2'!B8</f>
        <v/>
      </c>
      <c r="C221">
        <f>'REGIÃO 2'!C8</f>
        <v/>
      </c>
      <c r="D221">
        <f>'REGIÃO 2'!D8</f>
        <v/>
      </c>
      <c r="E221">
        <f>'REGIÃO 2'!E8</f>
        <v/>
      </c>
      <c r="F221">
        <f>'REGIÃO 2'!F8</f>
        <v/>
      </c>
      <c r="G221">
        <f>'REGIÃO 2'!G8</f>
        <v/>
      </c>
      <c r="H221">
        <f>'REGIÃO 2'!H8</f>
        <v/>
      </c>
      <c r="I221">
        <f>'REGIÃO 2'!I8</f>
        <v/>
      </c>
      <c r="J221">
        <f>'REGIÃO 2'!J8</f>
        <v/>
      </c>
      <c r="K221" s="36">
        <f>'REGIÃO 2'!K8</f>
        <v/>
      </c>
      <c r="L221" t="inlineStr">
        <is>
          <t>REGIÃO 2</t>
        </is>
      </c>
    </row>
    <row r="222">
      <c r="A222">
        <f>'REGIÃO 2'!A9</f>
        <v/>
      </c>
      <c r="B222">
        <f>'REGIÃO 2'!B9</f>
        <v/>
      </c>
      <c r="C222">
        <f>'REGIÃO 2'!C9</f>
        <v/>
      </c>
      <c r="D222">
        <f>'REGIÃO 2'!D9</f>
        <v/>
      </c>
      <c r="E222">
        <f>'REGIÃO 2'!E9</f>
        <v/>
      </c>
      <c r="F222">
        <f>'REGIÃO 2'!F9</f>
        <v/>
      </c>
      <c r="G222">
        <f>'REGIÃO 2'!G9</f>
        <v/>
      </c>
      <c r="H222">
        <f>'REGIÃO 2'!H9</f>
        <v/>
      </c>
      <c r="I222">
        <f>'REGIÃO 2'!I9</f>
        <v/>
      </c>
      <c r="J222">
        <f>'REGIÃO 2'!J9</f>
        <v/>
      </c>
      <c r="K222" s="36">
        <f>'REGIÃO 2'!K9</f>
        <v/>
      </c>
      <c r="L222" t="inlineStr">
        <is>
          <t>REGIÃO 2</t>
        </is>
      </c>
    </row>
    <row r="223">
      <c r="A223">
        <f>'REGIÃO 2'!A10</f>
        <v/>
      </c>
      <c r="B223">
        <f>'REGIÃO 2'!B10</f>
        <v/>
      </c>
      <c r="C223">
        <f>'REGIÃO 2'!C10</f>
        <v/>
      </c>
      <c r="D223">
        <f>'REGIÃO 2'!D10</f>
        <v/>
      </c>
      <c r="E223">
        <f>'REGIÃO 2'!E10</f>
        <v/>
      </c>
      <c r="F223">
        <f>'REGIÃO 2'!F10</f>
        <v/>
      </c>
      <c r="G223">
        <f>'REGIÃO 2'!G10</f>
        <v/>
      </c>
      <c r="H223">
        <f>'REGIÃO 2'!H10</f>
        <v/>
      </c>
      <c r="I223">
        <f>'REGIÃO 2'!I10</f>
        <v/>
      </c>
      <c r="J223">
        <f>'REGIÃO 2'!J10</f>
        <v/>
      </c>
      <c r="K223" s="36">
        <f>'REGIÃO 2'!K10</f>
        <v/>
      </c>
      <c r="L223" t="inlineStr">
        <is>
          <t>REGIÃO 2</t>
        </is>
      </c>
    </row>
    <row r="224">
      <c r="A224">
        <f>'REGIÃO 2'!A11</f>
        <v/>
      </c>
      <c r="B224">
        <f>'REGIÃO 2'!B11</f>
        <v/>
      </c>
      <c r="C224">
        <f>'REGIÃO 2'!C11</f>
        <v/>
      </c>
      <c r="D224">
        <f>'REGIÃO 2'!D11</f>
        <v/>
      </c>
      <c r="E224">
        <f>'REGIÃO 2'!E11</f>
        <v/>
      </c>
      <c r="F224">
        <f>'REGIÃO 2'!F11</f>
        <v/>
      </c>
      <c r="G224">
        <f>'REGIÃO 2'!G11</f>
        <v/>
      </c>
      <c r="H224">
        <f>'REGIÃO 2'!H11</f>
        <v/>
      </c>
      <c r="I224">
        <f>'REGIÃO 2'!I11</f>
        <v/>
      </c>
      <c r="J224">
        <f>'REGIÃO 2'!J11</f>
        <v/>
      </c>
      <c r="K224" s="36">
        <f>'REGIÃO 2'!K11</f>
        <v/>
      </c>
      <c r="L224" t="inlineStr">
        <is>
          <t>REGIÃO 2</t>
        </is>
      </c>
    </row>
    <row r="225">
      <c r="A225">
        <f>'REGIÃO 2'!A12</f>
        <v/>
      </c>
      <c r="B225">
        <f>'REGIÃO 2'!B12</f>
        <v/>
      </c>
      <c r="C225">
        <f>'REGIÃO 2'!C12</f>
        <v/>
      </c>
      <c r="D225">
        <f>'REGIÃO 2'!D12</f>
        <v/>
      </c>
      <c r="E225">
        <f>'REGIÃO 2'!E12</f>
        <v/>
      </c>
      <c r="F225">
        <f>'REGIÃO 2'!F12</f>
        <v/>
      </c>
      <c r="G225">
        <f>'REGIÃO 2'!G12</f>
        <v/>
      </c>
      <c r="H225">
        <f>'REGIÃO 2'!H12</f>
        <v/>
      </c>
      <c r="I225">
        <f>'REGIÃO 2'!I12</f>
        <v/>
      </c>
      <c r="J225">
        <f>'REGIÃO 2'!J12</f>
        <v/>
      </c>
      <c r="K225" s="36">
        <f>'REGIÃO 2'!K12</f>
        <v/>
      </c>
      <c r="L225" t="inlineStr">
        <is>
          <t>REGIÃO 2</t>
        </is>
      </c>
    </row>
    <row r="226">
      <c r="A226">
        <f>'REGIÃO 2'!A13</f>
        <v/>
      </c>
      <c r="B226">
        <f>'REGIÃO 2'!B13</f>
        <v/>
      </c>
      <c r="C226">
        <f>'REGIÃO 2'!C13</f>
        <v/>
      </c>
      <c r="D226">
        <f>'REGIÃO 2'!D13</f>
        <v/>
      </c>
      <c r="E226">
        <f>'REGIÃO 2'!E13</f>
        <v/>
      </c>
      <c r="F226">
        <f>'REGIÃO 2'!F13</f>
        <v/>
      </c>
      <c r="G226">
        <f>'REGIÃO 2'!G13</f>
        <v/>
      </c>
      <c r="H226">
        <f>'REGIÃO 2'!H13</f>
        <v/>
      </c>
      <c r="I226">
        <f>'REGIÃO 2'!I13</f>
        <v/>
      </c>
      <c r="J226">
        <f>'REGIÃO 2'!J13</f>
        <v/>
      </c>
      <c r="K226" s="36">
        <f>'REGIÃO 2'!K13</f>
        <v/>
      </c>
      <c r="L226" t="inlineStr">
        <is>
          <t>REGIÃO 2</t>
        </is>
      </c>
    </row>
    <row r="227">
      <c r="A227">
        <f>'REGIÃO 2'!A14</f>
        <v/>
      </c>
      <c r="B227">
        <f>'REGIÃO 2'!B14</f>
        <v/>
      </c>
      <c r="C227">
        <f>'REGIÃO 2'!C14</f>
        <v/>
      </c>
      <c r="D227">
        <f>'REGIÃO 2'!D14</f>
        <v/>
      </c>
      <c r="E227">
        <f>'REGIÃO 2'!E14</f>
        <v/>
      </c>
      <c r="F227">
        <f>'REGIÃO 2'!F14</f>
        <v/>
      </c>
      <c r="G227">
        <f>'REGIÃO 2'!G14</f>
        <v/>
      </c>
      <c r="H227">
        <f>'REGIÃO 2'!H14</f>
        <v/>
      </c>
      <c r="I227">
        <f>'REGIÃO 2'!I14</f>
        <v/>
      </c>
      <c r="J227">
        <f>'REGIÃO 2'!J14</f>
        <v/>
      </c>
      <c r="K227" s="36">
        <f>'REGIÃO 2'!K14</f>
        <v/>
      </c>
      <c r="L227" t="inlineStr">
        <is>
          <t>REGIÃO 2</t>
        </is>
      </c>
    </row>
    <row r="228">
      <c r="A228">
        <f>'REGIÃO 2'!A15</f>
        <v/>
      </c>
      <c r="B228">
        <f>'REGIÃO 2'!B15</f>
        <v/>
      </c>
      <c r="C228">
        <f>'REGIÃO 2'!C15</f>
        <v/>
      </c>
      <c r="D228">
        <f>'REGIÃO 2'!D15</f>
        <v/>
      </c>
      <c r="E228">
        <f>'REGIÃO 2'!E15</f>
        <v/>
      </c>
      <c r="F228">
        <f>'REGIÃO 2'!F15</f>
        <v/>
      </c>
      <c r="G228">
        <f>'REGIÃO 2'!G15</f>
        <v/>
      </c>
      <c r="H228">
        <f>'REGIÃO 2'!H15</f>
        <v/>
      </c>
      <c r="I228">
        <f>'REGIÃO 2'!I15</f>
        <v/>
      </c>
      <c r="J228">
        <f>'REGIÃO 2'!J15</f>
        <v/>
      </c>
      <c r="K228" s="36">
        <f>'REGIÃO 2'!K15</f>
        <v/>
      </c>
      <c r="L228" t="inlineStr">
        <is>
          <t>REGIÃO 2</t>
        </is>
      </c>
    </row>
    <row r="229">
      <c r="A229">
        <f>'REGIÃO 2'!A16</f>
        <v/>
      </c>
      <c r="B229">
        <f>'REGIÃO 2'!B16</f>
        <v/>
      </c>
      <c r="C229">
        <f>'REGIÃO 2'!C16</f>
        <v/>
      </c>
      <c r="D229">
        <f>'REGIÃO 2'!D16</f>
        <v/>
      </c>
      <c r="E229">
        <f>'REGIÃO 2'!E16</f>
        <v/>
      </c>
      <c r="F229">
        <f>'REGIÃO 2'!F16</f>
        <v/>
      </c>
      <c r="G229">
        <f>'REGIÃO 2'!G16</f>
        <v/>
      </c>
      <c r="H229">
        <f>'REGIÃO 2'!H16</f>
        <v/>
      </c>
      <c r="I229">
        <f>'REGIÃO 2'!I16</f>
        <v/>
      </c>
      <c r="J229">
        <f>'REGIÃO 2'!J16</f>
        <v/>
      </c>
      <c r="K229" s="36">
        <f>'REGIÃO 2'!K16</f>
        <v/>
      </c>
      <c r="L229" t="inlineStr">
        <is>
          <t>REGIÃO 2</t>
        </is>
      </c>
    </row>
    <row r="230">
      <c r="A230">
        <f>'REGIÃO 2'!A17</f>
        <v/>
      </c>
      <c r="B230">
        <f>'REGIÃO 2'!B17</f>
        <v/>
      </c>
      <c r="C230">
        <f>'REGIÃO 2'!C17</f>
        <v/>
      </c>
      <c r="D230">
        <f>'REGIÃO 2'!D17</f>
        <v/>
      </c>
      <c r="E230">
        <f>'REGIÃO 2'!E17</f>
        <v/>
      </c>
      <c r="F230">
        <f>'REGIÃO 2'!F17</f>
        <v/>
      </c>
      <c r="G230">
        <f>'REGIÃO 2'!G17</f>
        <v/>
      </c>
      <c r="H230">
        <f>'REGIÃO 2'!H17</f>
        <v/>
      </c>
      <c r="I230">
        <f>'REGIÃO 2'!I17</f>
        <v/>
      </c>
      <c r="J230">
        <f>'REGIÃO 2'!J17</f>
        <v/>
      </c>
      <c r="K230" s="36">
        <f>'REGIÃO 2'!K17</f>
        <v/>
      </c>
      <c r="L230" t="inlineStr">
        <is>
          <t>REGIÃO 2</t>
        </is>
      </c>
    </row>
    <row r="231">
      <c r="A231">
        <f>'REGIÃO 2'!A18</f>
        <v/>
      </c>
      <c r="B231">
        <f>'REGIÃO 2'!B18</f>
        <v/>
      </c>
      <c r="C231">
        <f>'REGIÃO 2'!C18</f>
        <v/>
      </c>
      <c r="D231">
        <f>'REGIÃO 2'!D18</f>
        <v/>
      </c>
      <c r="E231">
        <f>'REGIÃO 2'!E18</f>
        <v/>
      </c>
      <c r="F231">
        <f>'REGIÃO 2'!F18</f>
        <v/>
      </c>
      <c r="G231">
        <f>'REGIÃO 2'!G18</f>
        <v/>
      </c>
      <c r="H231">
        <f>'REGIÃO 2'!H18</f>
        <v/>
      </c>
      <c r="I231">
        <f>'REGIÃO 2'!I18</f>
        <v/>
      </c>
      <c r="J231">
        <f>'REGIÃO 2'!J18</f>
        <v/>
      </c>
      <c r="K231" s="36">
        <f>'REGIÃO 2'!K18</f>
        <v/>
      </c>
      <c r="L231" t="inlineStr">
        <is>
          <t>REGIÃO 2</t>
        </is>
      </c>
    </row>
    <row r="232">
      <c r="A232">
        <f>'REGIÃO 2'!A19</f>
        <v/>
      </c>
      <c r="B232">
        <f>'REGIÃO 2'!B19</f>
        <v/>
      </c>
      <c r="C232">
        <f>'REGIÃO 2'!C19</f>
        <v/>
      </c>
      <c r="D232">
        <f>'REGIÃO 2'!D19</f>
        <v/>
      </c>
      <c r="E232">
        <f>'REGIÃO 2'!E19</f>
        <v/>
      </c>
      <c r="F232">
        <f>'REGIÃO 2'!F19</f>
        <v/>
      </c>
      <c r="G232">
        <f>'REGIÃO 2'!G19</f>
        <v/>
      </c>
      <c r="H232">
        <f>'REGIÃO 2'!H19</f>
        <v/>
      </c>
      <c r="I232">
        <f>'REGIÃO 2'!I19</f>
        <v/>
      </c>
      <c r="J232">
        <f>'REGIÃO 2'!J19</f>
        <v/>
      </c>
      <c r="K232" s="36">
        <f>'REGIÃO 2'!K19</f>
        <v/>
      </c>
      <c r="L232" t="inlineStr">
        <is>
          <t>REGIÃO 2</t>
        </is>
      </c>
    </row>
    <row r="233">
      <c r="A233">
        <f>'REGIÃO 2'!A20</f>
        <v/>
      </c>
      <c r="B233">
        <f>'REGIÃO 2'!B20</f>
        <v/>
      </c>
      <c r="C233">
        <f>'REGIÃO 2'!C20</f>
        <v/>
      </c>
      <c r="D233">
        <f>'REGIÃO 2'!D20</f>
        <v/>
      </c>
      <c r="E233">
        <f>'REGIÃO 2'!E20</f>
        <v/>
      </c>
      <c r="F233">
        <f>'REGIÃO 2'!F20</f>
        <v/>
      </c>
      <c r="G233">
        <f>'REGIÃO 2'!G20</f>
        <v/>
      </c>
      <c r="H233">
        <f>'REGIÃO 2'!H20</f>
        <v/>
      </c>
      <c r="I233">
        <f>'REGIÃO 2'!I20</f>
        <v/>
      </c>
      <c r="J233">
        <f>'REGIÃO 2'!J20</f>
        <v/>
      </c>
      <c r="K233" s="36">
        <f>'REGIÃO 2'!K20</f>
        <v/>
      </c>
      <c r="L233" t="inlineStr">
        <is>
          <t>REGIÃO 2</t>
        </is>
      </c>
    </row>
    <row r="234">
      <c r="A234">
        <f>'REGIÃO 2'!A21</f>
        <v/>
      </c>
      <c r="B234">
        <f>'REGIÃO 2'!B21</f>
        <v/>
      </c>
      <c r="C234">
        <f>'REGIÃO 2'!C21</f>
        <v/>
      </c>
      <c r="D234">
        <f>'REGIÃO 2'!D21</f>
        <v/>
      </c>
      <c r="E234">
        <f>'REGIÃO 2'!E21</f>
        <v/>
      </c>
      <c r="F234">
        <f>'REGIÃO 2'!F21</f>
        <v/>
      </c>
      <c r="G234">
        <f>'REGIÃO 2'!G21</f>
        <v/>
      </c>
      <c r="H234">
        <f>'REGIÃO 2'!H21</f>
        <v/>
      </c>
      <c r="I234">
        <f>'REGIÃO 2'!I21</f>
        <v/>
      </c>
      <c r="J234">
        <f>'REGIÃO 2'!J21</f>
        <v/>
      </c>
      <c r="K234" s="36">
        <f>'REGIÃO 2'!K21</f>
        <v/>
      </c>
      <c r="L234" t="inlineStr">
        <is>
          <t>REGIÃO 2</t>
        </is>
      </c>
    </row>
    <row r="235">
      <c r="A235">
        <f>'REGIÃO 2'!A22</f>
        <v/>
      </c>
      <c r="B235">
        <f>'REGIÃO 2'!B22</f>
        <v/>
      </c>
      <c r="C235">
        <f>'REGIÃO 2'!C22</f>
        <v/>
      </c>
      <c r="D235">
        <f>'REGIÃO 2'!D22</f>
        <v/>
      </c>
      <c r="E235">
        <f>'REGIÃO 2'!E22</f>
        <v/>
      </c>
      <c r="F235">
        <f>'REGIÃO 2'!F22</f>
        <v/>
      </c>
      <c r="G235">
        <f>'REGIÃO 2'!G22</f>
        <v/>
      </c>
      <c r="H235">
        <f>'REGIÃO 2'!H22</f>
        <v/>
      </c>
      <c r="I235">
        <f>'REGIÃO 2'!I22</f>
        <v/>
      </c>
      <c r="J235">
        <f>'REGIÃO 2'!J22</f>
        <v/>
      </c>
      <c r="K235" s="36">
        <f>'REGIÃO 2'!K22</f>
        <v/>
      </c>
      <c r="L235" t="inlineStr">
        <is>
          <t>REGIÃO 2</t>
        </is>
      </c>
    </row>
    <row r="236">
      <c r="A236">
        <f>'REGIÃO 2'!A23</f>
        <v/>
      </c>
      <c r="B236">
        <f>'REGIÃO 2'!B23</f>
        <v/>
      </c>
      <c r="C236">
        <f>'REGIÃO 2'!C23</f>
        <v/>
      </c>
      <c r="D236">
        <f>'REGIÃO 2'!D23</f>
        <v/>
      </c>
      <c r="E236">
        <f>'REGIÃO 2'!E23</f>
        <v/>
      </c>
      <c r="F236">
        <f>'REGIÃO 2'!F23</f>
        <v/>
      </c>
      <c r="G236">
        <f>'REGIÃO 2'!G23</f>
        <v/>
      </c>
      <c r="H236">
        <f>'REGIÃO 2'!H23</f>
        <v/>
      </c>
      <c r="I236">
        <f>'REGIÃO 2'!I23</f>
        <v/>
      </c>
      <c r="J236">
        <f>'REGIÃO 2'!J23</f>
        <v/>
      </c>
      <c r="K236" s="36">
        <f>'REGIÃO 2'!K23</f>
        <v/>
      </c>
      <c r="L236" t="inlineStr">
        <is>
          <t>REGIÃO 2</t>
        </is>
      </c>
    </row>
    <row r="237">
      <c r="A237">
        <f>'REGIÃO 2'!A24</f>
        <v/>
      </c>
      <c r="B237">
        <f>'REGIÃO 2'!B24</f>
        <v/>
      </c>
      <c r="C237">
        <f>'REGIÃO 2'!C24</f>
        <v/>
      </c>
      <c r="D237">
        <f>'REGIÃO 2'!D24</f>
        <v/>
      </c>
      <c r="E237">
        <f>'REGIÃO 2'!E24</f>
        <v/>
      </c>
      <c r="F237">
        <f>'REGIÃO 2'!F24</f>
        <v/>
      </c>
      <c r="G237">
        <f>'REGIÃO 2'!G24</f>
        <v/>
      </c>
      <c r="H237">
        <f>'REGIÃO 2'!H24</f>
        <v/>
      </c>
      <c r="I237">
        <f>'REGIÃO 2'!I24</f>
        <v/>
      </c>
      <c r="J237">
        <f>'REGIÃO 2'!J24</f>
        <v/>
      </c>
      <c r="K237" s="36">
        <f>'REGIÃO 2'!K24</f>
        <v/>
      </c>
      <c r="L237" t="inlineStr">
        <is>
          <t>REGIÃO 2</t>
        </is>
      </c>
    </row>
    <row r="238">
      <c r="A238">
        <f>'REGIÃO 2'!A25</f>
        <v/>
      </c>
      <c r="B238">
        <f>'REGIÃO 2'!B25</f>
        <v/>
      </c>
      <c r="C238">
        <f>'REGIÃO 2'!C25</f>
        <v/>
      </c>
      <c r="D238">
        <f>'REGIÃO 2'!D25</f>
        <v/>
      </c>
      <c r="E238">
        <f>'REGIÃO 2'!E25</f>
        <v/>
      </c>
      <c r="F238">
        <f>'REGIÃO 2'!F25</f>
        <v/>
      </c>
      <c r="G238">
        <f>'REGIÃO 2'!G25</f>
        <v/>
      </c>
      <c r="H238">
        <f>'REGIÃO 2'!H25</f>
        <v/>
      </c>
      <c r="I238">
        <f>'REGIÃO 2'!I25</f>
        <v/>
      </c>
      <c r="J238">
        <f>'REGIÃO 2'!J25</f>
        <v/>
      </c>
      <c r="K238" s="36">
        <f>'REGIÃO 2'!K25</f>
        <v/>
      </c>
      <c r="L238" t="inlineStr">
        <is>
          <t>REGIÃO 2</t>
        </is>
      </c>
    </row>
    <row r="239">
      <c r="A239">
        <f>'REGIÃO 2'!A26</f>
        <v/>
      </c>
      <c r="B239">
        <f>'REGIÃO 2'!B26</f>
        <v/>
      </c>
      <c r="C239">
        <f>'REGIÃO 2'!C26</f>
        <v/>
      </c>
      <c r="D239">
        <f>'REGIÃO 2'!D26</f>
        <v/>
      </c>
      <c r="E239">
        <f>'REGIÃO 2'!E26</f>
        <v/>
      </c>
      <c r="F239">
        <f>'REGIÃO 2'!F26</f>
        <v/>
      </c>
      <c r="G239">
        <f>'REGIÃO 2'!G26</f>
        <v/>
      </c>
      <c r="H239">
        <f>'REGIÃO 2'!H26</f>
        <v/>
      </c>
      <c r="I239">
        <f>'REGIÃO 2'!I26</f>
        <v/>
      </c>
      <c r="J239">
        <f>'REGIÃO 2'!J26</f>
        <v/>
      </c>
      <c r="K239" s="36">
        <f>'REGIÃO 2'!K26</f>
        <v/>
      </c>
      <c r="L239" t="inlineStr">
        <is>
          <t>REGIÃO 2</t>
        </is>
      </c>
    </row>
    <row r="240">
      <c r="A240">
        <f>'REGIÃO 2'!A27</f>
        <v/>
      </c>
      <c r="B240">
        <f>'REGIÃO 2'!B27</f>
        <v/>
      </c>
      <c r="C240">
        <f>'REGIÃO 2'!C27</f>
        <v/>
      </c>
      <c r="D240">
        <f>'REGIÃO 2'!D27</f>
        <v/>
      </c>
      <c r="E240">
        <f>'REGIÃO 2'!E27</f>
        <v/>
      </c>
      <c r="F240">
        <f>'REGIÃO 2'!F27</f>
        <v/>
      </c>
      <c r="G240">
        <f>'REGIÃO 2'!G27</f>
        <v/>
      </c>
      <c r="H240">
        <f>'REGIÃO 2'!H27</f>
        <v/>
      </c>
      <c r="I240">
        <f>'REGIÃO 2'!I27</f>
        <v/>
      </c>
      <c r="J240">
        <f>'REGIÃO 2'!J27</f>
        <v/>
      </c>
      <c r="K240" s="36">
        <f>'REGIÃO 2'!K27</f>
        <v/>
      </c>
      <c r="L240" t="inlineStr">
        <is>
          <t>REGIÃO 2</t>
        </is>
      </c>
    </row>
    <row r="241">
      <c r="A241">
        <f>'REGIÃO 2'!A28</f>
        <v/>
      </c>
      <c r="B241">
        <f>'REGIÃO 2'!B28</f>
        <v/>
      </c>
      <c r="C241">
        <f>'REGIÃO 2'!C28</f>
        <v/>
      </c>
      <c r="D241">
        <f>'REGIÃO 2'!D28</f>
        <v/>
      </c>
      <c r="E241">
        <f>'REGIÃO 2'!E28</f>
        <v/>
      </c>
      <c r="F241">
        <f>'REGIÃO 2'!F28</f>
        <v/>
      </c>
      <c r="G241">
        <f>'REGIÃO 2'!G28</f>
        <v/>
      </c>
      <c r="H241">
        <f>'REGIÃO 2'!H28</f>
        <v/>
      </c>
      <c r="I241">
        <f>'REGIÃO 2'!I28</f>
        <v/>
      </c>
      <c r="J241">
        <f>'REGIÃO 2'!J28</f>
        <v/>
      </c>
      <c r="K241" s="36">
        <f>'REGIÃO 2'!K28</f>
        <v/>
      </c>
      <c r="L241" t="inlineStr">
        <is>
          <t>REGIÃO 2</t>
        </is>
      </c>
    </row>
    <row r="242">
      <c r="A242">
        <f>'REGIÃO 2'!A29</f>
        <v/>
      </c>
      <c r="B242">
        <f>'REGIÃO 2'!B29</f>
        <v/>
      </c>
      <c r="C242">
        <f>'REGIÃO 2'!C29</f>
        <v/>
      </c>
      <c r="D242">
        <f>'REGIÃO 2'!D29</f>
        <v/>
      </c>
      <c r="E242">
        <f>'REGIÃO 2'!E29</f>
        <v/>
      </c>
      <c r="F242">
        <f>'REGIÃO 2'!F29</f>
        <v/>
      </c>
      <c r="G242">
        <f>'REGIÃO 2'!G29</f>
        <v/>
      </c>
      <c r="H242">
        <f>'REGIÃO 2'!H29</f>
        <v/>
      </c>
      <c r="I242">
        <f>'REGIÃO 2'!I29</f>
        <v/>
      </c>
      <c r="J242">
        <f>'REGIÃO 2'!J29</f>
        <v/>
      </c>
      <c r="K242" s="36">
        <f>'REGIÃO 2'!K29</f>
        <v/>
      </c>
      <c r="L242" t="inlineStr">
        <is>
          <t>REGIÃO 2</t>
        </is>
      </c>
    </row>
    <row r="243">
      <c r="A243">
        <f>'REGIÃO 2'!A30</f>
        <v/>
      </c>
      <c r="B243">
        <f>'REGIÃO 2'!B30</f>
        <v/>
      </c>
      <c r="C243">
        <f>'REGIÃO 2'!C30</f>
        <v/>
      </c>
      <c r="D243">
        <f>'REGIÃO 2'!D30</f>
        <v/>
      </c>
      <c r="E243">
        <f>'REGIÃO 2'!E30</f>
        <v/>
      </c>
      <c r="F243">
        <f>'REGIÃO 2'!F30</f>
        <v/>
      </c>
      <c r="G243">
        <f>'REGIÃO 2'!G30</f>
        <v/>
      </c>
      <c r="H243">
        <f>'REGIÃO 2'!H30</f>
        <v/>
      </c>
      <c r="I243">
        <f>'REGIÃO 2'!I30</f>
        <v/>
      </c>
      <c r="J243">
        <f>'REGIÃO 2'!J30</f>
        <v/>
      </c>
      <c r="K243" s="36">
        <f>'REGIÃO 2'!K30</f>
        <v/>
      </c>
      <c r="L243" t="inlineStr">
        <is>
          <t>REGIÃO 2</t>
        </is>
      </c>
    </row>
    <row r="244">
      <c r="A244">
        <f>'REGIÃO 2'!A31</f>
        <v/>
      </c>
      <c r="B244">
        <f>'REGIÃO 2'!B31</f>
        <v/>
      </c>
      <c r="C244">
        <f>'REGIÃO 2'!C31</f>
        <v/>
      </c>
      <c r="D244">
        <f>'REGIÃO 2'!D31</f>
        <v/>
      </c>
      <c r="E244">
        <f>'REGIÃO 2'!E31</f>
        <v/>
      </c>
      <c r="F244">
        <f>'REGIÃO 2'!F31</f>
        <v/>
      </c>
      <c r="G244">
        <f>'REGIÃO 2'!G31</f>
        <v/>
      </c>
      <c r="H244">
        <f>'REGIÃO 2'!H31</f>
        <v/>
      </c>
      <c r="I244">
        <f>'REGIÃO 2'!I31</f>
        <v/>
      </c>
      <c r="J244">
        <f>'REGIÃO 2'!J31</f>
        <v/>
      </c>
      <c r="K244" s="36">
        <f>'REGIÃO 2'!K31</f>
        <v/>
      </c>
      <c r="L244" t="inlineStr">
        <is>
          <t>REGIÃO 2</t>
        </is>
      </c>
    </row>
    <row r="245">
      <c r="A245">
        <f>'REGIÃO 2'!A32</f>
        <v/>
      </c>
      <c r="B245">
        <f>'REGIÃO 2'!B32</f>
        <v/>
      </c>
      <c r="C245">
        <f>'REGIÃO 2'!C32</f>
        <v/>
      </c>
      <c r="D245">
        <f>'REGIÃO 2'!D32</f>
        <v/>
      </c>
      <c r="E245">
        <f>'REGIÃO 2'!E32</f>
        <v/>
      </c>
      <c r="F245">
        <f>'REGIÃO 2'!F32</f>
        <v/>
      </c>
      <c r="G245">
        <f>'REGIÃO 2'!G32</f>
        <v/>
      </c>
      <c r="H245">
        <f>'REGIÃO 2'!H32</f>
        <v/>
      </c>
      <c r="I245">
        <f>'REGIÃO 2'!I32</f>
        <v/>
      </c>
      <c r="J245">
        <f>'REGIÃO 2'!J32</f>
        <v/>
      </c>
      <c r="K245" s="36">
        <f>'REGIÃO 2'!K32</f>
        <v/>
      </c>
      <c r="L245" t="inlineStr">
        <is>
          <t>REGIÃO 2</t>
        </is>
      </c>
    </row>
    <row r="246">
      <c r="A246">
        <f>'REGIÃO 2'!A33</f>
        <v/>
      </c>
      <c r="B246">
        <f>'REGIÃO 2'!B33</f>
        <v/>
      </c>
      <c r="C246">
        <f>'REGIÃO 2'!C33</f>
        <v/>
      </c>
      <c r="D246">
        <f>'REGIÃO 2'!D33</f>
        <v/>
      </c>
      <c r="E246">
        <f>'REGIÃO 2'!E33</f>
        <v/>
      </c>
      <c r="F246">
        <f>'REGIÃO 2'!F33</f>
        <v/>
      </c>
      <c r="G246">
        <f>'REGIÃO 2'!G33</f>
        <v/>
      </c>
      <c r="H246">
        <f>'REGIÃO 2'!H33</f>
        <v/>
      </c>
      <c r="I246">
        <f>'REGIÃO 2'!I33</f>
        <v/>
      </c>
      <c r="J246">
        <f>'REGIÃO 2'!J33</f>
        <v/>
      </c>
      <c r="K246" s="36">
        <f>'REGIÃO 2'!K33</f>
        <v/>
      </c>
      <c r="L246" t="inlineStr">
        <is>
          <t>REGIÃO 2</t>
        </is>
      </c>
    </row>
    <row r="247">
      <c r="A247">
        <f>'REGIÃO 2'!A34</f>
        <v/>
      </c>
      <c r="B247">
        <f>'REGIÃO 2'!B34</f>
        <v/>
      </c>
      <c r="C247">
        <f>'REGIÃO 2'!C34</f>
        <v/>
      </c>
      <c r="D247">
        <f>'REGIÃO 2'!D34</f>
        <v/>
      </c>
      <c r="E247">
        <f>'REGIÃO 2'!E34</f>
        <v/>
      </c>
      <c r="F247">
        <f>'REGIÃO 2'!F34</f>
        <v/>
      </c>
      <c r="G247">
        <f>'REGIÃO 2'!G34</f>
        <v/>
      </c>
      <c r="H247">
        <f>'REGIÃO 2'!H34</f>
        <v/>
      </c>
      <c r="I247">
        <f>'REGIÃO 2'!I34</f>
        <v/>
      </c>
      <c r="J247">
        <f>'REGIÃO 2'!J34</f>
        <v/>
      </c>
      <c r="K247" s="36">
        <f>'REGIÃO 2'!K34</f>
        <v/>
      </c>
      <c r="L247" t="inlineStr">
        <is>
          <t>REGIÃO 2</t>
        </is>
      </c>
    </row>
    <row r="248">
      <c r="A248">
        <f>'REGIÃO 2'!A35</f>
        <v/>
      </c>
      <c r="B248">
        <f>'REGIÃO 2'!B35</f>
        <v/>
      </c>
      <c r="C248">
        <f>'REGIÃO 2'!C35</f>
        <v/>
      </c>
      <c r="D248">
        <f>'REGIÃO 2'!D35</f>
        <v/>
      </c>
      <c r="E248">
        <f>'REGIÃO 2'!E35</f>
        <v/>
      </c>
      <c r="F248">
        <f>'REGIÃO 2'!F35</f>
        <v/>
      </c>
      <c r="G248">
        <f>'REGIÃO 2'!G35</f>
        <v/>
      </c>
      <c r="H248">
        <f>'REGIÃO 2'!H35</f>
        <v/>
      </c>
      <c r="I248">
        <f>'REGIÃO 2'!I35</f>
        <v/>
      </c>
      <c r="J248">
        <f>'REGIÃO 2'!J35</f>
        <v/>
      </c>
      <c r="K248" s="36">
        <f>'REGIÃO 2'!K35</f>
        <v/>
      </c>
      <c r="L248" t="inlineStr">
        <is>
          <t>REGIÃO 2</t>
        </is>
      </c>
    </row>
    <row r="249">
      <c r="A249">
        <f>'REGIÃO 2'!A36</f>
        <v/>
      </c>
      <c r="B249">
        <f>'REGIÃO 2'!B36</f>
        <v/>
      </c>
      <c r="C249">
        <f>'REGIÃO 2'!C36</f>
        <v/>
      </c>
      <c r="D249">
        <f>'REGIÃO 2'!D36</f>
        <v/>
      </c>
      <c r="E249">
        <f>'REGIÃO 2'!E36</f>
        <v/>
      </c>
      <c r="F249">
        <f>'REGIÃO 2'!F36</f>
        <v/>
      </c>
      <c r="G249">
        <f>'REGIÃO 2'!G36</f>
        <v/>
      </c>
      <c r="H249">
        <f>'REGIÃO 2'!H36</f>
        <v/>
      </c>
      <c r="I249">
        <f>'REGIÃO 2'!I36</f>
        <v/>
      </c>
      <c r="J249">
        <f>'REGIÃO 2'!J36</f>
        <v/>
      </c>
      <c r="K249" s="36">
        <f>'REGIÃO 2'!K36</f>
        <v/>
      </c>
      <c r="L249" t="inlineStr">
        <is>
          <t>REGIÃO 2</t>
        </is>
      </c>
    </row>
    <row r="250">
      <c r="A250">
        <f>'REGIÃO 2'!A37</f>
        <v/>
      </c>
      <c r="B250">
        <f>'REGIÃO 2'!B37</f>
        <v/>
      </c>
      <c r="C250">
        <f>'REGIÃO 2'!C37</f>
        <v/>
      </c>
      <c r="D250">
        <f>'REGIÃO 2'!D37</f>
        <v/>
      </c>
      <c r="E250">
        <f>'REGIÃO 2'!E37</f>
        <v/>
      </c>
      <c r="F250">
        <f>'REGIÃO 2'!F37</f>
        <v/>
      </c>
      <c r="G250">
        <f>'REGIÃO 2'!G37</f>
        <v/>
      </c>
      <c r="H250">
        <f>'REGIÃO 2'!H37</f>
        <v/>
      </c>
      <c r="I250">
        <f>'REGIÃO 2'!I37</f>
        <v/>
      </c>
      <c r="J250">
        <f>'REGIÃO 2'!J37</f>
        <v/>
      </c>
      <c r="K250" s="36">
        <f>'REGIÃO 2'!K37</f>
        <v/>
      </c>
      <c r="L250" t="inlineStr">
        <is>
          <t>REGIÃO 2</t>
        </is>
      </c>
    </row>
    <row r="251">
      <c r="A251">
        <f>'REGIÃO 2'!A38</f>
        <v/>
      </c>
      <c r="B251">
        <f>'REGIÃO 2'!B38</f>
        <v/>
      </c>
      <c r="C251">
        <f>'REGIÃO 2'!C38</f>
        <v/>
      </c>
      <c r="D251">
        <f>'REGIÃO 2'!D38</f>
        <v/>
      </c>
      <c r="E251">
        <f>'REGIÃO 2'!E38</f>
        <v/>
      </c>
      <c r="F251">
        <f>'REGIÃO 2'!F38</f>
        <v/>
      </c>
      <c r="G251">
        <f>'REGIÃO 2'!G38</f>
        <v/>
      </c>
      <c r="H251">
        <f>'REGIÃO 2'!H38</f>
        <v/>
      </c>
      <c r="I251">
        <f>'REGIÃO 2'!I38</f>
        <v/>
      </c>
      <c r="J251">
        <f>'REGIÃO 2'!J38</f>
        <v/>
      </c>
      <c r="K251" s="36">
        <f>'REGIÃO 2'!K38</f>
        <v/>
      </c>
      <c r="L251" t="inlineStr">
        <is>
          <t>REGIÃO 2</t>
        </is>
      </c>
    </row>
    <row r="252">
      <c r="A252">
        <f>'REGIÃO 2'!A39</f>
        <v/>
      </c>
      <c r="B252">
        <f>'REGIÃO 2'!B39</f>
        <v/>
      </c>
      <c r="C252">
        <f>'REGIÃO 2'!C39</f>
        <v/>
      </c>
      <c r="D252">
        <f>'REGIÃO 2'!D39</f>
        <v/>
      </c>
      <c r="E252">
        <f>'REGIÃO 2'!E39</f>
        <v/>
      </c>
      <c r="F252">
        <f>'REGIÃO 2'!F39</f>
        <v/>
      </c>
      <c r="G252">
        <f>'REGIÃO 2'!G39</f>
        <v/>
      </c>
      <c r="H252">
        <f>'REGIÃO 2'!H39</f>
        <v/>
      </c>
      <c r="I252">
        <f>'REGIÃO 2'!I39</f>
        <v/>
      </c>
      <c r="J252">
        <f>'REGIÃO 2'!J39</f>
        <v/>
      </c>
      <c r="K252" s="36">
        <f>'REGIÃO 2'!K39</f>
        <v/>
      </c>
      <c r="L252" t="inlineStr">
        <is>
          <t>REGIÃO 2</t>
        </is>
      </c>
    </row>
    <row r="253">
      <c r="A253">
        <f>'REGIÃO 2'!A40</f>
        <v/>
      </c>
      <c r="B253">
        <f>'REGIÃO 2'!B40</f>
        <v/>
      </c>
      <c r="C253">
        <f>'REGIÃO 2'!C40</f>
        <v/>
      </c>
      <c r="D253">
        <f>'REGIÃO 2'!D40</f>
        <v/>
      </c>
      <c r="E253">
        <f>'REGIÃO 2'!E40</f>
        <v/>
      </c>
      <c r="F253">
        <f>'REGIÃO 2'!F40</f>
        <v/>
      </c>
      <c r="G253">
        <f>'REGIÃO 2'!G40</f>
        <v/>
      </c>
      <c r="H253">
        <f>'REGIÃO 2'!H40</f>
        <v/>
      </c>
      <c r="I253">
        <f>'REGIÃO 2'!I40</f>
        <v/>
      </c>
      <c r="J253">
        <f>'REGIÃO 2'!J40</f>
        <v/>
      </c>
      <c r="K253" s="36">
        <f>'REGIÃO 2'!K40</f>
        <v/>
      </c>
      <c r="L253" t="inlineStr">
        <is>
          <t>REGIÃO 2</t>
        </is>
      </c>
    </row>
    <row r="254">
      <c r="A254">
        <f>'REGIÃO 2'!A41</f>
        <v/>
      </c>
      <c r="B254">
        <f>'REGIÃO 2'!B41</f>
        <v/>
      </c>
      <c r="C254">
        <f>'REGIÃO 2'!C41</f>
        <v/>
      </c>
      <c r="D254">
        <f>'REGIÃO 2'!D41</f>
        <v/>
      </c>
      <c r="E254">
        <f>'REGIÃO 2'!E41</f>
        <v/>
      </c>
      <c r="F254">
        <f>'REGIÃO 2'!F41</f>
        <v/>
      </c>
      <c r="G254">
        <f>'REGIÃO 2'!G41</f>
        <v/>
      </c>
      <c r="H254">
        <f>'REGIÃO 2'!H41</f>
        <v/>
      </c>
      <c r="I254">
        <f>'REGIÃO 2'!I41</f>
        <v/>
      </c>
      <c r="J254">
        <f>'REGIÃO 2'!J41</f>
        <v/>
      </c>
      <c r="K254" s="36">
        <f>'REGIÃO 2'!K41</f>
        <v/>
      </c>
      <c r="L254" t="inlineStr">
        <is>
          <t>REGIÃO 2</t>
        </is>
      </c>
    </row>
    <row r="255">
      <c r="A255">
        <f>'REGIÃO 2'!A42</f>
        <v/>
      </c>
      <c r="B255">
        <f>'REGIÃO 2'!B42</f>
        <v/>
      </c>
      <c r="C255">
        <f>'REGIÃO 2'!C42</f>
        <v/>
      </c>
      <c r="D255">
        <f>'REGIÃO 2'!D42</f>
        <v/>
      </c>
      <c r="E255">
        <f>'REGIÃO 2'!E42</f>
        <v/>
      </c>
      <c r="F255">
        <f>'REGIÃO 2'!F42</f>
        <v/>
      </c>
      <c r="G255">
        <f>'REGIÃO 2'!G42</f>
        <v/>
      </c>
      <c r="H255">
        <f>'REGIÃO 2'!H42</f>
        <v/>
      </c>
      <c r="I255">
        <f>'REGIÃO 2'!I42</f>
        <v/>
      </c>
      <c r="J255">
        <f>'REGIÃO 2'!J42</f>
        <v/>
      </c>
      <c r="K255" s="36">
        <f>'REGIÃO 2'!K42</f>
        <v/>
      </c>
      <c r="L255" t="inlineStr">
        <is>
          <t>REGIÃO 2</t>
        </is>
      </c>
    </row>
    <row r="256">
      <c r="A256">
        <f>'REGIÃO 2'!A43</f>
        <v/>
      </c>
      <c r="B256">
        <f>'REGIÃO 2'!B43</f>
        <v/>
      </c>
      <c r="C256">
        <f>'REGIÃO 2'!C43</f>
        <v/>
      </c>
      <c r="D256">
        <f>'REGIÃO 2'!D43</f>
        <v/>
      </c>
      <c r="E256">
        <f>'REGIÃO 2'!E43</f>
        <v/>
      </c>
      <c r="F256">
        <f>'REGIÃO 2'!F43</f>
        <v/>
      </c>
      <c r="G256">
        <f>'REGIÃO 2'!G43</f>
        <v/>
      </c>
      <c r="H256">
        <f>'REGIÃO 2'!H43</f>
        <v/>
      </c>
      <c r="I256">
        <f>'REGIÃO 2'!I43</f>
        <v/>
      </c>
      <c r="J256">
        <f>'REGIÃO 2'!J43</f>
        <v/>
      </c>
      <c r="K256" s="36">
        <f>'REGIÃO 2'!K43</f>
        <v/>
      </c>
      <c r="L256" t="inlineStr">
        <is>
          <t>REGIÃO 2</t>
        </is>
      </c>
    </row>
    <row r="257">
      <c r="A257">
        <f>'REGIÃO 2'!A44</f>
        <v/>
      </c>
      <c r="B257">
        <f>'REGIÃO 2'!B44</f>
        <v/>
      </c>
      <c r="C257">
        <f>'REGIÃO 2'!C44</f>
        <v/>
      </c>
      <c r="D257">
        <f>'REGIÃO 2'!D44</f>
        <v/>
      </c>
      <c r="E257">
        <f>'REGIÃO 2'!E44</f>
        <v/>
      </c>
      <c r="F257">
        <f>'REGIÃO 2'!F44</f>
        <v/>
      </c>
      <c r="G257">
        <f>'REGIÃO 2'!G44</f>
        <v/>
      </c>
      <c r="H257">
        <f>'REGIÃO 2'!H44</f>
        <v/>
      </c>
      <c r="I257">
        <f>'REGIÃO 2'!I44</f>
        <v/>
      </c>
      <c r="J257">
        <f>'REGIÃO 2'!J44</f>
        <v/>
      </c>
      <c r="K257" s="36">
        <f>'REGIÃO 2'!K44</f>
        <v/>
      </c>
      <c r="L257" t="inlineStr">
        <is>
          <t>REGIÃO 2</t>
        </is>
      </c>
    </row>
    <row r="258">
      <c r="A258">
        <f>'REGIÃO 2'!A45</f>
        <v/>
      </c>
      <c r="B258">
        <f>'REGIÃO 2'!B45</f>
        <v/>
      </c>
      <c r="C258">
        <f>'REGIÃO 2'!C45</f>
        <v/>
      </c>
      <c r="D258">
        <f>'REGIÃO 2'!D45</f>
        <v/>
      </c>
      <c r="E258">
        <f>'REGIÃO 2'!E45</f>
        <v/>
      </c>
      <c r="F258">
        <f>'REGIÃO 2'!F45</f>
        <v/>
      </c>
      <c r="G258">
        <f>'REGIÃO 2'!G45</f>
        <v/>
      </c>
      <c r="H258">
        <f>'REGIÃO 2'!H45</f>
        <v/>
      </c>
      <c r="I258">
        <f>'REGIÃO 2'!I45</f>
        <v/>
      </c>
      <c r="J258">
        <f>'REGIÃO 2'!J45</f>
        <v/>
      </c>
      <c r="K258" s="36">
        <f>'REGIÃO 2'!K45</f>
        <v/>
      </c>
      <c r="L258" t="inlineStr">
        <is>
          <t>REGIÃO 2</t>
        </is>
      </c>
    </row>
    <row r="259">
      <c r="A259">
        <f>'REGIÃO 2'!A46</f>
        <v/>
      </c>
      <c r="B259">
        <f>'REGIÃO 2'!B46</f>
        <v/>
      </c>
      <c r="C259">
        <f>'REGIÃO 2'!C46</f>
        <v/>
      </c>
      <c r="D259">
        <f>'REGIÃO 2'!D46</f>
        <v/>
      </c>
      <c r="E259">
        <f>'REGIÃO 2'!E46</f>
        <v/>
      </c>
      <c r="F259">
        <f>'REGIÃO 2'!F46</f>
        <v/>
      </c>
      <c r="G259">
        <f>'REGIÃO 2'!G46</f>
        <v/>
      </c>
      <c r="H259">
        <f>'REGIÃO 2'!H46</f>
        <v/>
      </c>
      <c r="I259">
        <f>'REGIÃO 2'!I46</f>
        <v/>
      </c>
      <c r="J259">
        <f>'REGIÃO 2'!J46</f>
        <v/>
      </c>
      <c r="K259" s="36">
        <f>'REGIÃO 2'!K46</f>
        <v/>
      </c>
      <c r="L259" t="inlineStr">
        <is>
          <t>REGIÃO 2</t>
        </is>
      </c>
    </row>
    <row r="260">
      <c r="A260">
        <f>'REGIÃO 2'!A47</f>
        <v/>
      </c>
      <c r="B260">
        <f>'REGIÃO 2'!B47</f>
        <v/>
      </c>
      <c r="C260">
        <f>'REGIÃO 2'!C47</f>
        <v/>
      </c>
      <c r="D260">
        <f>'REGIÃO 2'!D47</f>
        <v/>
      </c>
      <c r="E260">
        <f>'REGIÃO 2'!E47</f>
        <v/>
      </c>
      <c r="F260">
        <f>'REGIÃO 2'!F47</f>
        <v/>
      </c>
      <c r="G260">
        <f>'REGIÃO 2'!G47</f>
        <v/>
      </c>
      <c r="H260">
        <f>'REGIÃO 2'!H47</f>
        <v/>
      </c>
      <c r="I260">
        <f>'REGIÃO 2'!I47</f>
        <v/>
      </c>
      <c r="J260">
        <f>'REGIÃO 2'!J47</f>
        <v/>
      </c>
      <c r="K260" s="36">
        <f>'REGIÃO 2'!K47</f>
        <v/>
      </c>
      <c r="L260" t="inlineStr">
        <is>
          <t>REGIÃO 2</t>
        </is>
      </c>
    </row>
    <row r="261">
      <c r="A261">
        <f>'REGIÃO 2'!A48</f>
        <v/>
      </c>
      <c r="B261">
        <f>'REGIÃO 2'!B48</f>
        <v/>
      </c>
      <c r="C261">
        <f>'REGIÃO 2'!C48</f>
        <v/>
      </c>
      <c r="D261">
        <f>'REGIÃO 2'!D48</f>
        <v/>
      </c>
      <c r="E261">
        <f>'REGIÃO 2'!E48</f>
        <v/>
      </c>
      <c r="F261">
        <f>'REGIÃO 2'!F48</f>
        <v/>
      </c>
      <c r="G261">
        <f>'REGIÃO 2'!G48</f>
        <v/>
      </c>
      <c r="H261">
        <f>'REGIÃO 2'!H48</f>
        <v/>
      </c>
      <c r="I261">
        <f>'REGIÃO 2'!I48</f>
        <v/>
      </c>
      <c r="J261">
        <f>'REGIÃO 2'!J48</f>
        <v/>
      </c>
      <c r="K261" s="36">
        <f>'REGIÃO 2'!K48</f>
        <v/>
      </c>
      <c r="L261" t="inlineStr">
        <is>
          <t>REGIÃO 2</t>
        </is>
      </c>
    </row>
    <row r="262">
      <c r="A262">
        <f>'REGIÃO 2'!A49</f>
        <v/>
      </c>
      <c r="B262">
        <f>'REGIÃO 2'!B49</f>
        <v/>
      </c>
      <c r="C262">
        <f>'REGIÃO 2'!C49</f>
        <v/>
      </c>
      <c r="D262">
        <f>'REGIÃO 2'!D49</f>
        <v/>
      </c>
      <c r="E262">
        <f>'REGIÃO 2'!E49</f>
        <v/>
      </c>
      <c r="F262">
        <f>'REGIÃO 2'!F49</f>
        <v/>
      </c>
      <c r="G262">
        <f>'REGIÃO 2'!G49</f>
        <v/>
      </c>
      <c r="H262">
        <f>'REGIÃO 2'!H49</f>
        <v/>
      </c>
      <c r="I262">
        <f>'REGIÃO 2'!I49</f>
        <v/>
      </c>
      <c r="J262">
        <f>'REGIÃO 2'!J49</f>
        <v/>
      </c>
      <c r="K262" s="36">
        <f>'REGIÃO 2'!K49</f>
        <v/>
      </c>
      <c r="L262" t="inlineStr">
        <is>
          <t>REGIÃO 2</t>
        </is>
      </c>
    </row>
    <row r="263">
      <c r="A263">
        <f>'REGIÃO 2'!A50</f>
        <v/>
      </c>
      <c r="B263">
        <f>'REGIÃO 2'!B50</f>
        <v/>
      </c>
      <c r="C263">
        <f>'REGIÃO 2'!C50</f>
        <v/>
      </c>
      <c r="D263">
        <f>'REGIÃO 2'!D50</f>
        <v/>
      </c>
      <c r="E263">
        <f>'REGIÃO 2'!E50</f>
        <v/>
      </c>
      <c r="F263">
        <f>'REGIÃO 2'!F50</f>
        <v/>
      </c>
      <c r="G263">
        <f>'REGIÃO 2'!G50</f>
        <v/>
      </c>
      <c r="H263">
        <f>'REGIÃO 2'!H50</f>
        <v/>
      </c>
      <c r="I263">
        <f>'REGIÃO 2'!I50</f>
        <v/>
      </c>
      <c r="J263">
        <f>'REGIÃO 2'!J50</f>
        <v/>
      </c>
      <c r="K263" s="36">
        <f>'REGIÃO 2'!K50</f>
        <v/>
      </c>
      <c r="L263" t="inlineStr">
        <is>
          <t>REGIÃO 2</t>
        </is>
      </c>
    </row>
    <row r="264">
      <c r="A264">
        <f>'REGIÃO 2'!A51</f>
        <v/>
      </c>
      <c r="B264">
        <f>'REGIÃO 2'!B51</f>
        <v/>
      </c>
      <c r="C264">
        <f>'REGIÃO 2'!C51</f>
        <v/>
      </c>
      <c r="D264">
        <f>'REGIÃO 2'!D51</f>
        <v/>
      </c>
      <c r="E264">
        <f>'REGIÃO 2'!E51</f>
        <v/>
      </c>
      <c r="F264">
        <f>'REGIÃO 2'!F51</f>
        <v/>
      </c>
      <c r="G264">
        <f>'REGIÃO 2'!G51</f>
        <v/>
      </c>
      <c r="H264">
        <f>'REGIÃO 2'!H51</f>
        <v/>
      </c>
      <c r="I264">
        <f>'REGIÃO 2'!I51</f>
        <v/>
      </c>
      <c r="J264">
        <f>'REGIÃO 2'!J51</f>
        <v/>
      </c>
      <c r="K264" s="36">
        <f>'REGIÃO 2'!K51</f>
        <v/>
      </c>
      <c r="L264" t="inlineStr">
        <is>
          <t>REGIÃO 2</t>
        </is>
      </c>
    </row>
    <row r="265">
      <c r="A265">
        <f>'REGIÃO 2'!A52</f>
        <v/>
      </c>
      <c r="B265">
        <f>'REGIÃO 2'!B52</f>
        <v/>
      </c>
      <c r="C265">
        <f>'REGIÃO 2'!C52</f>
        <v/>
      </c>
      <c r="D265">
        <f>'REGIÃO 2'!D52</f>
        <v/>
      </c>
      <c r="E265">
        <f>'REGIÃO 2'!E52</f>
        <v/>
      </c>
      <c r="F265">
        <f>'REGIÃO 2'!F52</f>
        <v/>
      </c>
      <c r="G265">
        <f>'REGIÃO 2'!G52</f>
        <v/>
      </c>
      <c r="H265">
        <f>'REGIÃO 2'!H52</f>
        <v/>
      </c>
      <c r="I265">
        <f>'REGIÃO 2'!I52</f>
        <v/>
      </c>
      <c r="J265">
        <f>'REGIÃO 2'!J52</f>
        <v/>
      </c>
      <c r="K265" s="36">
        <f>'REGIÃO 2'!K52</f>
        <v/>
      </c>
      <c r="L265" t="inlineStr">
        <is>
          <t>REGIÃO 2</t>
        </is>
      </c>
    </row>
    <row r="266">
      <c r="A266">
        <f>'REGIÃO 2'!A53</f>
        <v/>
      </c>
      <c r="B266">
        <f>'REGIÃO 2'!B53</f>
        <v/>
      </c>
      <c r="C266">
        <f>'REGIÃO 2'!C53</f>
        <v/>
      </c>
      <c r="D266">
        <f>'REGIÃO 2'!D53</f>
        <v/>
      </c>
      <c r="E266">
        <f>'REGIÃO 2'!E53</f>
        <v/>
      </c>
      <c r="F266">
        <f>'REGIÃO 2'!F53</f>
        <v/>
      </c>
      <c r="G266">
        <f>'REGIÃO 2'!G53</f>
        <v/>
      </c>
      <c r="H266">
        <f>'REGIÃO 2'!H53</f>
        <v/>
      </c>
      <c r="I266">
        <f>'REGIÃO 2'!I53</f>
        <v/>
      </c>
      <c r="J266">
        <f>'REGIÃO 2'!J53</f>
        <v/>
      </c>
      <c r="K266" s="36">
        <f>'REGIÃO 2'!K53</f>
        <v/>
      </c>
      <c r="L266" t="inlineStr">
        <is>
          <t>REGIÃO 2</t>
        </is>
      </c>
    </row>
    <row r="267">
      <c r="A267">
        <f>'REGIÃO 2'!A54</f>
        <v/>
      </c>
      <c r="B267">
        <f>'REGIÃO 2'!B54</f>
        <v/>
      </c>
      <c r="C267">
        <f>'REGIÃO 2'!C54</f>
        <v/>
      </c>
      <c r="D267">
        <f>'REGIÃO 2'!D54</f>
        <v/>
      </c>
      <c r="E267">
        <f>'REGIÃO 2'!E54</f>
        <v/>
      </c>
      <c r="F267">
        <f>'REGIÃO 2'!F54</f>
        <v/>
      </c>
      <c r="G267">
        <f>'REGIÃO 2'!G54</f>
        <v/>
      </c>
      <c r="H267">
        <f>'REGIÃO 2'!H54</f>
        <v/>
      </c>
      <c r="I267">
        <f>'REGIÃO 2'!I54</f>
        <v/>
      </c>
      <c r="J267">
        <f>'REGIÃO 2'!J54</f>
        <v/>
      </c>
      <c r="K267" s="36">
        <f>'REGIÃO 2'!K54</f>
        <v/>
      </c>
      <c r="L267" t="inlineStr">
        <is>
          <t>REGIÃO 2</t>
        </is>
      </c>
    </row>
    <row r="268">
      <c r="A268">
        <f>'REGIÃO 2'!A55</f>
        <v/>
      </c>
      <c r="B268">
        <f>'REGIÃO 2'!B55</f>
        <v/>
      </c>
      <c r="C268">
        <f>'REGIÃO 2'!C55</f>
        <v/>
      </c>
      <c r="D268">
        <f>'REGIÃO 2'!D55</f>
        <v/>
      </c>
      <c r="E268">
        <f>'REGIÃO 2'!E55</f>
        <v/>
      </c>
      <c r="F268">
        <f>'REGIÃO 2'!F55</f>
        <v/>
      </c>
      <c r="G268">
        <f>'REGIÃO 2'!G55</f>
        <v/>
      </c>
      <c r="H268">
        <f>'REGIÃO 2'!H55</f>
        <v/>
      </c>
      <c r="I268">
        <f>'REGIÃO 2'!I55</f>
        <v/>
      </c>
      <c r="J268">
        <f>'REGIÃO 2'!J55</f>
        <v/>
      </c>
      <c r="K268" s="36">
        <f>'REGIÃO 2'!K55</f>
        <v/>
      </c>
      <c r="L268" t="inlineStr">
        <is>
          <t>REGIÃO 2</t>
        </is>
      </c>
    </row>
    <row r="269">
      <c r="A269">
        <f>'REGIÃO 2'!A56</f>
        <v/>
      </c>
      <c r="B269">
        <f>'REGIÃO 2'!B56</f>
        <v/>
      </c>
      <c r="C269">
        <f>'REGIÃO 2'!C56</f>
        <v/>
      </c>
      <c r="D269">
        <f>'REGIÃO 2'!D56</f>
        <v/>
      </c>
      <c r="E269">
        <f>'REGIÃO 2'!E56</f>
        <v/>
      </c>
      <c r="F269">
        <f>'REGIÃO 2'!F56</f>
        <v/>
      </c>
      <c r="G269">
        <f>'REGIÃO 2'!G56</f>
        <v/>
      </c>
      <c r="H269">
        <f>'REGIÃO 2'!H56</f>
        <v/>
      </c>
      <c r="I269">
        <f>'REGIÃO 2'!I56</f>
        <v/>
      </c>
      <c r="J269">
        <f>'REGIÃO 2'!J56</f>
        <v/>
      </c>
      <c r="K269" s="36">
        <f>'REGIÃO 2'!K56</f>
        <v/>
      </c>
      <c r="L269" t="inlineStr">
        <is>
          <t>REGIÃO 2</t>
        </is>
      </c>
    </row>
    <row r="270">
      <c r="A270">
        <f>'REGIÃO 2'!A57</f>
        <v/>
      </c>
      <c r="B270">
        <f>'REGIÃO 2'!B57</f>
        <v/>
      </c>
      <c r="C270">
        <f>'REGIÃO 2'!C57</f>
        <v/>
      </c>
      <c r="D270">
        <f>'REGIÃO 2'!D57</f>
        <v/>
      </c>
      <c r="E270">
        <f>'REGIÃO 2'!E57</f>
        <v/>
      </c>
      <c r="F270">
        <f>'REGIÃO 2'!F57</f>
        <v/>
      </c>
      <c r="G270">
        <f>'REGIÃO 2'!G57</f>
        <v/>
      </c>
      <c r="H270">
        <f>'REGIÃO 2'!H57</f>
        <v/>
      </c>
      <c r="I270">
        <f>'REGIÃO 2'!I57</f>
        <v/>
      </c>
      <c r="J270">
        <f>'REGIÃO 2'!J57</f>
        <v/>
      </c>
      <c r="K270" s="36">
        <f>'REGIÃO 2'!K57</f>
        <v/>
      </c>
      <c r="L270" t="inlineStr">
        <is>
          <t>REGIÃO 2</t>
        </is>
      </c>
    </row>
    <row r="271">
      <c r="A271">
        <f>'REGIÃO 2'!A58</f>
        <v/>
      </c>
      <c r="B271">
        <f>'REGIÃO 2'!B58</f>
        <v/>
      </c>
      <c r="C271">
        <f>'REGIÃO 2'!C58</f>
        <v/>
      </c>
      <c r="D271">
        <f>'REGIÃO 2'!D58</f>
        <v/>
      </c>
      <c r="E271">
        <f>'REGIÃO 2'!E58</f>
        <v/>
      </c>
      <c r="F271">
        <f>'REGIÃO 2'!F58</f>
        <v/>
      </c>
      <c r="G271">
        <f>'REGIÃO 2'!G58</f>
        <v/>
      </c>
      <c r="H271">
        <f>'REGIÃO 2'!H58</f>
        <v/>
      </c>
      <c r="I271">
        <f>'REGIÃO 2'!I58</f>
        <v/>
      </c>
      <c r="J271">
        <f>'REGIÃO 2'!J58</f>
        <v/>
      </c>
      <c r="K271" s="36">
        <f>'REGIÃO 2'!K58</f>
        <v/>
      </c>
      <c r="L271" t="inlineStr">
        <is>
          <t>REGIÃO 2</t>
        </is>
      </c>
    </row>
    <row r="272">
      <c r="A272">
        <f>'REGIÃO 2'!A59</f>
        <v/>
      </c>
      <c r="B272">
        <f>'REGIÃO 2'!B59</f>
        <v/>
      </c>
      <c r="C272">
        <f>'REGIÃO 2'!C59</f>
        <v/>
      </c>
      <c r="D272">
        <f>'REGIÃO 2'!D59</f>
        <v/>
      </c>
      <c r="E272">
        <f>'REGIÃO 2'!E59</f>
        <v/>
      </c>
      <c r="F272">
        <f>'REGIÃO 2'!F59</f>
        <v/>
      </c>
      <c r="G272">
        <f>'REGIÃO 2'!G59</f>
        <v/>
      </c>
      <c r="H272">
        <f>'REGIÃO 2'!H59</f>
        <v/>
      </c>
      <c r="I272">
        <f>'REGIÃO 2'!I59</f>
        <v/>
      </c>
      <c r="J272">
        <f>'REGIÃO 2'!J59</f>
        <v/>
      </c>
      <c r="K272" s="36">
        <f>'REGIÃO 2'!K59</f>
        <v/>
      </c>
      <c r="L272" t="inlineStr">
        <is>
          <t>REGIÃO 2</t>
        </is>
      </c>
    </row>
    <row r="273">
      <c r="A273">
        <f>'REGIÃO 2'!A60</f>
        <v/>
      </c>
      <c r="B273">
        <f>'REGIÃO 2'!B60</f>
        <v/>
      </c>
      <c r="C273">
        <f>'REGIÃO 2'!C60</f>
        <v/>
      </c>
      <c r="D273">
        <f>'REGIÃO 2'!D60</f>
        <v/>
      </c>
      <c r="E273">
        <f>'REGIÃO 2'!E60</f>
        <v/>
      </c>
      <c r="F273">
        <f>'REGIÃO 2'!F60</f>
        <v/>
      </c>
      <c r="G273">
        <f>'REGIÃO 2'!G60</f>
        <v/>
      </c>
      <c r="H273">
        <f>'REGIÃO 2'!H60</f>
        <v/>
      </c>
      <c r="I273">
        <f>'REGIÃO 2'!I60</f>
        <v/>
      </c>
      <c r="J273">
        <f>'REGIÃO 2'!J60</f>
        <v/>
      </c>
      <c r="K273" s="36">
        <f>'REGIÃO 2'!K60</f>
        <v/>
      </c>
      <c r="L273" t="inlineStr">
        <is>
          <t>REGIÃO 2</t>
        </is>
      </c>
    </row>
    <row r="274">
      <c r="A274">
        <f>'REGIÃO 2'!A61</f>
        <v/>
      </c>
      <c r="B274">
        <f>'REGIÃO 2'!B61</f>
        <v/>
      </c>
      <c r="C274">
        <f>'REGIÃO 2'!C61</f>
        <v/>
      </c>
      <c r="D274">
        <f>'REGIÃO 2'!D61</f>
        <v/>
      </c>
      <c r="E274">
        <f>'REGIÃO 2'!E61</f>
        <v/>
      </c>
      <c r="F274">
        <f>'REGIÃO 2'!F61</f>
        <v/>
      </c>
      <c r="G274">
        <f>'REGIÃO 2'!G61</f>
        <v/>
      </c>
      <c r="H274">
        <f>'REGIÃO 2'!H61</f>
        <v/>
      </c>
      <c r="I274">
        <f>'REGIÃO 2'!I61</f>
        <v/>
      </c>
      <c r="J274">
        <f>'REGIÃO 2'!J61</f>
        <v/>
      </c>
      <c r="K274" s="36">
        <f>'REGIÃO 2'!K61</f>
        <v/>
      </c>
      <c r="L274" t="inlineStr">
        <is>
          <t>REGIÃO 2</t>
        </is>
      </c>
    </row>
    <row r="275">
      <c r="A275">
        <f>'REGIÃO 2'!A62</f>
        <v/>
      </c>
      <c r="B275">
        <f>'REGIÃO 2'!B62</f>
        <v/>
      </c>
      <c r="C275">
        <f>'REGIÃO 2'!C62</f>
        <v/>
      </c>
      <c r="D275">
        <f>'REGIÃO 2'!D62</f>
        <v/>
      </c>
      <c r="E275">
        <f>'REGIÃO 2'!E62</f>
        <v/>
      </c>
      <c r="F275">
        <f>'REGIÃO 2'!F62</f>
        <v/>
      </c>
      <c r="G275">
        <f>'REGIÃO 2'!G62</f>
        <v/>
      </c>
      <c r="H275">
        <f>'REGIÃO 2'!H62</f>
        <v/>
      </c>
      <c r="I275">
        <f>'REGIÃO 2'!I62</f>
        <v/>
      </c>
      <c r="J275">
        <f>'REGIÃO 2'!J62</f>
        <v/>
      </c>
      <c r="K275" s="36">
        <f>'REGIÃO 2'!K62</f>
        <v/>
      </c>
      <c r="L275" t="inlineStr">
        <is>
          <t>REGIÃO 2</t>
        </is>
      </c>
    </row>
    <row r="276">
      <c r="A276">
        <f>'REGIÃO 2'!A63</f>
        <v/>
      </c>
      <c r="B276">
        <f>'REGIÃO 2'!B63</f>
        <v/>
      </c>
      <c r="C276">
        <f>'REGIÃO 2'!C63</f>
        <v/>
      </c>
      <c r="D276">
        <f>'REGIÃO 2'!D63</f>
        <v/>
      </c>
      <c r="E276">
        <f>'REGIÃO 2'!E63</f>
        <v/>
      </c>
      <c r="F276">
        <f>'REGIÃO 2'!F63</f>
        <v/>
      </c>
      <c r="G276">
        <f>'REGIÃO 2'!G63</f>
        <v/>
      </c>
      <c r="H276">
        <f>'REGIÃO 2'!H63</f>
        <v/>
      </c>
      <c r="I276">
        <f>'REGIÃO 2'!I63</f>
        <v/>
      </c>
      <c r="J276">
        <f>'REGIÃO 2'!J63</f>
        <v/>
      </c>
      <c r="K276" s="36">
        <f>'REGIÃO 2'!K63</f>
        <v/>
      </c>
      <c r="L276" t="inlineStr">
        <is>
          <t>REGIÃO 2</t>
        </is>
      </c>
    </row>
    <row r="277">
      <c r="A277">
        <f>'REGIÃO 2'!A64</f>
        <v/>
      </c>
      <c r="B277">
        <f>'REGIÃO 2'!B64</f>
        <v/>
      </c>
      <c r="C277">
        <f>'REGIÃO 2'!C64</f>
        <v/>
      </c>
      <c r="D277">
        <f>'REGIÃO 2'!D64</f>
        <v/>
      </c>
      <c r="E277">
        <f>'REGIÃO 2'!E64</f>
        <v/>
      </c>
      <c r="F277">
        <f>'REGIÃO 2'!F64</f>
        <v/>
      </c>
      <c r="G277">
        <f>'REGIÃO 2'!G64</f>
        <v/>
      </c>
      <c r="H277">
        <f>'REGIÃO 2'!H64</f>
        <v/>
      </c>
      <c r="I277">
        <f>'REGIÃO 2'!I64</f>
        <v/>
      </c>
      <c r="J277">
        <f>'REGIÃO 2'!J64</f>
        <v/>
      </c>
      <c r="K277" s="36">
        <f>'REGIÃO 2'!K64</f>
        <v/>
      </c>
      <c r="L277" t="inlineStr">
        <is>
          <t>REGIÃO 2</t>
        </is>
      </c>
    </row>
    <row r="278">
      <c r="A278">
        <f>'REGIÃO 2'!A65</f>
        <v/>
      </c>
      <c r="B278">
        <f>'REGIÃO 2'!B65</f>
        <v/>
      </c>
      <c r="C278">
        <f>'REGIÃO 2'!C65</f>
        <v/>
      </c>
      <c r="D278">
        <f>'REGIÃO 2'!D65</f>
        <v/>
      </c>
      <c r="E278">
        <f>'REGIÃO 2'!E65</f>
        <v/>
      </c>
      <c r="F278">
        <f>'REGIÃO 2'!F65</f>
        <v/>
      </c>
      <c r="G278">
        <f>'REGIÃO 2'!G65</f>
        <v/>
      </c>
      <c r="H278">
        <f>'REGIÃO 2'!H65</f>
        <v/>
      </c>
      <c r="I278">
        <f>'REGIÃO 2'!I65</f>
        <v/>
      </c>
      <c r="J278">
        <f>'REGIÃO 2'!J65</f>
        <v/>
      </c>
      <c r="K278" s="36">
        <f>'REGIÃO 2'!K65</f>
        <v/>
      </c>
      <c r="L278" t="inlineStr">
        <is>
          <t>REGIÃO 2</t>
        </is>
      </c>
    </row>
    <row r="279">
      <c r="A279">
        <f>'REGIÃO 2'!A66</f>
        <v/>
      </c>
      <c r="B279">
        <f>'REGIÃO 2'!B66</f>
        <v/>
      </c>
      <c r="C279">
        <f>'REGIÃO 2'!C66</f>
        <v/>
      </c>
      <c r="D279">
        <f>'REGIÃO 2'!D66</f>
        <v/>
      </c>
      <c r="E279">
        <f>'REGIÃO 2'!E66</f>
        <v/>
      </c>
      <c r="F279">
        <f>'REGIÃO 2'!F66</f>
        <v/>
      </c>
      <c r="G279">
        <f>'REGIÃO 2'!G66</f>
        <v/>
      </c>
      <c r="H279">
        <f>'REGIÃO 2'!H66</f>
        <v/>
      </c>
      <c r="I279">
        <f>'REGIÃO 2'!I66</f>
        <v/>
      </c>
      <c r="J279">
        <f>'REGIÃO 2'!J66</f>
        <v/>
      </c>
      <c r="K279" s="36">
        <f>'REGIÃO 2'!K66</f>
        <v/>
      </c>
      <c r="L279" t="inlineStr">
        <is>
          <t>REGIÃO 2</t>
        </is>
      </c>
    </row>
    <row r="280">
      <c r="A280">
        <f>'REGIÃO 2'!A67</f>
        <v/>
      </c>
      <c r="B280">
        <f>'REGIÃO 2'!B67</f>
        <v/>
      </c>
      <c r="C280">
        <f>'REGIÃO 2'!C67</f>
        <v/>
      </c>
      <c r="D280">
        <f>'REGIÃO 2'!D67</f>
        <v/>
      </c>
      <c r="E280">
        <f>'REGIÃO 2'!E67</f>
        <v/>
      </c>
      <c r="F280">
        <f>'REGIÃO 2'!F67</f>
        <v/>
      </c>
      <c r="G280">
        <f>'REGIÃO 2'!G67</f>
        <v/>
      </c>
      <c r="H280">
        <f>'REGIÃO 2'!H67</f>
        <v/>
      </c>
      <c r="I280">
        <f>'REGIÃO 2'!I67</f>
        <v/>
      </c>
      <c r="J280">
        <f>'REGIÃO 2'!J67</f>
        <v/>
      </c>
      <c r="K280" s="36">
        <f>'REGIÃO 2'!K67</f>
        <v/>
      </c>
      <c r="L280" t="inlineStr">
        <is>
          <t>REGIÃO 2</t>
        </is>
      </c>
    </row>
    <row r="281">
      <c r="A281">
        <f>'REGIÃO 2'!A68</f>
        <v/>
      </c>
      <c r="B281">
        <f>'REGIÃO 2'!B68</f>
        <v/>
      </c>
      <c r="C281">
        <f>'REGIÃO 2'!C68</f>
        <v/>
      </c>
      <c r="D281">
        <f>'REGIÃO 2'!D68</f>
        <v/>
      </c>
      <c r="E281">
        <f>'REGIÃO 2'!E68</f>
        <v/>
      </c>
      <c r="F281">
        <f>'REGIÃO 2'!F68</f>
        <v/>
      </c>
      <c r="G281">
        <f>'REGIÃO 2'!G68</f>
        <v/>
      </c>
      <c r="H281">
        <f>'REGIÃO 2'!H68</f>
        <v/>
      </c>
      <c r="I281">
        <f>'REGIÃO 2'!I68</f>
        <v/>
      </c>
      <c r="J281">
        <f>'REGIÃO 2'!J68</f>
        <v/>
      </c>
      <c r="K281" s="36">
        <f>'REGIÃO 2'!K68</f>
        <v/>
      </c>
      <c r="L281" t="inlineStr">
        <is>
          <t>REGIÃO 2</t>
        </is>
      </c>
    </row>
    <row r="282">
      <c r="A282">
        <f>'REGIÃO 2'!A69</f>
        <v/>
      </c>
      <c r="B282">
        <f>'REGIÃO 2'!B69</f>
        <v/>
      </c>
      <c r="C282">
        <f>'REGIÃO 2'!C69</f>
        <v/>
      </c>
      <c r="D282">
        <f>'REGIÃO 2'!D69</f>
        <v/>
      </c>
      <c r="E282">
        <f>'REGIÃO 2'!E69</f>
        <v/>
      </c>
      <c r="F282">
        <f>'REGIÃO 2'!F69</f>
        <v/>
      </c>
      <c r="G282">
        <f>'REGIÃO 2'!G69</f>
        <v/>
      </c>
      <c r="H282">
        <f>'REGIÃO 2'!H69</f>
        <v/>
      </c>
      <c r="I282">
        <f>'REGIÃO 2'!I69</f>
        <v/>
      </c>
      <c r="J282">
        <f>'REGIÃO 2'!J69</f>
        <v/>
      </c>
      <c r="K282" s="36">
        <f>'REGIÃO 2'!K69</f>
        <v/>
      </c>
      <c r="L282" t="inlineStr">
        <is>
          <t>REGIÃO 2</t>
        </is>
      </c>
    </row>
    <row r="283">
      <c r="A283">
        <f>'REGIÃO 2'!A70</f>
        <v/>
      </c>
      <c r="B283">
        <f>'REGIÃO 2'!B70</f>
        <v/>
      </c>
      <c r="C283">
        <f>'REGIÃO 2'!C70</f>
        <v/>
      </c>
      <c r="D283">
        <f>'REGIÃO 2'!D70</f>
        <v/>
      </c>
      <c r="E283">
        <f>'REGIÃO 2'!E70</f>
        <v/>
      </c>
      <c r="F283">
        <f>'REGIÃO 2'!F70</f>
        <v/>
      </c>
      <c r="G283">
        <f>'REGIÃO 2'!G70</f>
        <v/>
      </c>
      <c r="H283">
        <f>'REGIÃO 2'!H70</f>
        <v/>
      </c>
      <c r="I283">
        <f>'REGIÃO 2'!I70</f>
        <v/>
      </c>
      <c r="J283">
        <f>'REGIÃO 2'!J70</f>
        <v/>
      </c>
      <c r="K283" s="36">
        <f>'REGIÃO 2'!K70</f>
        <v/>
      </c>
      <c r="L283" t="inlineStr">
        <is>
          <t>REGIÃO 2</t>
        </is>
      </c>
    </row>
    <row r="284">
      <c r="A284">
        <f>'REGIÃO 2'!A71</f>
        <v/>
      </c>
      <c r="B284">
        <f>'REGIÃO 2'!B71</f>
        <v/>
      </c>
      <c r="C284">
        <f>'REGIÃO 2'!C71</f>
        <v/>
      </c>
      <c r="D284">
        <f>'REGIÃO 2'!D71</f>
        <v/>
      </c>
      <c r="E284">
        <f>'REGIÃO 2'!E71</f>
        <v/>
      </c>
      <c r="F284">
        <f>'REGIÃO 2'!F71</f>
        <v/>
      </c>
      <c r="G284">
        <f>'REGIÃO 2'!G71</f>
        <v/>
      </c>
      <c r="H284">
        <f>'REGIÃO 2'!H71</f>
        <v/>
      </c>
      <c r="I284">
        <f>'REGIÃO 2'!I71</f>
        <v/>
      </c>
      <c r="J284">
        <f>'REGIÃO 2'!J71</f>
        <v/>
      </c>
      <c r="K284" s="36">
        <f>'REGIÃO 2'!K71</f>
        <v/>
      </c>
      <c r="L284" t="inlineStr">
        <is>
          <t>REGIÃO 2</t>
        </is>
      </c>
    </row>
    <row r="285">
      <c r="A285">
        <f>'REGIÃO 2'!A72</f>
        <v/>
      </c>
      <c r="B285">
        <f>'REGIÃO 2'!B72</f>
        <v/>
      </c>
      <c r="C285">
        <f>'REGIÃO 2'!C72</f>
        <v/>
      </c>
      <c r="D285">
        <f>'REGIÃO 2'!D72</f>
        <v/>
      </c>
      <c r="E285">
        <f>'REGIÃO 2'!E72</f>
        <v/>
      </c>
      <c r="F285">
        <f>'REGIÃO 2'!F72</f>
        <v/>
      </c>
      <c r="G285">
        <f>'REGIÃO 2'!G72</f>
        <v/>
      </c>
      <c r="H285">
        <f>'REGIÃO 2'!H72</f>
        <v/>
      </c>
      <c r="I285">
        <f>'REGIÃO 2'!I72</f>
        <v/>
      </c>
      <c r="J285">
        <f>'REGIÃO 2'!J72</f>
        <v/>
      </c>
      <c r="K285" s="36">
        <f>'REGIÃO 2'!K72</f>
        <v/>
      </c>
      <c r="L285" t="inlineStr">
        <is>
          <t>REGIÃO 2</t>
        </is>
      </c>
    </row>
    <row r="286">
      <c r="A286">
        <f>'REGIÃO 2'!A73</f>
        <v/>
      </c>
      <c r="B286">
        <f>'REGIÃO 2'!B73</f>
        <v/>
      </c>
      <c r="C286">
        <f>'REGIÃO 2'!C73</f>
        <v/>
      </c>
      <c r="D286">
        <f>'REGIÃO 2'!D73</f>
        <v/>
      </c>
      <c r="E286">
        <f>'REGIÃO 2'!E73</f>
        <v/>
      </c>
      <c r="F286">
        <f>'REGIÃO 2'!F73</f>
        <v/>
      </c>
      <c r="G286">
        <f>'REGIÃO 2'!G73</f>
        <v/>
      </c>
      <c r="H286">
        <f>'REGIÃO 2'!H73</f>
        <v/>
      </c>
      <c r="I286">
        <f>'REGIÃO 2'!I73</f>
        <v/>
      </c>
      <c r="J286">
        <f>'REGIÃO 2'!J73</f>
        <v/>
      </c>
      <c r="K286" s="36">
        <f>'REGIÃO 2'!K73</f>
        <v/>
      </c>
      <c r="L286" t="inlineStr">
        <is>
          <t>REGIÃO 2</t>
        </is>
      </c>
    </row>
    <row r="287">
      <c r="A287">
        <f>'REGIÃO 2'!A74</f>
        <v/>
      </c>
      <c r="B287">
        <f>'REGIÃO 2'!B74</f>
        <v/>
      </c>
      <c r="C287">
        <f>'REGIÃO 2'!C74</f>
        <v/>
      </c>
      <c r="D287">
        <f>'REGIÃO 2'!D74</f>
        <v/>
      </c>
      <c r="E287">
        <f>'REGIÃO 2'!E74</f>
        <v/>
      </c>
      <c r="F287">
        <f>'REGIÃO 2'!F74</f>
        <v/>
      </c>
      <c r="G287">
        <f>'REGIÃO 2'!G74</f>
        <v/>
      </c>
      <c r="H287">
        <f>'REGIÃO 2'!H74</f>
        <v/>
      </c>
      <c r="I287">
        <f>'REGIÃO 2'!I74</f>
        <v/>
      </c>
      <c r="J287">
        <f>'REGIÃO 2'!J74</f>
        <v/>
      </c>
      <c r="K287" s="36">
        <f>'REGIÃO 2'!K74</f>
        <v/>
      </c>
      <c r="L287" t="inlineStr">
        <is>
          <t>REGIÃO 2</t>
        </is>
      </c>
    </row>
    <row r="288">
      <c r="A288">
        <f>'REGIÃO 2'!A75</f>
        <v/>
      </c>
      <c r="B288">
        <f>'REGIÃO 2'!B75</f>
        <v/>
      </c>
      <c r="C288">
        <f>'REGIÃO 2'!C75</f>
        <v/>
      </c>
      <c r="D288">
        <f>'REGIÃO 2'!D75</f>
        <v/>
      </c>
      <c r="E288">
        <f>'REGIÃO 2'!E75</f>
        <v/>
      </c>
      <c r="F288">
        <f>'REGIÃO 2'!F75</f>
        <v/>
      </c>
      <c r="G288">
        <f>'REGIÃO 2'!G75</f>
        <v/>
      </c>
      <c r="H288">
        <f>'REGIÃO 2'!H75</f>
        <v/>
      </c>
      <c r="I288">
        <f>'REGIÃO 2'!I75</f>
        <v/>
      </c>
      <c r="J288">
        <f>'REGIÃO 2'!J75</f>
        <v/>
      </c>
      <c r="K288" s="36">
        <f>'REGIÃO 2'!K75</f>
        <v/>
      </c>
      <c r="L288" t="inlineStr">
        <is>
          <t>REGIÃO 2</t>
        </is>
      </c>
    </row>
    <row r="289">
      <c r="A289">
        <f>'REGIÃO 2'!A76</f>
        <v/>
      </c>
      <c r="B289">
        <f>'REGIÃO 2'!B76</f>
        <v/>
      </c>
      <c r="C289">
        <f>'REGIÃO 2'!C76</f>
        <v/>
      </c>
      <c r="D289">
        <f>'REGIÃO 2'!D76</f>
        <v/>
      </c>
      <c r="E289">
        <f>'REGIÃO 2'!E76</f>
        <v/>
      </c>
      <c r="F289">
        <f>'REGIÃO 2'!F76</f>
        <v/>
      </c>
      <c r="G289">
        <f>'REGIÃO 2'!G76</f>
        <v/>
      </c>
      <c r="H289">
        <f>'REGIÃO 2'!H76</f>
        <v/>
      </c>
      <c r="I289">
        <f>'REGIÃO 2'!I76</f>
        <v/>
      </c>
      <c r="J289">
        <f>'REGIÃO 2'!J76</f>
        <v/>
      </c>
      <c r="K289" s="36">
        <f>'REGIÃO 2'!K76</f>
        <v/>
      </c>
      <c r="L289" t="inlineStr">
        <is>
          <t>REGIÃO 2</t>
        </is>
      </c>
    </row>
    <row r="290">
      <c r="A290">
        <f>'REGIÃO 2'!A77</f>
        <v/>
      </c>
      <c r="B290">
        <f>'REGIÃO 2'!B77</f>
        <v/>
      </c>
      <c r="C290">
        <f>'REGIÃO 2'!C77</f>
        <v/>
      </c>
      <c r="D290">
        <f>'REGIÃO 2'!D77</f>
        <v/>
      </c>
      <c r="E290">
        <f>'REGIÃO 2'!E77</f>
        <v/>
      </c>
      <c r="F290">
        <f>'REGIÃO 2'!F77</f>
        <v/>
      </c>
      <c r="G290">
        <f>'REGIÃO 2'!G77</f>
        <v/>
      </c>
      <c r="H290">
        <f>'REGIÃO 2'!H77</f>
        <v/>
      </c>
      <c r="I290">
        <f>'REGIÃO 2'!I77</f>
        <v/>
      </c>
      <c r="J290">
        <f>'REGIÃO 2'!J77</f>
        <v/>
      </c>
      <c r="K290" s="36">
        <f>'REGIÃO 2'!K77</f>
        <v/>
      </c>
      <c r="L290" t="inlineStr">
        <is>
          <t>REGIÃO 2</t>
        </is>
      </c>
    </row>
    <row r="291">
      <c r="A291">
        <f>'REGIÃO 2'!A78</f>
        <v/>
      </c>
      <c r="B291">
        <f>'REGIÃO 2'!B78</f>
        <v/>
      </c>
      <c r="C291">
        <f>'REGIÃO 2'!C78</f>
        <v/>
      </c>
      <c r="D291">
        <f>'REGIÃO 2'!D78</f>
        <v/>
      </c>
      <c r="E291">
        <f>'REGIÃO 2'!E78</f>
        <v/>
      </c>
      <c r="F291">
        <f>'REGIÃO 2'!F78</f>
        <v/>
      </c>
      <c r="G291">
        <f>'REGIÃO 2'!G78</f>
        <v/>
      </c>
      <c r="H291">
        <f>'REGIÃO 2'!H78</f>
        <v/>
      </c>
      <c r="I291">
        <f>'REGIÃO 2'!I78</f>
        <v/>
      </c>
      <c r="J291">
        <f>'REGIÃO 2'!J78</f>
        <v/>
      </c>
      <c r="K291" s="36">
        <f>'REGIÃO 2'!K78</f>
        <v/>
      </c>
      <c r="L291" t="inlineStr">
        <is>
          <t>REGIÃO 2</t>
        </is>
      </c>
    </row>
    <row r="292">
      <c r="A292">
        <f>'REGIÃO 2'!A79</f>
        <v/>
      </c>
      <c r="B292">
        <f>'REGIÃO 2'!B79</f>
        <v/>
      </c>
      <c r="C292">
        <f>'REGIÃO 2'!C79</f>
        <v/>
      </c>
      <c r="D292">
        <f>'REGIÃO 2'!D79</f>
        <v/>
      </c>
      <c r="E292">
        <f>'REGIÃO 2'!E79</f>
        <v/>
      </c>
      <c r="F292">
        <f>'REGIÃO 2'!F79</f>
        <v/>
      </c>
      <c r="G292">
        <f>'REGIÃO 2'!G79</f>
        <v/>
      </c>
      <c r="H292">
        <f>'REGIÃO 2'!H79</f>
        <v/>
      </c>
      <c r="I292">
        <f>'REGIÃO 2'!I79</f>
        <v/>
      </c>
      <c r="J292">
        <f>'REGIÃO 2'!J79</f>
        <v/>
      </c>
      <c r="K292" s="36">
        <f>'REGIÃO 2'!K79</f>
        <v/>
      </c>
      <c r="L292" t="inlineStr">
        <is>
          <t>REGIÃO 2</t>
        </is>
      </c>
    </row>
    <row r="293">
      <c r="A293">
        <f>'REGIÃO 2'!A80</f>
        <v/>
      </c>
      <c r="B293">
        <f>'REGIÃO 2'!B80</f>
        <v/>
      </c>
      <c r="C293">
        <f>'REGIÃO 2'!C80</f>
        <v/>
      </c>
      <c r="D293">
        <f>'REGIÃO 2'!D80</f>
        <v/>
      </c>
      <c r="E293">
        <f>'REGIÃO 2'!E80</f>
        <v/>
      </c>
      <c r="F293">
        <f>'REGIÃO 2'!F80</f>
        <v/>
      </c>
      <c r="G293">
        <f>'REGIÃO 2'!G80</f>
        <v/>
      </c>
      <c r="H293">
        <f>'REGIÃO 2'!H80</f>
        <v/>
      </c>
      <c r="I293">
        <f>'REGIÃO 2'!I80</f>
        <v/>
      </c>
      <c r="J293">
        <f>'REGIÃO 2'!J80</f>
        <v/>
      </c>
      <c r="K293" s="36">
        <f>'REGIÃO 2'!K80</f>
        <v/>
      </c>
      <c r="L293" t="inlineStr">
        <is>
          <t>REGIÃO 2</t>
        </is>
      </c>
    </row>
    <row r="294">
      <c r="A294">
        <f>'REGIÃO 2'!A81</f>
        <v/>
      </c>
      <c r="B294">
        <f>'REGIÃO 2'!B81</f>
        <v/>
      </c>
      <c r="C294">
        <f>'REGIÃO 2'!C81</f>
        <v/>
      </c>
      <c r="D294">
        <f>'REGIÃO 2'!D81</f>
        <v/>
      </c>
      <c r="E294">
        <f>'REGIÃO 2'!E81</f>
        <v/>
      </c>
      <c r="F294">
        <f>'REGIÃO 2'!F81</f>
        <v/>
      </c>
      <c r="G294">
        <f>'REGIÃO 2'!G81</f>
        <v/>
      </c>
      <c r="H294">
        <f>'REGIÃO 2'!H81</f>
        <v/>
      </c>
      <c r="I294">
        <f>'REGIÃO 2'!I81</f>
        <v/>
      </c>
      <c r="J294">
        <f>'REGIÃO 2'!J81</f>
        <v/>
      </c>
      <c r="K294" s="36">
        <f>'REGIÃO 2'!K81</f>
        <v/>
      </c>
      <c r="L294" t="inlineStr">
        <is>
          <t>REGIÃO 2</t>
        </is>
      </c>
    </row>
    <row r="295">
      <c r="A295">
        <f>'REGIÃO 2'!A82</f>
        <v/>
      </c>
      <c r="B295">
        <f>'REGIÃO 2'!B82</f>
        <v/>
      </c>
      <c r="C295">
        <f>'REGIÃO 2'!C82</f>
        <v/>
      </c>
      <c r="D295">
        <f>'REGIÃO 2'!D82</f>
        <v/>
      </c>
      <c r="E295">
        <f>'REGIÃO 2'!E82</f>
        <v/>
      </c>
      <c r="F295">
        <f>'REGIÃO 2'!F82</f>
        <v/>
      </c>
      <c r="G295">
        <f>'REGIÃO 2'!G82</f>
        <v/>
      </c>
      <c r="H295">
        <f>'REGIÃO 2'!H82</f>
        <v/>
      </c>
      <c r="I295">
        <f>'REGIÃO 2'!I82</f>
        <v/>
      </c>
      <c r="J295">
        <f>'REGIÃO 2'!J82</f>
        <v/>
      </c>
      <c r="K295" s="36">
        <f>'REGIÃO 2'!K82</f>
        <v/>
      </c>
      <c r="L295" t="inlineStr">
        <is>
          <t>REGIÃO 2</t>
        </is>
      </c>
    </row>
    <row r="296">
      <c r="A296">
        <f>'REGIÃO 2'!A83</f>
        <v/>
      </c>
      <c r="B296">
        <f>'REGIÃO 2'!B83</f>
        <v/>
      </c>
      <c r="C296">
        <f>'REGIÃO 2'!C83</f>
        <v/>
      </c>
      <c r="D296">
        <f>'REGIÃO 2'!D83</f>
        <v/>
      </c>
      <c r="E296">
        <f>'REGIÃO 2'!E83</f>
        <v/>
      </c>
      <c r="F296">
        <f>'REGIÃO 2'!F83</f>
        <v/>
      </c>
      <c r="G296">
        <f>'REGIÃO 2'!G83</f>
        <v/>
      </c>
      <c r="H296">
        <f>'REGIÃO 2'!H83</f>
        <v/>
      </c>
      <c r="I296">
        <f>'REGIÃO 2'!I83</f>
        <v/>
      </c>
      <c r="J296">
        <f>'REGIÃO 2'!J83</f>
        <v/>
      </c>
      <c r="K296" s="36">
        <f>'REGIÃO 2'!K83</f>
        <v/>
      </c>
      <c r="L296" t="inlineStr">
        <is>
          <t>REGIÃO 2</t>
        </is>
      </c>
    </row>
    <row r="297">
      <c r="A297">
        <f>'REGIÃO 2'!A84</f>
        <v/>
      </c>
      <c r="B297">
        <f>'REGIÃO 2'!B84</f>
        <v/>
      </c>
      <c r="C297">
        <f>'REGIÃO 2'!C84</f>
        <v/>
      </c>
      <c r="D297">
        <f>'REGIÃO 2'!D84</f>
        <v/>
      </c>
      <c r="E297">
        <f>'REGIÃO 2'!E84</f>
        <v/>
      </c>
      <c r="F297">
        <f>'REGIÃO 2'!F84</f>
        <v/>
      </c>
      <c r="G297">
        <f>'REGIÃO 2'!G84</f>
        <v/>
      </c>
      <c r="H297">
        <f>'REGIÃO 2'!H84</f>
        <v/>
      </c>
      <c r="I297">
        <f>'REGIÃO 2'!I84</f>
        <v/>
      </c>
      <c r="J297">
        <f>'REGIÃO 2'!J84</f>
        <v/>
      </c>
      <c r="K297" s="36">
        <f>'REGIÃO 2'!K84</f>
        <v/>
      </c>
      <c r="L297" t="inlineStr">
        <is>
          <t>REGIÃO 2</t>
        </is>
      </c>
    </row>
    <row r="298">
      <c r="A298">
        <f>'REGIÃO 2'!A85</f>
        <v/>
      </c>
      <c r="B298">
        <f>'REGIÃO 2'!B85</f>
        <v/>
      </c>
      <c r="C298">
        <f>'REGIÃO 2'!C85</f>
        <v/>
      </c>
      <c r="D298">
        <f>'REGIÃO 2'!D85</f>
        <v/>
      </c>
      <c r="E298">
        <f>'REGIÃO 2'!E85</f>
        <v/>
      </c>
      <c r="F298">
        <f>'REGIÃO 2'!F85</f>
        <v/>
      </c>
      <c r="G298">
        <f>'REGIÃO 2'!G85</f>
        <v/>
      </c>
      <c r="H298">
        <f>'REGIÃO 2'!H85</f>
        <v/>
      </c>
      <c r="I298">
        <f>'REGIÃO 2'!I85</f>
        <v/>
      </c>
      <c r="J298">
        <f>'REGIÃO 2'!J85</f>
        <v/>
      </c>
      <c r="K298" s="36">
        <f>'REGIÃO 2'!K85</f>
        <v/>
      </c>
      <c r="L298" t="inlineStr">
        <is>
          <t>REGIÃO 2</t>
        </is>
      </c>
    </row>
    <row r="299">
      <c r="A299">
        <f>'REGIÃO 2'!A86</f>
        <v/>
      </c>
      <c r="B299">
        <f>'REGIÃO 2'!B86</f>
        <v/>
      </c>
      <c r="C299">
        <f>'REGIÃO 2'!C86</f>
        <v/>
      </c>
      <c r="D299">
        <f>'REGIÃO 2'!D86</f>
        <v/>
      </c>
      <c r="E299">
        <f>'REGIÃO 2'!E86</f>
        <v/>
      </c>
      <c r="F299">
        <f>'REGIÃO 2'!F86</f>
        <v/>
      </c>
      <c r="G299">
        <f>'REGIÃO 2'!G86</f>
        <v/>
      </c>
      <c r="H299">
        <f>'REGIÃO 2'!H86</f>
        <v/>
      </c>
      <c r="I299">
        <f>'REGIÃO 2'!I86</f>
        <v/>
      </c>
      <c r="J299">
        <f>'REGIÃO 2'!J86</f>
        <v/>
      </c>
      <c r="K299" s="36">
        <f>'REGIÃO 2'!K86</f>
        <v/>
      </c>
      <c r="L299" t="inlineStr">
        <is>
          <t>REGIÃO 2</t>
        </is>
      </c>
    </row>
    <row r="300">
      <c r="A300">
        <f>'REGIÃO 2'!A87</f>
        <v/>
      </c>
      <c r="B300">
        <f>'REGIÃO 2'!B87</f>
        <v/>
      </c>
      <c r="C300">
        <f>'REGIÃO 2'!C87</f>
        <v/>
      </c>
      <c r="D300">
        <f>'REGIÃO 2'!D87</f>
        <v/>
      </c>
      <c r="E300">
        <f>'REGIÃO 2'!E87</f>
        <v/>
      </c>
      <c r="F300">
        <f>'REGIÃO 2'!F87</f>
        <v/>
      </c>
      <c r="G300">
        <f>'REGIÃO 2'!G87</f>
        <v/>
      </c>
      <c r="H300">
        <f>'REGIÃO 2'!H87</f>
        <v/>
      </c>
      <c r="I300">
        <f>'REGIÃO 2'!I87</f>
        <v/>
      </c>
      <c r="J300">
        <f>'REGIÃO 2'!J87</f>
        <v/>
      </c>
      <c r="K300" s="36">
        <f>'REGIÃO 2'!K87</f>
        <v/>
      </c>
      <c r="L300" t="inlineStr">
        <is>
          <t>REGIÃO 2</t>
        </is>
      </c>
    </row>
    <row r="301">
      <c r="A301">
        <f>'REGIÃO 2'!A88</f>
        <v/>
      </c>
      <c r="B301">
        <f>'REGIÃO 2'!B88</f>
        <v/>
      </c>
      <c r="C301">
        <f>'REGIÃO 2'!C88</f>
        <v/>
      </c>
      <c r="D301">
        <f>'REGIÃO 2'!D88</f>
        <v/>
      </c>
      <c r="E301">
        <f>'REGIÃO 2'!E88</f>
        <v/>
      </c>
      <c r="F301">
        <f>'REGIÃO 2'!F88</f>
        <v/>
      </c>
      <c r="G301">
        <f>'REGIÃO 2'!G88</f>
        <v/>
      </c>
      <c r="H301">
        <f>'REGIÃO 2'!H88</f>
        <v/>
      </c>
      <c r="I301">
        <f>'REGIÃO 2'!I88</f>
        <v/>
      </c>
      <c r="J301">
        <f>'REGIÃO 2'!J88</f>
        <v/>
      </c>
      <c r="K301" s="36">
        <f>'REGIÃO 2'!K88</f>
        <v/>
      </c>
      <c r="L301" t="inlineStr">
        <is>
          <t>REGIÃO 2</t>
        </is>
      </c>
    </row>
    <row r="302">
      <c r="A302">
        <f>'REGIÃO 2'!A89</f>
        <v/>
      </c>
      <c r="B302">
        <f>'REGIÃO 2'!B89</f>
        <v/>
      </c>
      <c r="C302">
        <f>'REGIÃO 2'!C89</f>
        <v/>
      </c>
      <c r="D302">
        <f>'REGIÃO 2'!D89</f>
        <v/>
      </c>
      <c r="E302">
        <f>'REGIÃO 2'!E89</f>
        <v/>
      </c>
      <c r="F302">
        <f>'REGIÃO 2'!F89</f>
        <v/>
      </c>
      <c r="G302">
        <f>'REGIÃO 2'!G89</f>
        <v/>
      </c>
      <c r="H302">
        <f>'REGIÃO 2'!H89</f>
        <v/>
      </c>
      <c r="I302">
        <f>'REGIÃO 2'!I89</f>
        <v/>
      </c>
      <c r="J302">
        <f>'REGIÃO 2'!J89</f>
        <v/>
      </c>
      <c r="K302" s="36">
        <f>'REGIÃO 2'!K89</f>
        <v/>
      </c>
      <c r="L302" t="inlineStr">
        <is>
          <t>REGIÃO 2</t>
        </is>
      </c>
    </row>
    <row r="303">
      <c r="A303">
        <f>'REGIÃO 2'!A90</f>
        <v/>
      </c>
      <c r="B303">
        <f>'REGIÃO 2'!B90</f>
        <v/>
      </c>
      <c r="C303">
        <f>'REGIÃO 2'!C90</f>
        <v/>
      </c>
      <c r="D303">
        <f>'REGIÃO 2'!D90</f>
        <v/>
      </c>
      <c r="E303">
        <f>'REGIÃO 2'!E90</f>
        <v/>
      </c>
      <c r="F303">
        <f>'REGIÃO 2'!F90</f>
        <v/>
      </c>
      <c r="G303">
        <f>'REGIÃO 2'!G90</f>
        <v/>
      </c>
      <c r="H303">
        <f>'REGIÃO 2'!H90</f>
        <v/>
      </c>
      <c r="I303">
        <f>'REGIÃO 2'!I90</f>
        <v/>
      </c>
      <c r="J303">
        <f>'REGIÃO 2'!J90</f>
        <v/>
      </c>
      <c r="K303" s="36">
        <f>'REGIÃO 2'!K90</f>
        <v/>
      </c>
      <c r="L303" t="inlineStr">
        <is>
          <t>REGIÃO 2</t>
        </is>
      </c>
    </row>
    <row r="304">
      <c r="A304">
        <f>'REGIÃO 2'!A91</f>
        <v/>
      </c>
      <c r="B304">
        <f>'REGIÃO 2'!B91</f>
        <v/>
      </c>
      <c r="C304">
        <f>'REGIÃO 2'!C91</f>
        <v/>
      </c>
      <c r="D304">
        <f>'REGIÃO 2'!D91</f>
        <v/>
      </c>
      <c r="E304">
        <f>'REGIÃO 2'!E91</f>
        <v/>
      </c>
      <c r="F304">
        <f>'REGIÃO 2'!F91</f>
        <v/>
      </c>
      <c r="G304">
        <f>'REGIÃO 2'!G91</f>
        <v/>
      </c>
      <c r="H304">
        <f>'REGIÃO 2'!H91</f>
        <v/>
      </c>
      <c r="I304">
        <f>'REGIÃO 2'!I91</f>
        <v/>
      </c>
      <c r="J304">
        <f>'REGIÃO 2'!J91</f>
        <v/>
      </c>
      <c r="K304" s="36">
        <f>'REGIÃO 2'!K91</f>
        <v/>
      </c>
      <c r="L304" t="inlineStr">
        <is>
          <t>REGIÃO 2</t>
        </is>
      </c>
    </row>
    <row r="305">
      <c r="A305">
        <f>'REGIÃO 2'!A92</f>
        <v/>
      </c>
      <c r="B305">
        <f>'REGIÃO 2'!B92</f>
        <v/>
      </c>
      <c r="C305">
        <f>'REGIÃO 2'!C92</f>
        <v/>
      </c>
      <c r="D305">
        <f>'REGIÃO 2'!D92</f>
        <v/>
      </c>
      <c r="E305">
        <f>'REGIÃO 2'!E92</f>
        <v/>
      </c>
      <c r="F305">
        <f>'REGIÃO 2'!F92</f>
        <v/>
      </c>
      <c r="G305">
        <f>'REGIÃO 2'!G92</f>
        <v/>
      </c>
      <c r="H305">
        <f>'REGIÃO 2'!H92</f>
        <v/>
      </c>
      <c r="I305">
        <f>'REGIÃO 2'!I92</f>
        <v/>
      </c>
      <c r="J305">
        <f>'REGIÃO 2'!J92</f>
        <v/>
      </c>
      <c r="K305" s="36">
        <f>'REGIÃO 2'!K92</f>
        <v/>
      </c>
      <c r="L305" t="inlineStr">
        <is>
          <t>REGIÃO 2</t>
        </is>
      </c>
    </row>
    <row r="306">
      <c r="A306">
        <f>'REGIÃO 2'!A93</f>
        <v/>
      </c>
      <c r="B306">
        <f>'REGIÃO 2'!B93</f>
        <v/>
      </c>
      <c r="C306">
        <f>'REGIÃO 2'!C93</f>
        <v/>
      </c>
      <c r="D306">
        <f>'REGIÃO 2'!D93</f>
        <v/>
      </c>
      <c r="E306">
        <f>'REGIÃO 2'!E93</f>
        <v/>
      </c>
      <c r="F306">
        <f>'REGIÃO 2'!F93</f>
        <v/>
      </c>
      <c r="G306">
        <f>'REGIÃO 2'!G93</f>
        <v/>
      </c>
      <c r="H306">
        <f>'REGIÃO 2'!H93</f>
        <v/>
      </c>
      <c r="I306">
        <f>'REGIÃO 2'!I93</f>
        <v/>
      </c>
      <c r="J306">
        <f>'REGIÃO 2'!J93</f>
        <v/>
      </c>
      <c r="K306" s="36">
        <f>'REGIÃO 2'!K93</f>
        <v/>
      </c>
      <c r="L306" t="inlineStr">
        <is>
          <t>REGIÃO 2</t>
        </is>
      </c>
    </row>
    <row r="307">
      <c r="A307">
        <f>'REGIÃO 2'!A94</f>
        <v/>
      </c>
      <c r="B307">
        <f>'REGIÃO 2'!B94</f>
        <v/>
      </c>
      <c r="C307">
        <f>'REGIÃO 2'!C94</f>
        <v/>
      </c>
      <c r="D307">
        <f>'REGIÃO 2'!D94</f>
        <v/>
      </c>
      <c r="E307">
        <f>'REGIÃO 2'!E94</f>
        <v/>
      </c>
      <c r="F307">
        <f>'REGIÃO 2'!F94</f>
        <v/>
      </c>
      <c r="G307">
        <f>'REGIÃO 2'!G94</f>
        <v/>
      </c>
      <c r="H307">
        <f>'REGIÃO 2'!H94</f>
        <v/>
      </c>
      <c r="I307">
        <f>'REGIÃO 2'!I94</f>
        <v/>
      </c>
      <c r="J307">
        <f>'REGIÃO 2'!J94</f>
        <v/>
      </c>
      <c r="K307" s="36">
        <f>'REGIÃO 2'!K94</f>
        <v/>
      </c>
      <c r="L307" t="inlineStr">
        <is>
          <t>REGIÃO 2</t>
        </is>
      </c>
    </row>
    <row r="308">
      <c r="A308">
        <f>'REGIÃO 2'!A95</f>
        <v/>
      </c>
      <c r="B308">
        <f>'REGIÃO 2'!B95</f>
        <v/>
      </c>
      <c r="C308">
        <f>'REGIÃO 2'!C95</f>
        <v/>
      </c>
      <c r="D308">
        <f>'REGIÃO 2'!D95</f>
        <v/>
      </c>
      <c r="E308">
        <f>'REGIÃO 2'!E95</f>
        <v/>
      </c>
      <c r="F308">
        <f>'REGIÃO 2'!F95</f>
        <v/>
      </c>
      <c r="G308">
        <f>'REGIÃO 2'!G95</f>
        <v/>
      </c>
      <c r="H308">
        <f>'REGIÃO 2'!H95</f>
        <v/>
      </c>
      <c r="I308">
        <f>'REGIÃO 2'!I95</f>
        <v/>
      </c>
      <c r="J308">
        <f>'REGIÃO 2'!J95</f>
        <v/>
      </c>
      <c r="K308" s="36">
        <f>'REGIÃO 2'!K95</f>
        <v/>
      </c>
      <c r="L308" t="inlineStr">
        <is>
          <t>REGIÃO 2</t>
        </is>
      </c>
    </row>
    <row r="309">
      <c r="A309">
        <f>'REGIÃO 2'!A96</f>
        <v/>
      </c>
      <c r="B309">
        <f>'REGIÃO 2'!B96</f>
        <v/>
      </c>
      <c r="C309">
        <f>'REGIÃO 2'!C96</f>
        <v/>
      </c>
      <c r="D309">
        <f>'REGIÃO 2'!D96</f>
        <v/>
      </c>
      <c r="E309">
        <f>'REGIÃO 2'!E96</f>
        <v/>
      </c>
      <c r="F309">
        <f>'REGIÃO 2'!F96</f>
        <v/>
      </c>
      <c r="G309">
        <f>'REGIÃO 2'!G96</f>
        <v/>
      </c>
      <c r="H309">
        <f>'REGIÃO 2'!H96</f>
        <v/>
      </c>
      <c r="I309">
        <f>'REGIÃO 2'!I96</f>
        <v/>
      </c>
      <c r="J309">
        <f>'REGIÃO 2'!J96</f>
        <v/>
      </c>
      <c r="K309" s="36">
        <f>'REGIÃO 2'!K96</f>
        <v/>
      </c>
      <c r="L309" t="inlineStr">
        <is>
          <t>REGIÃO 2</t>
        </is>
      </c>
    </row>
    <row r="310">
      <c r="A310">
        <f>'REGIÃO 2'!A97</f>
        <v/>
      </c>
      <c r="B310">
        <f>'REGIÃO 2'!B97</f>
        <v/>
      </c>
      <c r="C310">
        <f>'REGIÃO 2'!C97</f>
        <v/>
      </c>
      <c r="D310">
        <f>'REGIÃO 2'!D97</f>
        <v/>
      </c>
      <c r="E310">
        <f>'REGIÃO 2'!E97</f>
        <v/>
      </c>
      <c r="F310">
        <f>'REGIÃO 2'!F97</f>
        <v/>
      </c>
      <c r="G310">
        <f>'REGIÃO 2'!G97</f>
        <v/>
      </c>
      <c r="H310">
        <f>'REGIÃO 2'!H97</f>
        <v/>
      </c>
      <c r="I310">
        <f>'REGIÃO 2'!I97</f>
        <v/>
      </c>
      <c r="J310">
        <f>'REGIÃO 2'!J97</f>
        <v/>
      </c>
      <c r="K310" s="36">
        <f>'REGIÃO 2'!K97</f>
        <v/>
      </c>
      <c r="L310" t="inlineStr">
        <is>
          <t>REGIÃO 2</t>
        </is>
      </c>
    </row>
    <row r="311">
      <c r="A311">
        <f>'REGIÃO 2'!A98</f>
        <v/>
      </c>
      <c r="B311">
        <f>'REGIÃO 2'!B98</f>
        <v/>
      </c>
      <c r="C311">
        <f>'REGIÃO 2'!C98</f>
        <v/>
      </c>
      <c r="D311">
        <f>'REGIÃO 2'!D98</f>
        <v/>
      </c>
      <c r="E311">
        <f>'REGIÃO 2'!E98</f>
        <v/>
      </c>
      <c r="F311">
        <f>'REGIÃO 2'!F98</f>
        <v/>
      </c>
      <c r="G311">
        <f>'REGIÃO 2'!G98</f>
        <v/>
      </c>
      <c r="H311">
        <f>'REGIÃO 2'!H98</f>
        <v/>
      </c>
      <c r="I311">
        <f>'REGIÃO 2'!I98</f>
        <v/>
      </c>
      <c r="J311">
        <f>'REGIÃO 2'!J98</f>
        <v/>
      </c>
      <c r="K311" s="36">
        <f>'REGIÃO 2'!K98</f>
        <v/>
      </c>
      <c r="L311" t="inlineStr">
        <is>
          <t>REGIÃO 2</t>
        </is>
      </c>
    </row>
    <row r="312">
      <c r="A312">
        <f>'REGIÃO 2'!A99</f>
        <v/>
      </c>
      <c r="B312">
        <f>'REGIÃO 2'!B99</f>
        <v/>
      </c>
      <c r="C312">
        <f>'REGIÃO 2'!C99</f>
        <v/>
      </c>
      <c r="D312">
        <f>'REGIÃO 2'!D99</f>
        <v/>
      </c>
      <c r="E312">
        <f>'REGIÃO 2'!E99</f>
        <v/>
      </c>
      <c r="F312">
        <f>'REGIÃO 2'!F99</f>
        <v/>
      </c>
      <c r="G312">
        <f>'REGIÃO 2'!G99</f>
        <v/>
      </c>
      <c r="H312">
        <f>'REGIÃO 2'!H99</f>
        <v/>
      </c>
      <c r="I312">
        <f>'REGIÃO 2'!I99</f>
        <v/>
      </c>
      <c r="J312">
        <f>'REGIÃO 2'!J99</f>
        <v/>
      </c>
      <c r="K312" s="36">
        <f>'REGIÃO 2'!K99</f>
        <v/>
      </c>
      <c r="L312" t="inlineStr">
        <is>
          <t>REGIÃO 2</t>
        </is>
      </c>
    </row>
    <row r="313">
      <c r="A313">
        <f>'REGIÃO 2'!A100</f>
        <v/>
      </c>
      <c r="B313">
        <f>'REGIÃO 2'!B100</f>
        <v/>
      </c>
      <c r="C313">
        <f>'REGIÃO 2'!C100</f>
        <v/>
      </c>
      <c r="D313">
        <f>'REGIÃO 2'!D100</f>
        <v/>
      </c>
      <c r="E313">
        <f>'REGIÃO 2'!E100</f>
        <v/>
      </c>
      <c r="F313">
        <f>'REGIÃO 2'!F100</f>
        <v/>
      </c>
      <c r="G313">
        <f>'REGIÃO 2'!G100</f>
        <v/>
      </c>
      <c r="H313">
        <f>'REGIÃO 2'!H100</f>
        <v/>
      </c>
      <c r="I313">
        <f>'REGIÃO 2'!I100</f>
        <v/>
      </c>
      <c r="J313">
        <f>'REGIÃO 2'!J100</f>
        <v/>
      </c>
      <c r="K313" s="36">
        <f>'REGIÃO 2'!K100</f>
        <v/>
      </c>
      <c r="L313" t="inlineStr">
        <is>
          <t>REGIÃO 2</t>
        </is>
      </c>
    </row>
    <row r="314">
      <c r="A314">
        <f>'REGIÃO 2'!A101</f>
        <v/>
      </c>
      <c r="B314">
        <f>'REGIÃO 2'!B101</f>
        <v/>
      </c>
      <c r="C314">
        <f>'REGIÃO 2'!C101</f>
        <v/>
      </c>
      <c r="D314">
        <f>'REGIÃO 2'!D101</f>
        <v/>
      </c>
      <c r="E314">
        <f>'REGIÃO 2'!E101</f>
        <v/>
      </c>
      <c r="F314">
        <f>'REGIÃO 2'!F101</f>
        <v/>
      </c>
      <c r="G314">
        <f>'REGIÃO 2'!G101</f>
        <v/>
      </c>
      <c r="H314">
        <f>'REGIÃO 2'!H101</f>
        <v/>
      </c>
      <c r="I314">
        <f>'REGIÃO 2'!I101</f>
        <v/>
      </c>
      <c r="J314">
        <f>'REGIÃO 2'!J101</f>
        <v/>
      </c>
      <c r="K314" s="36">
        <f>'REGIÃO 2'!K101</f>
        <v/>
      </c>
      <c r="L314" t="inlineStr">
        <is>
          <t>REGIÃO 2</t>
        </is>
      </c>
    </row>
    <row r="315">
      <c r="A315">
        <f>'REGIÃO 2'!A102</f>
        <v/>
      </c>
      <c r="B315">
        <f>'REGIÃO 2'!B102</f>
        <v/>
      </c>
      <c r="C315">
        <f>'REGIÃO 2'!C102</f>
        <v/>
      </c>
      <c r="D315">
        <f>'REGIÃO 2'!D102</f>
        <v/>
      </c>
      <c r="E315">
        <f>'REGIÃO 2'!E102</f>
        <v/>
      </c>
      <c r="F315">
        <f>'REGIÃO 2'!F102</f>
        <v/>
      </c>
      <c r="G315">
        <f>'REGIÃO 2'!G102</f>
        <v/>
      </c>
      <c r="H315">
        <f>'REGIÃO 2'!H102</f>
        <v/>
      </c>
      <c r="I315">
        <f>'REGIÃO 2'!I102</f>
        <v/>
      </c>
      <c r="J315">
        <f>'REGIÃO 2'!J102</f>
        <v/>
      </c>
      <c r="K315" s="36">
        <f>'REGIÃO 2'!K102</f>
        <v/>
      </c>
      <c r="L315" t="inlineStr">
        <is>
          <t>REGIÃO 2</t>
        </is>
      </c>
    </row>
    <row r="316">
      <c r="A316">
        <f>'REGIÃO 2'!A103</f>
        <v/>
      </c>
      <c r="B316">
        <f>'REGIÃO 2'!B103</f>
        <v/>
      </c>
      <c r="C316">
        <f>'REGIÃO 2'!C103</f>
        <v/>
      </c>
      <c r="D316">
        <f>'REGIÃO 2'!D103</f>
        <v/>
      </c>
      <c r="E316">
        <f>'REGIÃO 2'!E103</f>
        <v/>
      </c>
      <c r="F316">
        <f>'REGIÃO 2'!F103</f>
        <v/>
      </c>
      <c r="G316">
        <f>'REGIÃO 2'!G103</f>
        <v/>
      </c>
      <c r="H316">
        <f>'REGIÃO 2'!H103</f>
        <v/>
      </c>
      <c r="I316">
        <f>'REGIÃO 2'!I103</f>
        <v/>
      </c>
      <c r="J316">
        <f>'REGIÃO 2'!J103</f>
        <v/>
      </c>
      <c r="K316" s="36">
        <f>'REGIÃO 2'!K103</f>
        <v/>
      </c>
      <c r="L316" t="inlineStr">
        <is>
          <t>REGIÃO 2</t>
        </is>
      </c>
    </row>
    <row r="317">
      <c r="A317">
        <f>'REGIÃO 2'!A104</f>
        <v/>
      </c>
      <c r="B317">
        <f>'REGIÃO 2'!B104</f>
        <v/>
      </c>
      <c r="C317">
        <f>'REGIÃO 2'!C104</f>
        <v/>
      </c>
      <c r="D317">
        <f>'REGIÃO 2'!D104</f>
        <v/>
      </c>
      <c r="E317">
        <f>'REGIÃO 2'!E104</f>
        <v/>
      </c>
      <c r="F317">
        <f>'REGIÃO 2'!F104</f>
        <v/>
      </c>
      <c r="G317">
        <f>'REGIÃO 2'!G104</f>
        <v/>
      </c>
      <c r="H317">
        <f>'REGIÃO 2'!H104</f>
        <v/>
      </c>
      <c r="I317">
        <f>'REGIÃO 2'!I104</f>
        <v/>
      </c>
      <c r="J317">
        <f>'REGIÃO 2'!J104</f>
        <v/>
      </c>
      <c r="K317" s="36">
        <f>'REGIÃO 2'!K104</f>
        <v/>
      </c>
      <c r="L317" t="inlineStr">
        <is>
          <t>REGIÃO 2</t>
        </is>
      </c>
    </row>
    <row r="318">
      <c r="A318">
        <f>'REGIÃO 2'!A105</f>
        <v/>
      </c>
      <c r="B318">
        <f>'REGIÃO 2'!B105</f>
        <v/>
      </c>
      <c r="C318">
        <f>'REGIÃO 2'!C105</f>
        <v/>
      </c>
      <c r="D318">
        <f>'REGIÃO 2'!D105</f>
        <v/>
      </c>
      <c r="E318">
        <f>'REGIÃO 2'!E105</f>
        <v/>
      </c>
      <c r="F318">
        <f>'REGIÃO 2'!F105</f>
        <v/>
      </c>
      <c r="G318">
        <f>'REGIÃO 2'!G105</f>
        <v/>
      </c>
      <c r="H318">
        <f>'REGIÃO 2'!H105</f>
        <v/>
      </c>
      <c r="I318">
        <f>'REGIÃO 2'!I105</f>
        <v/>
      </c>
      <c r="J318">
        <f>'REGIÃO 2'!J105</f>
        <v/>
      </c>
      <c r="K318" s="36">
        <f>'REGIÃO 2'!K105</f>
        <v/>
      </c>
      <c r="L318" t="inlineStr">
        <is>
          <t>REGIÃO 2</t>
        </is>
      </c>
    </row>
    <row r="319">
      <c r="A319">
        <f>'REGIÃO 2'!A106</f>
        <v/>
      </c>
      <c r="B319">
        <f>'REGIÃO 2'!B106</f>
        <v/>
      </c>
      <c r="C319">
        <f>'REGIÃO 2'!C106</f>
        <v/>
      </c>
      <c r="D319">
        <f>'REGIÃO 2'!D106</f>
        <v/>
      </c>
      <c r="E319">
        <f>'REGIÃO 2'!E106</f>
        <v/>
      </c>
      <c r="F319">
        <f>'REGIÃO 2'!F106</f>
        <v/>
      </c>
      <c r="G319">
        <f>'REGIÃO 2'!G106</f>
        <v/>
      </c>
      <c r="H319">
        <f>'REGIÃO 2'!H106</f>
        <v/>
      </c>
      <c r="I319">
        <f>'REGIÃO 2'!I106</f>
        <v/>
      </c>
      <c r="J319">
        <f>'REGIÃO 2'!J106</f>
        <v/>
      </c>
      <c r="K319" s="36">
        <f>'REGIÃO 2'!K106</f>
        <v/>
      </c>
      <c r="L319" t="inlineStr">
        <is>
          <t>REGIÃO 2</t>
        </is>
      </c>
    </row>
    <row r="320">
      <c r="A320">
        <f>'REGIÃO 2'!A107</f>
        <v/>
      </c>
      <c r="B320">
        <f>'REGIÃO 2'!B107</f>
        <v/>
      </c>
      <c r="C320">
        <f>'REGIÃO 2'!C107</f>
        <v/>
      </c>
      <c r="D320">
        <f>'REGIÃO 2'!D107</f>
        <v/>
      </c>
      <c r="E320">
        <f>'REGIÃO 2'!E107</f>
        <v/>
      </c>
      <c r="F320">
        <f>'REGIÃO 2'!F107</f>
        <v/>
      </c>
      <c r="G320">
        <f>'REGIÃO 2'!G107</f>
        <v/>
      </c>
      <c r="H320">
        <f>'REGIÃO 2'!H107</f>
        <v/>
      </c>
      <c r="I320">
        <f>'REGIÃO 2'!I107</f>
        <v/>
      </c>
      <c r="J320">
        <f>'REGIÃO 2'!J107</f>
        <v/>
      </c>
      <c r="K320" s="36">
        <f>'REGIÃO 2'!K107</f>
        <v/>
      </c>
      <c r="L320" t="inlineStr">
        <is>
          <t>REGIÃO 2</t>
        </is>
      </c>
    </row>
    <row r="321">
      <c r="A321">
        <f>'REGIÃO 2'!A108</f>
        <v/>
      </c>
      <c r="B321">
        <f>'REGIÃO 2'!B108</f>
        <v/>
      </c>
      <c r="C321">
        <f>'REGIÃO 2'!C108</f>
        <v/>
      </c>
      <c r="D321">
        <f>'REGIÃO 2'!D108</f>
        <v/>
      </c>
      <c r="E321">
        <f>'REGIÃO 2'!E108</f>
        <v/>
      </c>
      <c r="F321">
        <f>'REGIÃO 2'!F108</f>
        <v/>
      </c>
      <c r="G321">
        <f>'REGIÃO 2'!G108</f>
        <v/>
      </c>
      <c r="H321">
        <f>'REGIÃO 2'!H108</f>
        <v/>
      </c>
      <c r="I321">
        <f>'REGIÃO 2'!I108</f>
        <v/>
      </c>
      <c r="J321">
        <f>'REGIÃO 2'!J108</f>
        <v/>
      </c>
      <c r="K321" s="36">
        <f>'REGIÃO 2'!K108</f>
        <v/>
      </c>
      <c r="L321" t="inlineStr">
        <is>
          <t>REGIÃO 2</t>
        </is>
      </c>
    </row>
    <row r="322">
      <c r="A322">
        <f>'REGIÃO 2'!A109</f>
        <v/>
      </c>
      <c r="B322">
        <f>'REGIÃO 2'!B109</f>
        <v/>
      </c>
      <c r="C322">
        <f>'REGIÃO 2'!C109</f>
        <v/>
      </c>
      <c r="D322">
        <f>'REGIÃO 2'!D109</f>
        <v/>
      </c>
      <c r="E322">
        <f>'REGIÃO 2'!E109</f>
        <v/>
      </c>
      <c r="F322">
        <f>'REGIÃO 2'!F109</f>
        <v/>
      </c>
      <c r="G322">
        <f>'REGIÃO 2'!G109</f>
        <v/>
      </c>
      <c r="H322">
        <f>'REGIÃO 2'!H109</f>
        <v/>
      </c>
      <c r="I322">
        <f>'REGIÃO 2'!I109</f>
        <v/>
      </c>
      <c r="J322">
        <f>'REGIÃO 2'!J109</f>
        <v/>
      </c>
      <c r="K322" s="36">
        <f>'REGIÃO 2'!K109</f>
        <v/>
      </c>
      <c r="L322" t="inlineStr">
        <is>
          <t>REGIÃO 2</t>
        </is>
      </c>
    </row>
    <row r="323">
      <c r="A323">
        <f>'REGIÃO 2'!A110</f>
        <v/>
      </c>
      <c r="B323">
        <f>'REGIÃO 2'!B110</f>
        <v/>
      </c>
      <c r="C323">
        <f>'REGIÃO 2'!C110</f>
        <v/>
      </c>
      <c r="D323">
        <f>'REGIÃO 2'!D110</f>
        <v/>
      </c>
      <c r="E323">
        <f>'REGIÃO 2'!E110</f>
        <v/>
      </c>
      <c r="F323">
        <f>'REGIÃO 2'!F110</f>
        <v/>
      </c>
      <c r="G323">
        <f>'REGIÃO 2'!G110</f>
        <v/>
      </c>
      <c r="H323">
        <f>'REGIÃO 2'!H110</f>
        <v/>
      </c>
      <c r="I323">
        <f>'REGIÃO 2'!I110</f>
        <v/>
      </c>
      <c r="J323">
        <f>'REGIÃO 2'!J110</f>
        <v/>
      </c>
      <c r="K323" s="36">
        <f>'REGIÃO 2'!K110</f>
        <v/>
      </c>
      <c r="L323" t="inlineStr">
        <is>
          <t>REGIÃO 2</t>
        </is>
      </c>
    </row>
    <row r="324">
      <c r="A324">
        <f>'REGIÃO 2'!A111</f>
        <v/>
      </c>
      <c r="B324">
        <f>'REGIÃO 2'!B111</f>
        <v/>
      </c>
      <c r="C324">
        <f>'REGIÃO 2'!C111</f>
        <v/>
      </c>
      <c r="D324">
        <f>'REGIÃO 2'!D111</f>
        <v/>
      </c>
      <c r="E324">
        <f>'REGIÃO 2'!E111</f>
        <v/>
      </c>
      <c r="F324">
        <f>'REGIÃO 2'!F111</f>
        <v/>
      </c>
      <c r="G324">
        <f>'REGIÃO 2'!G111</f>
        <v/>
      </c>
      <c r="H324">
        <f>'REGIÃO 2'!H111</f>
        <v/>
      </c>
      <c r="I324">
        <f>'REGIÃO 2'!I111</f>
        <v/>
      </c>
      <c r="J324">
        <f>'REGIÃO 2'!J111</f>
        <v/>
      </c>
      <c r="K324" s="36">
        <f>'REGIÃO 2'!K111</f>
        <v/>
      </c>
      <c r="L324" t="inlineStr">
        <is>
          <t>REGIÃO 2</t>
        </is>
      </c>
    </row>
    <row r="325">
      <c r="A325">
        <f>'REGIÃO 2'!A112</f>
        <v/>
      </c>
      <c r="B325">
        <f>'REGIÃO 2'!B112</f>
        <v/>
      </c>
      <c r="C325">
        <f>'REGIÃO 2'!C112</f>
        <v/>
      </c>
      <c r="D325">
        <f>'REGIÃO 2'!D112</f>
        <v/>
      </c>
      <c r="E325">
        <f>'REGIÃO 2'!E112</f>
        <v/>
      </c>
      <c r="F325">
        <f>'REGIÃO 2'!F112</f>
        <v/>
      </c>
      <c r="G325">
        <f>'REGIÃO 2'!G112</f>
        <v/>
      </c>
      <c r="H325">
        <f>'REGIÃO 2'!H112</f>
        <v/>
      </c>
      <c r="I325">
        <f>'REGIÃO 2'!I112</f>
        <v/>
      </c>
      <c r="J325">
        <f>'REGIÃO 2'!J112</f>
        <v/>
      </c>
      <c r="K325" s="36">
        <f>'REGIÃO 2'!K112</f>
        <v/>
      </c>
      <c r="L325" t="inlineStr">
        <is>
          <t>REGIÃO 2</t>
        </is>
      </c>
    </row>
    <row r="326">
      <c r="A326">
        <f>'REGIÃO 2'!A113</f>
        <v/>
      </c>
      <c r="B326">
        <f>'REGIÃO 2'!B113</f>
        <v/>
      </c>
      <c r="C326">
        <f>'REGIÃO 2'!C113</f>
        <v/>
      </c>
      <c r="D326">
        <f>'REGIÃO 2'!D113</f>
        <v/>
      </c>
      <c r="E326">
        <f>'REGIÃO 2'!E113</f>
        <v/>
      </c>
      <c r="F326">
        <f>'REGIÃO 2'!F113</f>
        <v/>
      </c>
      <c r="G326">
        <f>'REGIÃO 2'!G113</f>
        <v/>
      </c>
      <c r="H326">
        <f>'REGIÃO 2'!H113</f>
        <v/>
      </c>
      <c r="I326">
        <f>'REGIÃO 2'!I113</f>
        <v/>
      </c>
      <c r="J326">
        <f>'REGIÃO 2'!J113</f>
        <v/>
      </c>
      <c r="K326" s="36">
        <f>'REGIÃO 2'!K113</f>
        <v/>
      </c>
      <c r="L326" t="inlineStr">
        <is>
          <t>REGIÃO 2</t>
        </is>
      </c>
    </row>
    <row r="327">
      <c r="A327">
        <f>'REGIÃO 2'!A114</f>
        <v/>
      </c>
      <c r="B327">
        <f>'REGIÃO 2'!B114</f>
        <v/>
      </c>
      <c r="C327">
        <f>'REGIÃO 2'!C114</f>
        <v/>
      </c>
      <c r="D327">
        <f>'REGIÃO 2'!D114</f>
        <v/>
      </c>
      <c r="E327">
        <f>'REGIÃO 2'!E114</f>
        <v/>
      </c>
      <c r="F327">
        <f>'REGIÃO 2'!F114</f>
        <v/>
      </c>
      <c r="G327">
        <f>'REGIÃO 2'!G114</f>
        <v/>
      </c>
      <c r="H327">
        <f>'REGIÃO 2'!H114</f>
        <v/>
      </c>
      <c r="I327">
        <f>'REGIÃO 2'!I114</f>
        <v/>
      </c>
      <c r="J327">
        <f>'REGIÃO 2'!J114</f>
        <v/>
      </c>
      <c r="K327" s="36">
        <f>'REGIÃO 2'!K114</f>
        <v/>
      </c>
      <c r="L327" t="inlineStr">
        <is>
          <t>REGIÃO 2</t>
        </is>
      </c>
    </row>
    <row r="328">
      <c r="A328">
        <f>'REGIÃO 2'!A115</f>
        <v/>
      </c>
      <c r="B328">
        <f>'REGIÃO 2'!B115</f>
        <v/>
      </c>
      <c r="C328">
        <f>'REGIÃO 2'!C115</f>
        <v/>
      </c>
      <c r="D328">
        <f>'REGIÃO 2'!D115</f>
        <v/>
      </c>
      <c r="E328">
        <f>'REGIÃO 2'!E115</f>
        <v/>
      </c>
      <c r="F328">
        <f>'REGIÃO 2'!F115</f>
        <v/>
      </c>
      <c r="G328">
        <f>'REGIÃO 2'!G115</f>
        <v/>
      </c>
      <c r="H328">
        <f>'REGIÃO 2'!H115</f>
        <v/>
      </c>
      <c r="I328">
        <f>'REGIÃO 2'!I115</f>
        <v/>
      </c>
      <c r="J328">
        <f>'REGIÃO 2'!J115</f>
        <v/>
      </c>
      <c r="K328" s="36">
        <f>'REGIÃO 2'!K115</f>
        <v/>
      </c>
      <c r="L328" t="inlineStr">
        <is>
          <t>REGIÃO 2</t>
        </is>
      </c>
    </row>
    <row r="329">
      <c r="A329" s="35">
        <f>'REGIÃO 3'!A2</f>
        <v/>
      </c>
      <c r="B329">
        <f>'REGIÃO 3'!B2</f>
        <v/>
      </c>
      <c r="C329" s="35">
        <f>'REGIÃO 3'!C2</f>
        <v/>
      </c>
      <c r="D329">
        <f>'REGIÃO 3'!D2</f>
        <v/>
      </c>
      <c r="E329">
        <f>'REGIÃO 3'!E2</f>
        <v/>
      </c>
      <c r="F329">
        <f>'REGIÃO 3'!F2</f>
        <v/>
      </c>
      <c r="G329">
        <f>'REGIÃO 3'!G2</f>
        <v/>
      </c>
      <c r="H329">
        <f>'REGIÃO 3'!H2</f>
        <v/>
      </c>
      <c r="I329">
        <f>'REGIÃO 3'!I2</f>
        <v/>
      </c>
      <c r="J329">
        <f>'REGIÃO 3'!J2</f>
        <v/>
      </c>
      <c r="K329" s="36">
        <f>'REGIÃO 3'!K2</f>
        <v/>
      </c>
      <c r="L329" t="inlineStr">
        <is>
          <t>REGIÃO 3</t>
        </is>
      </c>
    </row>
    <row r="330">
      <c r="A330">
        <f>'REGIÃO 3'!A3</f>
        <v/>
      </c>
      <c r="B330">
        <f>'REGIÃO 3'!B3</f>
        <v/>
      </c>
      <c r="C330">
        <f>'REGIÃO 3'!C3</f>
        <v/>
      </c>
      <c r="D330">
        <f>'REGIÃO 3'!D3</f>
        <v/>
      </c>
      <c r="E330">
        <f>'REGIÃO 3'!E3</f>
        <v/>
      </c>
      <c r="F330">
        <f>'REGIÃO 3'!F3</f>
        <v/>
      </c>
      <c r="G330">
        <f>'REGIÃO 3'!G3</f>
        <v/>
      </c>
      <c r="H330">
        <f>'REGIÃO 3'!H3</f>
        <v/>
      </c>
      <c r="I330">
        <f>'REGIÃO 3'!I3</f>
        <v/>
      </c>
      <c r="J330">
        <f>'REGIÃO 3'!J3</f>
        <v/>
      </c>
      <c r="K330" s="36">
        <f>'REGIÃO 3'!K3</f>
        <v/>
      </c>
      <c r="L330" t="inlineStr">
        <is>
          <t>REGIÃO 3</t>
        </is>
      </c>
    </row>
    <row r="331">
      <c r="A331">
        <f>'REGIÃO 3'!A4</f>
        <v/>
      </c>
      <c r="B331">
        <f>'REGIÃO 3'!B4</f>
        <v/>
      </c>
      <c r="C331">
        <f>'REGIÃO 3'!C4</f>
        <v/>
      </c>
      <c r="D331">
        <f>'REGIÃO 3'!D4</f>
        <v/>
      </c>
      <c r="E331">
        <f>'REGIÃO 3'!E4</f>
        <v/>
      </c>
      <c r="F331">
        <f>'REGIÃO 3'!F4</f>
        <v/>
      </c>
      <c r="G331">
        <f>'REGIÃO 3'!G4</f>
        <v/>
      </c>
      <c r="H331">
        <f>'REGIÃO 3'!H4</f>
        <v/>
      </c>
      <c r="I331">
        <f>'REGIÃO 3'!I4</f>
        <v/>
      </c>
      <c r="J331">
        <f>'REGIÃO 3'!J4</f>
        <v/>
      </c>
      <c r="K331" s="36">
        <f>'REGIÃO 3'!K4</f>
        <v/>
      </c>
      <c r="L331" t="inlineStr">
        <is>
          <t>REGIÃO 3</t>
        </is>
      </c>
    </row>
    <row r="332">
      <c r="A332">
        <f>'REGIÃO 3'!A5</f>
        <v/>
      </c>
      <c r="B332">
        <f>'REGIÃO 3'!B5</f>
        <v/>
      </c>
      <c r="C332">
        <f>'REGIÃO 3'!C5</f>
        <v/>
      </c>
      <c r="D332">
        <f>'REGIÃO 3'!D5</f>
        <v/>
      </c>
      <c r="E332">
        <f>'REGIÃO 3'!E5</f>
        <v/>
      </c>
      <c r="F332">
        <f>'REGIÃO 3'!F5</f>
        <v/>
      </c>
      <c r="G332">
        <f>'REGIÃO 3'!G5</f>
        <v/>
      </c>
      <c r="H332">
        <f>'REGIÃO 3'!H5</f>
        <v/>
      </c>
      <c r="I332">
        <f>'REGIÃO 3'!I5</f>
        <v/>
      </c>
      <c r="J332">
        <f>'REGIÃO 3'!J5</f>
        <v/>
      </c>
      <c r="K332" s="36">
        <f>'REGIÃO 3'!K5</f>
        <v/>
      </c>
      <c r="L332" t="inlineStr">
        <is>
          <t>REGIÃO 3</t>
        </is>
      </c>
    </row>
    <row r="333">
      <c r="A333">
        <f>'REGIÃO 3'!A6</f>
        <v/>
      </c>
      <c r="B333">
        <f>'REGIÃO 3'!B6</f>
        <v/>
      </c>
      <c r="C333">
        <f>'REGIÃO 3'!C6</f>
        <v/>
      </c>
      <c r="D333">
        <f>'REGIÃO 3'!D6</f>
        <v/>
      </c>
      <c r="E333">
        <f>'REGIÃO 3'!E6</f>
        <v/>
      </c>
      <c r="F333">
        <f>'REGIÃO 3'!F6</f>
        <v/>
      </c>
      <c r="G333">
        <f>'REGIÃO 3'!G6</f>
        <v/>
      </c>
      <c r="H333">
        <f>'REGIÃO 3'!H6</f>
        <v/>
      </c>
      <c r="I333">
        <f>'REGIÃO 3'!I6</f>
        <v/>
      </c>
      <c r="J333">
        <f>'REGIÃO 3'!J6</f>
        <v/>
      </c>
      <c r="K333" s="36">
        <f>'REGIÃO 3'!K6</f>
        <v/>
      </c>
      <c r="L333" t="inlineStr">
        <is>
          <t>REGIÃO 3</t>
        </is>
      </c>
    </row>
    <row r="334">
      <c r="A334">
        <f>'REGIÃO 3'!A7</f>
        <v/>
      </c>
      <c r="B334">
        <f>'REGIÃO 3'!B7</f>
        <v/>
      </c>
      <c r="C334">
        <f>'REGIÃO 3'!C7</f>
        <v/>
      </c>
      <c r="D334">
        <f>'REGIÃO 3'!D7</f>
        <v/>
      </c>
      <c r="E334">
        <f>'REGIÃO 3'!E7</f>
        <v/>
      </c>
      <c r="F334">
        <f>'REGIÃO 3'!F7</f>
        <v/>
      </c>
      <c r="G334">
        <f>'REGIÃO 3'!G7</f>
        <v/>
      </c>
      <c r="H334">
        <f>'REGIÃO 3'!H7</f>
        <v/>
      </c>
      <c r="I334">
        <f>'REGIÃO 3'!I7</f>
        <v/>
      </c>
      <c r="J334">
        <f>'REGIÃO 3'!J7</f>
        <v/>
      </c>
      <c r="K334" s="36">
        <f>'REGIÃO 3'!K7</f>
        <v/>
      </c>
      <c r="L334" t="inlineStr">
        <is>
          <t>REGIÃO 3</t>
        </is>
      </c>
    </row>
    <row r="335">
      <c r="A335">
        <f>'REGIÃO 3'!A8</f>
        <v/>
      </c>
      <c r="B335">
        <f>'REGIÃO 3'!B8</f>
        <v/>
      </c>
      <c r="C335">
        <f>'REGIÃO 3'!C8</f>
        <v/>
      </c>
      <c r="D335">
        <f>'REGIÃO 3'!D8</f>
        <v/>
      </c>
      <c r="E335">
        <f>'REGIÃO 3'!E8</f>
        <v/>
      </c>
      <c r="F335">
        <f>'REGIÃO 3'!F8</f>
        <v/>
      </c>
      <c r="G335">
        <f>'REGIÃO 3'!G8</f>
        <v/>
      </c>
      <c r="H335">
        <f>'REGIÃO 3'!H8</f>
        <v/>
      </c>
      <c r="I335">
        <f>'REGIÃO 3'!I8</f>
        <v/>
      </c>
      <c r="J335">
        <f>'REGIÃO 3'!J8</f>
        <v/>
      </c>
      <c r="K335" s="36">
        <f>'REGIÃO 3'!K8</f>
        <v/>
      </c>
      <c r="L335" t="inlineStr">
        <is>
          <t>REGIÃO 3</t>
        </is>
      </c>
    </row>
    <row r="336">
      <c r="A336">
        <f>'REGIÃO 3'!A9</f>
        <v/>
      </c>
      <c r="B336">
        <f>'REGIÃO 3'!B9</f>
        <v/>
      </c>
      <c r="C336">
        <f>'REGIÃO 3'!C9</f>
        <v/>
      </c>
      <c r="D336">
        <f>'REGIÃO 3'!D9</f>
        <v/>
      </c>
      <c r="E336">
        <f>'REGIÃO 3'!E9</f>
        <v/>
      </c>
      <c r="F336">
        <f>'REGIÃO 3'!F9</f>
        <v/>
      </c>
      <c r="G336">
        <f>'REGIÃO 3'!G9</f>
        <v/>
      </c>
      <c r="H336">
        <f>'REGIÃO 3'!H9</f>
        <v/>
      </c>
      <c r="I336">
        <f>'REGIÃO 3'!I9</f>
        <v/>
      </c>
      <c r="J336">
        <f>'REGIÃO 3'!J9</f>
        <v/>
      </c>
      <c r="K336" s="36">
        <f>'REGIÃO 3'!K9</f>
        <v/>
      </c>
      <c r="L336" t="inlineStr">
        <is>
          <t>REGIÃO 3</t>
        </is>
      </c>
    </row>
    <row r="337">
      <c r="A337">
        <f>'REGIÃO 3'!A10</f>
        <v/>
      </c>
      <c r="B337">
        <f>'REGIÃO 3'!B10</f>
        <v/>
      </c>
      <c r="C337">
        <f>'REGIÃO 3'!C10</f>
        <v/>
      </c>
      <c r="D337">
        <f>'REGIÃO 3'!D10</f>
        <v/>
      </c>
      <c r="E337">
        <f>'REGIÃO 3'!E10</f>
        <v/>
      </c>
      <c r="F337">
        <f>'REGIÃO 3'!F10</f>
        <v/>
      </c>
      <c r="G337">
        <f>'REGIÃO 3'!G10</f>
        <v/>
      </c>
      <c r="H337">
        <f>'REGIÃO 3'!H10</f>
        <v/>
      </c>
      <c r="I337">
        <f>'REGIÃO 3'!I10</f>
        <v/>
      </c>
      <c r="J337">
        <f>'REGIÃO 3'!J10</f>
        <v/>
      </c>
      <c r="K337" s="36">
        <f>'REGIÃO 3'!K10</f>
        <v/>
      </c>
      <c r="L337" t="inlineStr">
        <is>
          <t>REGIÃO 3</t>
        </is>
      </c>
    </row>
    <row r="338">
      <c r="A338">
        <f>'REGIÃO 3'!A11</f>
        <v/>
      </c>
      <c r="B338">
        <f>'REGIÃO 3'!B11</f>
        <v/>
      </c>
      <c r="C338">
        <f>'REGIÃO 3'!C11</f>
        <v/>
      </c>
      <c r="D338">
        <f>'REGIÃO 3'!D11</f>
        <v/>
      </c>
      <c r="E338">
        <f>'REGIÃO 3'!E11</f>
        <v/>
      </c>
      <c r="F338">
        <f>'REGIÃO 3'!F11</f>
        <v/>
      </c>
      <c r="G338">
        <f>'REGIÃO 3'!G11</f>
        <v/>
      </c>
      <c r="H338">
        <f>'REGIÃO 3'!H11</f>
        <v/>
      </c>
      <c r="I338">
        <f>'REGIÃO 3'!I11</f>
        <v/>
      </c>
      <c r="J338">
        <f>'REGIÃO 3'!J11</f>
        <v/>
      </c>
      <c r="K338" s="36">
        <f>'REGIÃO 3'!K11</f>
        <v/>
      </c>
      <c r="L338" t="inlineStr">
        <is>
          <t>REGIÃO 3</t>
        </is>
      </c>
    </row>
    <row r="339">
      <c r="A339">
        <f>'REGIÃO 3'!A12</f>
        <v/>
      </c>
      <c r="B339">
        <f>'REGIÃO 3'!B12</f>
        <v/>
      </c>
      <c r="C339">
        <f>'REGIÃO 3'!C12</f>
        <v/>
      </c>
      <c r="D339">
        <f>'REGIÃO 3'!D12</f>
        <v/>
      </c>
      <c r="E339">
        <f>'REGIÃO 3'!E12</f>
        <v/>
      </c>
      <c r="F339">
        <f>'REGIÃO 3'!F12</f>
        <v/>
      </c>
      <c r="G339">
        <f>'REGIÃO 3'!G12</f>
        <v/>
      </c>
      <c r="H339">
        <f>'REGIÃO 3'!H12</f>
        <v/>
      </c>
      <c r="I339">
        <f>'REGIÃO 3'!I12</f>
        <v/>
      </c>
      <c r="J339">
        <f>'REGIÃO 3'!J12</f>
        <v/>
      </c>
      <c r="K339" s="36">
        <f>'REGIÃO 3'!K12</f>
        <v/>
      </c>
      <c r="L339" t="inlineStr">
        <is>
          <t>REGIÃO 3</t>
        </is>
      </c>
    </row>
    <row r="340">
      <c r="A340">
        <f>'REGIÃO 3'!A13</f>
        <v/>
      </c>
      <c r="B340">
        <f>'REGIÃO 3'!B13</f>
        <v/>
      </c>
      <c r="C340">
        <f>'REGIÃO 3'!C13</f>
        <v/>
      </c>
      <c r="D340">
        <f>'REGIÃO 3'!D13</f>
        <v/>
      </c>
      <c r="E340">
        <f>'REGIÃO 3'!E13</f>
        <v/>
      </c>
      <c r="F340">
        <f>'REGIÃO 3'!F13</f>
        <v/>
      </c>
      <c r="G340">
        <f>'REGIÃO 3'!G13</f>
        <v/>
      </c>
      <c r="H340">
        <f>'REGIÃO 3'!H13</f>
        <v/>
      </c>
      <c r="I340">
        <f>'REGIÃO 3'!I13</f>
        <v/>
      </c>
      <c r="J340">
        <f>'REGIÃO 3'!J13</f>
        <v/>
      </c>
      <c r="K340" s="36">
        <f>'REGIÃO 3'!K13</f>
        <v/>
      </c>
      <c r="L340" t="inlineStr">
        <is>
          <t>REGIÃO 3</t>
        </is>
      </c>
    </row>
    <row r="341">
      <c r="A341">
        <f>'REGIÃO 3'!A14</f>
        <v/>
      </c>
      <c r="B341">
        <f>'REGIÃO 3'!B14</f>
        <v/>
      </c>
      <c r="C341">
        <f>'REGIÃO 3'!C14</f>
        <v/>
      </c>
      <c r="D341">
        <f>'REGIÃO 3'!D14</f>
        <v/>
      </c>
      <c r="E341">
        <f>'REGIÃO 3'!E14</f>
        <v/>
      </c>
      <c r="F341">
        <f>'REGIÃO 3'!F14</f>
        <v/>
      </c>
      <c r="G341">
        <f>'REGIÃO 3'!G14</f>
        <v/>
      </c>
      <c r="H341">
        <f>'REGIÃO 3'!H14</f>
        <v/>
      </c>
      <c r="I341">
        <f>'REGIÃO 3'!I14</f>
        <v/>
      </c>
      <c r="J341">
        <f>'REGIÃO 3'!J14</f>
        <v/>
      </c>
      <c r="K341" s="36">
        <f>'REGIÃO 3'!K14</f>
        <v/>
      </c>
      <c r="L341" t="inlineStr">
        <is>
          <t>REGIÃO 3</t>
        </is>
      </c>
    </row>
    <row r="342">
      <c r="A342">
        <f>'REGIÃO 3'!A15</f>
        <v/>
      </c>
      <c r="B342">
        <f>'REGIÃO 3'!B15</f>
        <v/>
      </c>
      <c r="C342">
        <f>'REGIÃO 3'!C15</f>
        <v/>
      </c>
      <c r="D342">
        <f>'REGIÃO 3'!D15</f>
        <v/>
      </c>
      <c r="E342">
        <f>'REGIÃO 3'!E15</f>
        <v/>
      </c>
      <c r="F342">
        <f>'REGIÃO 3'!F15</f>
        <v/>
      </c>
      <c r="G342">
        <f>'REGIÃO 3'!G15</f>
        <v/>
      </c>
      <c r="H342">
        <f>'REGIÃO 3'!H15</f>
        <v/>
      </c>
      <c r="I342">
        <f>'REGIÃO 3'!I15</f>
        <v/>
      </c>
      <c r="J342">
        <f>'REGIÃO 3'!J15</f>
        <v/>
      </c>
      <c r="K342" s="36">
        <f>'REGIÃO 3'!K15</f>
        <v/>
      </c>
      <c r="L342" t="inlineStr">
        <is>
          <t>REGIÃO 3</t>
        </is>
      </c>
    </row>
    <row r="343">
      <c r="A343">
        <f>'REGIÃO 3'!A16</f>
        <v/>
      </c>
      <c r="B343">
        <f>'REGIÃO 3'!B16</f>
        <v/>
      </c>
      <c r="C343">
        <f>'REGIÃO 3'!C16</f>
        <v/>
      </c>
      <c r="D343">
        <f>'REGIÃO 3'!D16</f>
        <v/>
      </c>
      <c r="E343">
        <f>'REGIÃO 3'!E16</f>
        <v/>
      </c>
      <c r="F343">
        <f>'REGIÃO 3'!F16</f>
        <v/>
      </c>
      <c r="G343">
        <f>'REGIÃO 3'!G16</f>
        <v/>
      </c>
      <c r="H343">
        <f>'REGIÃO 3'!H16</f>
        <v/>
      </c>
      <c r="I343">
        <f>'REGIÃO 3'!I16</f>
        <v/>
      </c>
      <c r="J343">
        <f>'REGIÃO 3'!J16</f>
        <v/>
      </c>
      <c r="K343" s="36">
        <f>'REGIÃO 3'!K16</f>
        <v/>
      </c>
      <c r="L343" t="inlineStr">
        <is>
          <t>REGIÃO 3</t>
        </is>
      </c>
    </row>
    <row r="344">
      <c r="A344">
        <f>'REGIÃO 3'!A17</f>
        <v/>
      </c>
      <c r="B344">
        <f>'REGIÃO 3'!B17</f>
        <v/>
      </c>
      <c r="C344">
        <f>'REGIÃO 3'!C17</f>
        <v/>
      </c>
      <c r="D344">
        <f>'REGIÃO 3'!D17</f>
        <v/>
      </c>
      <c r="E344">
        <f>'REGIÃO 3'!E17</f>
        <v/>
      </c>
      <c r="F344">
        <f>'REGIÃO 3'!F17</f>
        <v/>
      </c>
      <c r="G344">
        <f>'REGIÃO 3'!G17</f>
        <v/>
      </c>
      <c r="H344">
        <f>'REGIÃO 3'!H17</f>
        <v/>
      </c>
      <c r="I344">
        <f>'REGIÃO 3'!I17</f>
        <v/>
      </c>
      <c r="J344">
        <f>'REGIÃO 3'!J17</f>
        <v/>
      </c>
      <c r="K344" s="36">
        <f>'REGIÃO 3'!K17</f>
        <v/>
      </c>
      <c r="L344" t="inlineStr">
        <is>
          <t>REGIÃO 3</t>
        </is>
      </c>
    </row>
    <row r="345">
      <c r="A345">
        <f>'REGIÃO 3'!A18</f>
        <v/>
      </c>
      <c r="B345">
        <f>'REGIÃO 3'!B18</f>
        <v/>
      </c>
      <c r="C345">
        <f>'REGIÃO 3'!C18</f>
        <v/>
      </c>
      <c r="D345">
        <f>'REGIÃO 3'!D18</f>
        <v/>
      </c>
      <c r="E345">
        <f>'REGIÃO 3'!E18</f>
        <v/>
      </c>
      <c r="F345">
        <f>'REGIÃO 3'!F18</f>
        <v/>
      </c>
      <c r="G345">
        <f>'REGIÃO 3'!G18</f>
        <v/>
      </c>
      <c r="H345">
        <f>'REGIÃO 3'!H18</f>
        <v/>
      </c>
      <c r="I345">
        <f>'REGIÃO 3'!I18</f>
        <v/>
      </c>
      <c r="J345">
        <f>'REGIÃO 3'!J18</f>
        <v/>
      </c>
      <c r="K345" s="36">
        <f>'REGIÃO 3'!K18</f>
        <v/>
      </c>
      <c r="L345" t="inlineStr">
        <is>
          <t>REGIÃO 3</t>
        </is>
      </c>
    </row>
    <row r="346">
      <c r="A346">
        <f>'REGIÃO 3'!A19</f>
        <v/>
      </c>
      <c r="B346">
        <f>'REGIÃO 3'!B19</f>
        <v/>
      </c>
      <c r="C346">
        <f>'REGIÃO 3'!C19</f>
        <v/>
      </c>
      <c r="D346">
        <f>'REGIÃO 3'!D19</f>
        <v/>
      </c>
      <c r="E346">
        <f>'REGIÃO 3'!E19</f>
        <v/>
      </c>
      <c r="F346">
        <f>'REGIÃO 3'!F19</f>
        <v/>
      </c>
      <c r="G346">
        <f>'REGIÃO 3'!G19</f>
        <v/>
      </c>
      <c r="H346">
        <f>'REGIÃO 3'!H19</f>
        <v/>
      </c>
      <c r="I346">
        <f>'REGIÃO 3'!I19</f>
        <v/>
      </c>
      <c r="J346">
        <f>'REGIÃO 3'!J19</f>
        <v/>
      </c>
      <c r="K346" s="36">
        <f>'REGIÃO 3'!K19</f>
        <v/>
      </c>
      <c r="L346" t="inlineStr">
        <is>
          <t>REGIÃO 3</t>
        </is>
      </c>
    </row>
    <row r="347">
      <c r="A347">
        <f>'REGIÃO 3'!A20</f>
        <v/>
      </c>
      <c r="B347">
        <f>'REGIÃO 3'!B20</f>
        <v/>
      </c>
      <c r="C347">
        <f>'REGIÃO 3'!C20</f>
        <v/>
      </c>
      <c r="D347">
        <f>'REGIÃO 3'!D20</f>
        <v/>
      </c>
      <c r="E347">
        <f>'REGIÃO 3'!E20</f>
        <v/>
      </c>
      <c r="F347">
        <f>'REGIÃO 3'!F20</f>
        <v/>
      </c>
      <c r="G347">
        <f>'REGIÃO 3'!G20</f>
        <v/>
      </c>
      <c r="H347">
        <f>'REGIÃO 3'!H20</f>
        <v/>
      </c>
      <c r="I347">
        <f>'REGIÃO 3'!I20</f>
        <v/>
      </c>
      <c r="J347">
        <f>'REGIÃO 3'!J20</f>
        <v/>
      </c>
      <c r="K347" s="36">
        <f>'REGIÃO 3'!K20</f>
        <v/>
      </c>
      <c r="L347" t="inlineStr">
        <is>
          <t>REGIÃO 3</t>
        </is>
      </c>
    </row>
    <row r="348">
      <c r="A348">
        <f>'REGIÃO 3'!A21</f>
        <v/>
      </c>
      <c r="B348">
        <f>'REGIÃO 3'!B21</f>
        <v/>
      </c>
      <c r="C348">
        <f>'REGIÃO 3'!C21</f>
        <v/>
      </c>
      <c r="D348">
        <f>'REGIÃO 3'!D21</f>
        <v/>
      </c>
      <c r="E348">
        <f>'REGIÃO 3'!E21</f>
        <v/>
      </c>
      <c r="F348">
        <f>'REGIÃO 3'!F21</f>
        <v/>
      </c>
      <c r="G348">
        <f>'REGIÃO 3'!G21</f>
        <v/>
      </c>
      <c r="H348">
        <f>'REGIÃO 3'!H21</f>
        <v/>
      </c>
      <c r="I348">
        <f>'REGIÃO 3'!I21</f>
        <v/>
      </c>
      <c r="J348">
        <f>'REGIÃO 3'!J21</f>
        <v/>
      </c>
      <c r="K348" s="36">
        <f>'REGIÃO 3'!K21</f>
        <v/>
      </c>
      <c r="L348" t="inlineStr">
        <is>
          <t>REGIÃO 3</t>
        </is>
      </c>
    </row>
    <row r="349">
      <c r="A349">
        <f>'REGIÃO 3'!A22</f>
        <v/>
      </c>
      <c r="B349">
        <f>'REGIÃO 3'!B22</f>
        <v/>
      </c>
      <c r="C349">
        <f>'REGIÃO 3'!C22</f>
        <v/>
      </c>
      <c r="D349">
        <f>'REGIÃO 3'!D22</f>
        <v/>
      </c>
      <c r="E349">
        <f>'REGIÃO 3'!E22</f>
        <v/>
      </c>
      <c r="F349">
        <f>'REGIÃO 3'!F22</f>
        <v/>
      </c>
      <c r="G349">
        <f>'REGIÃO 3'!G22</f>
        <v/>
      </c>
      <c r="H349">
        <f>'REGIÃO 3'!H22</f>
        <v/>
      </c>
      <c r="I349">
        <f>'REGIÃO 3'!I22</f>
        <v/>
      </c>
      <c r="J349">
        <f>'REGIÃO 3'!J22</f>
        <v/>
      </c>
      <c r="K349" s="36">
        <f>'REGIÃO 3'!K22</f>
        <v/>
      </c>
      <c r="L349" t="inlineStr">
        <is>
          <t>REGIÃO 3</t>
        </is>
      </c>
    </row>
    <row r="350">
      <c r="A350">
        <f>'REGIÃO 3'!A23</f>
        <v/>
      </c>
      <c r="B350">
        <f>'REGIÃO 3'!B23</f>
        <v/>
      </c>
      <c r="C350">
        <f>'REGIÃO 3'!C23</f>
        <v/>
      </c>
      <c r="D350">
        <f>'REGIÃO 3'!D23</f>
        <v/>
      </c>
      <c r="E350">
        <f>'REGIÃO 3'!E23</f>
        <v/>
      </c>
      <c r="F350">
        <f>'REGIÃO 3'!F23</f>
        <v/>
      </c>
      <c r="G350">
        <f>'REGIÃO 3'!G23</f>
        <v/>
      </c>
      <c r="H350">
        <f>'REGIÃO 3'!H23</f>
        <v/>
      </c>
      <c r="I350">
        <f>'REGIÃO 3'!I23</f>
        <v/>
      </c>
      <c r="J350">
        <f>'REGIÃO 3'!J23</f>
        <v/>
      </c>
      <c r="K350" s="36">
        <f>'REGIÃO 3'!K23</f>
        <v/>
      </c>
      <c r="L350" t="inlineStr">
        <is>
          <t>REGIÃO 3</t>
        </is>
      </c>
    </row>
    <row r="351">
      <c r="A351">
        <f>'REGIÃO 3'!A24</f>
        <v/>
      </c>
      <c r="B351">
        <f>'REGIÃO 3'!B24</f>
        <v/>
      </c>
      <c r="C351">
        <f>'REGIÃO 3'!C24</f>
        <v/>
      </c>
      <c r="D351">
        <f>'REGIÃO 3'!D24</f>
        <v/>
      </c>
      <c r="E351">
        <f>'REGIÃO 3'!E24</f>
        <v/>
      </c>
      <c r="F351">
        <f>'REGIÃO 3'!F24</f>
        <v/>
      </c>
      <c r="G351">
        <f>'REGIÃO 3'!G24</f>
        <v/>
      </c>
      <c r="H351">
        <f>'REGIÃO 3'!H24</f>
        <v/>
      </c>
      <c r="I351">
        <f>'REGIÃO 3'!I24</f>
        <v/>
      </c>
      <c r="J351">
        <f>'REGIÃO 3'!J24</f>
        <v/>
      </c>
      <c r="K351" s="36">
        <f>'REGIÃO 3'!K24</f>
        <v/>
      </c>
      <c r="L351" t="inlineStr">
        <is>
          <t>REGIÃO 3</t>
        </is>
      </c>
    </row>
    <row r="352">
      <c r="A352">
        <f>'REGIÃO 3'!A25</f>
        <v/>
      </c>
      <c r="B352">
        <f>'REGIÃO 3'!B25</f>
        <v/>
      </c>
      <c r="C352">
        <f>'REGIÃO 3'!C25</f>
        <v/>
      </c>
      <c r="D352">
        <f>'REGIÃO 3'!D25</f>
        <v/>
      </c>
      <c r="E352">
        <f>'REGIÃO 3'!E25</f>
        <v/>
      </c>
      <c r="F352">
        <f>'REGIÃO 3'!F25</f>
        <v/>
      </c>
      <c r="G352">
        <f>'REGIÃO 3'!G25</f>
        <v/>
      </c>
      <c r="H352">
        <f>'REGIÃO 3'!H25</f>
        <v/>
      </c>
      <c r="I352">
        <f>'REGIÃO 3'!I25</f>
        <v/>
      </c>
      <c r="J352">
        <f>'REGIÃO 3'!J25</f>
        <v/>
      </c>
      <c r="K352" s="36">
        <f>'REGIÃO 3'!K25</f>
        <v/>
      </c>
      <c r="L352" t="inlineStr">
        <is>
          <t>REGIÃO 3</t>
        </is>
      </c>
    </row>
    <row r="353">
      <c r="A353">
        <f>'REGIÃO 3'!A26</f>
        <v/>
      </c>
      <c r="B353">
        <f>'REGIÃO 3'!B26</f>
        <v/>
      </c>
      <c r="C353">
        <f>'REGIÃO 3'!C26</f>
        <v/>
      </c>
      <c r="D353">
        <f>'REGIÃO 3'!D26</f>
        <v/>
      </c>
      <c r="E353">
        <f>'REGIÃO 3'!E26</f>
        <v/>
      </c>
      <c r="F353">
        <f>'REGIÃO 3'!F26</f>
        <v/>
      </c>
      <c r="G353">
        <f>'REGIÃO 3'!G26</f>
        <v/>
      </c>
      <c r="H353">
        <f>'REGIÃO 3'!H26</f>
        <v/>
      </c>
      <c r="I353">
        <f>'REGIÃO 3'!I26</f>
        <v/>
      </c>
      <c r="J353">
        <f>'REGIÃO 3'!J26</f>
        <v/>
      </c>
      <c r="K353" s="36">
        <f>'REGIÃO 3'!K26</f>
        <v/>
      </c>
      <c r="L353" t="inlineStr">
        <is>
          <t>REGIÃO 3</t>
        </is>
      </c>
    </row>
    <row r="354">
      <c r="A354">
        <f>'REGIÃO 3'!A27</f>
        <v/>
      </c>
      <c r="B354">
        <f>'REGIÃO 3'!B27</f>
        <v/>
      </c>
      <c r="C354">
        <f>'REGIÃO 3'!C27</f>
        <v/>
      </c>
      <c r="D354">
        <f>'REGIÃO 3'!D27</f>
        <v/>
      </c>
      <c r="E354">
        <f>'REGIÃO 3'!E27</f>
        <v/>
      </c>
      <c r="F354">
        <f>'REGIÃO 3'!F27</f>
        <v/>
      </c>
      <c r="G354">
        <f>'REGIÃO 3'!G27</f>
        <v/>
      </c>
      <c r="H354">
        <f>'REGIÃO 3'!H27</f>
        <v/>
      </c>
      <c r="I354">
        <f>'REGIÃO 3'!I27</f>
        <v/>
      </c>
      <c r="J354">
        <f>'REGIÃO 3'!J27</f>
        <v/>
      </c>
      <c r="K354" s="36">
        <f>'REGIÃO 3'!K27</f>
        <v/>
      </c>
      <c r="L354" t="inlineStr">
        <is>
          <t>REGIÃO 3</t>
        </is>
      </c>
    </row>
    <row r="355">
      <c r="A355">
        <f>'REGIÃO 3'!A28</f>
        <v/>
      </c>
      <c r="B355">
        <f>'REGIÃO 3'!B28</f>
        <v/>
      </c>
      <c r="C355">
        <f>'REGIÃO 3'!C28</f>
        <v/>
      </c>
      <c r="D355">
        <f>'REGIÃO 3'!D28</f>
        <v/>
      </c>
      <c r="E355">
        <f>'REGIÃO 3'!E28</f>
        <v/>
      </c>
      <c r="F355">
        <f>'REGIÃO 3'!F28</f>
        <v/>
      </c>
      <c r="G355">
        <f>'REGIÃO 3'!G28</f>
        <v/>
      </c>
      <c r="H355">
        <f>'REGIÃO 3'!H28</f>
        <v/>
      </c>
      <c r="I355">
        <f>'REGIÃO 3'!I28</f>
        <v/>
      </c>
      <c r="J355">
        <f>'REGIÃO 3'!J28</f>
        <v/>
      </c>
      <c r="K355" s="36">
        <f>'REGIÃO 3'!K28</f>
        <v/>
      </c>
      <c r="L355" t="inlineStr">
        <is>
          <t>REGIÃO 3</t>
        </is>
      </c>
    </row>
    <row r="356">
      <c r="A356">
        <f>'REGIÃO 3'!A29</f>
        <v/>
      </c>
      <c r="B356">
        <f>'REGIÃO 3'!B29</f>
        <v/>
      </c>
      <c r="C356">
        <f>'REGIÃO 3'!C29</f>
        <v/>
      </c>
      <c r="D356">
        <f>'REGIÃO 3'!D29</f>
        <v/>
      </c>
      <c r="E356">
        <f>'REGIÃO 3'!E29</f>
        <v/>
      </c>
      <c r="F356">
        <f>'REGIÃO 3'!F29</f>
        <v/>
      </c>
      <c r="G356">
        <f>'REGIÃO 3'!G29</f>
        <v/>
      </c>
      <c r="H356">
        <f>'REGIÃO 3'!H29</f>
        <v/>
      </c>
      <c r="I356">
        <f>'REGIÃO 3'!I29</f>
        <v/>
      </c>
      <c r="J356">
        <f>'REGIÃO 3'!J29</f>
        <v/>
      </c>
      <c r="K356" s="36">
        <f>'REGIÃO 3'!K29</f>
        <v/>
      </c>
      <c r="L356" t="inlineStr">
        <is>
          <t>REGIÃO 3</t>
        </is>
      </c>
    </row>
    <row r="357">
      <c r="A357">
        <f>'REGIÃO 3'!A30</f>
        <v/>
      </c>
      <c r="B357">
        <f>'REGIÃO 3'!B30</f>
        <v/>
      </c>
      <c r="C357">
        <f>'REGIÃO 3'!C30</f>
        <v/>
      </c>
      <c r="D357">
        <f>'REGIÃO 3'!D30</f>
        <v/>
      </c>
      <c r="E357">
        <f>'REGIÃO 3'!E30</f>
        <v/>
      </c>
      <c r="F357">
        <f>'REGIÃO 3'!F30</f>
        <v/>
      </c>
      <c r="G357">
        <f>'REGIÃO 3'!G30</f>
        <v/>
      </c>
      <c r="H357">
        <f>'REGIÃO 3'!H30</f>
        <v/>
      </c>
      <c r="I357">
        <f>'REGIÃO 3'!I30</f>
        <v/>
      </c>
      <c r="J357">
        <f>'REGIÃO 3'!J30</f>
        <v/>
      </c>
      <c r="K357" s="36">
        <f>'REGIÃO 3'!K30</f>
        <v/>
      </c>
      <c r="L357" t="inlineStr">
        <is>
          <t>REGIÃO 3</t>
        </is>
      </c>
    </row>
    <row r="358">
      <c r="A358">
        <f>'REGIÃO 3'!A31</f>
        <v/>
      </c>
      <c r="B358">
        <f>'REGIÃO 3'!B31</f>
        <v/>
      </c>
      <c r="C358">
        <f>'REGIÃO 3'!C31</f>
        <v/>
      </c>
      <c r="D358">
        <f>'REGIÃO 3'!D31</f>
        <v/>
      </c>
      <c r="E358">
        <f>'REGIÃO 3'!E31</f>
        <v/>
      </c>
      <c r="F358">
        <f>'REGIÃO 3'!F31</f>
        <v/>
      </c>
      <c r="G358">
        <f>'REGIÃO 3'!G31</f>
        <v/>
      </c>
      <c r="H358">
        <f>'REGIÃO 3'!H31</f>
        <v/>
      </c>
      <c r="I358">
        <f>'REGIÃO 3'!I31</f>
        <v/>
      </c>
      <c r="J358">
        <f>'REGIÃO 3'!J31</f>
        <v/>
      </c>
      <c r="K358" s="36">
        <f>'REGIÃO 3'!K31</f>
        <v/>
      </c>
      <c r="L358" t="inlineStr">
        <is>
          <t>REGIÃO 3</t>
        </is>
      </c>
    </row>
    <row r="359">
      <c r="A359">
        <f>'REGIÃO 3'!A32</f>
        <v/>
      </c>
      <c r="B359">
        <f>'REGIÃO 3'!B32</f>
        <v/>
      </c>
      <c r="C359">
        <f>'REGIÃO 3'!C32</f>
        <v/>
      </c>
      <c r="D359">
        <f>'REGIÃO 3'!D32</f>
        <v/>
      </c>
      <c r="E359">
        <f>'REGIÃO 3'!E32</f>
        <v/>
      </c>
      <c r="F359">
        <f>'REGIÃO 3'!F32</f>
        <v/>
      </c>
      <c r="G359">
        <f>'REGIÃO 3'!G32</f>
        <v/>
      </c>
      <c r="H359">
        <f>'REGIÃO 3'!H32</f>
        <v/>
      </c>
      <c r="I359">
        <f>'REGIÃO 3'!I32</f>
        <v/>
      </c>
      <c r="J359">
        <f>'REGIÃO 3'!J32</f>
        <v/>
      </c>
      <c r="K359" s="36">
        <f>'REGIÃO 3'!K32</f>
        <v/>
      </c>
      <c r="L359" t="inlineStr">
        <is>
          <t>REGIÃO 3</t>
        </is>
      </c>
    </row>
    <row r="360">
      <c r="A360">
        <f>'REGIÃO 3'!A33</f>
        <v/>
      </c>
      <c r="B360">
        <f>'REGIÃO 3'!B33</f>
        <v/>
      </c>
      <c r="C360">
        <f>'REGIÃO 3'!C33</f>
        <v/>
      </c>
      <c r="D360">
        <f>'REGIÃO 3'!D33</f>
        <v/>
      </c>
      <c r="E360">
        <f>'REGIÃO 3'!E33</f>
        <v/>
      </c>
      <c r="F360">
        <f>'REGIÃO 3'!F33</f>
        <v/>
      </c>
      <c r="G360">
        <f>'REGIÃO 3'!G33</f>
        <v/>
      </c>
      <c r="H360">
        <f>'REGIÃO 3'!H33</f>
        <v/>
      </c>
      <c r="I360">
        <f>'REGIÃO 3'!I33</f>
        <v/>
      </c>
      <c r="J360">
        <f>'REGIÃO 3'!J33</f>
        <v/>
      </c>
      <c r="K360" s="36">
        <f>'REGIÃO 3'!K33</f>
        <v/>
      </c>
      <c r="L360" t="inlineStr">
        <is>
          <t>REGIÃO 3</t>
        </is>
      </c>
    </row>
    <row r="361">
      <c r="A361">
        <f>'REGIÃO 3'!A34</f>
        <v/>
      </c>
      <c r="B361">
        <f>'REGIÃO 3'!B34</f>
        <v/>
      </c>
      <c r="C361">
        <f>'REGIÃO 3'!C34</f>
        <v/>
      </c>
      <c r="D361">
        <f>'REGIÃO 3'!D34</f>
        <v/>
      </c>
      <c r="E361">
        <f>'REGIÃO 3'!E34</f>
        <v/>
      </c>
      <c r="F361">
        <f>'REGIÃO 3'!F34</f>
        <v/>
      </c>
      <c r="G361">
        <f>'REGIÃO 3'!G34</f>
        <v/>
      </c>
      <c r="H361">
        <f>'REGIÃO 3'!H34</f>
        <v/>
      </c>
      <c r="I361">
        <f>'REGIÃO 3'!I34</f>
        <v/>
      </c>
      <c r="J361">
        <f>'REGIÃO 3'!J34</f>
        <v/>
      </c>
      <c r="K361" s="36">
        <f>'REGIÃO 3'!K34</f>
        <v/>
      </c>
      <c r="L361" t="inlineStr">
        <is>
          <t>REGIÃO 3</t>
        </is>
      </c>
    </row>
    <row r="362">
      <c r="A362">
        <f>'REGIÃO 3'!A35</f>
        <v/>
      </c>
      <c r="B362">
        <f>'REGIÃO 3'!B35</f>
        <v/>
      </c>
      <c r="C362">
        <f>'REGIÃO 3'!C35</f>
        <v/>
      </c>
      <c r="D362">
        <f>'REGIÃO 3'!D35</f>
        <v/>
      </c>
      <c r="E362">
        <f>'REGIÃO 3'!E35</f>
        <v/>
      </c>
      <c r="F362">
        <f>'REGIÃO 3'!F35</f>
        <v/>
      </c>
      <c r="G362">
        <f>'REGIÃO 3'!G35</f>
        <v/>
      </c>
      <c r="H362">
        <f>'REGIÃO 3'!H35</f>
        <v/>
      </c>
      <c r="I362">
        <f>'REGIÃO 3'!I35</f>
        <v/>
      </c>
      <c r="J362">
        <f>'REGIÃO 3'!J35</f>
        <v/>
      </c>
      <c r="K362" s="36">
        <f>'REGIÃO 3'!K35</f>
        <v/>
      </c>
      <c r="L362" t="inlineStr">
        <is>
          <t>REGIÃO 3</t>
        </is>
      </c>
    </row>
    <row r="363">
      <c r="A363">
        <f>'REGIÃO 3'!A36</f>
        <v/>
      </c>
      <c r="B363">
        <f>'REGIÃO 3'!B36</f>
        <v/>
      </c>
      <c r="C363">
        <f>'REGIÃO 3'!C36</f>
        <v/>
      </c>
      <c r="D363">
        <f>'REGIÃO 3'!D36</f>
        <v/>
      </c>
      <c r="E363">
        <f>'REGIÃO 3'!E36</f>
        <v/>
      </c>
      <c r="F363">
        <f>'REGIÃO 3'!F36</f>
        <v/>
      </c>
      <c r="G363">
        <f>'REGIÃO 3'!G36</f>
        <v/>
      </c>
      <c r="H363">
        <f>'REGIÃO 3'!H36</f>
        <v/>
      </c>
      <c r="I363">
        <f>'REGIÃO 3'!I36</f>
        <v/>
      </c>
      <c r="J363">
        <f>'REGIÃO 3'!J36</f>
        <v/>
      </c>
      <c r="K363" s="36">
        <f>'REGIÃO 3'!K36</f>
        <v/>
      </c>
      <c r="L363" t="inlineStr">
        <is>
          <t>REGIÃO 3</t>
        </is>
      </c>
    </row>
    <row r="364">
      <c r="A364">
        <f>'REGIÃO 3'!A37</f>
        <v/>
      </c>
      <c r="B364">
        <f>'REGIÃO 3'!B37</f>
        <v/>
      </c>
      <c r="C364">
        <f>'REGIÃO 3'!C37</f>
        <v/>
      </c>
      <c r="D364">
        <f>'REGIÃO 3'!D37</f>
        <v/>
      </c>
      <c r="E364">
        <f>'REGIÃO 3'!E37</f>
        <v/>
      </c>
      <c r="F364">
        <f>'REGIÃO 3'!F37</f>
        <v/>
      </c>
      <c r="G364">
        <f>'REGIÃO 3'!G37</f>
        <v/>
      </c>
      <c r="H364">
        <f>'REGIÃO 3'!H37</f>
        <v/>
      </c>
      <c r="I364">
        <f>'REGIÃO 3'!I37</f>
        <v/>
      </c>
      <c r="J364">
        <f>'REGIÃO 3'!J37</f>
        <v/>
      </c>
      <c r="K364" s="36">
        <f>'REGIÃO 3'!K37</f>
        <v/>
      </c>
      <c r="L364" t="inlineStr">
        <is>
          <t>REGIÃO 3</t>
        </is>
      </c>
    </row>
    <row r="365">
      <c r="A365">
        <f>'REGIÃO 3'!A38</f>
        <v/>
      </c>
      <c r="B365">
        <f>'REGIÃO 3'!B38</f>
        <v/>
      </c>
      <c r="C365">
        <f>'REGIÃO 3'!C38</f>
        <v/>
      </c>
      <c r="D365">
        <f>'REGIÃO 3'!D38</f>
        <v/>
      </c>
      <c r="E365">
        <f>'REGIÃO 3'!E38</f>
        <v/>
      </c>
      <c r="F365">
        <f>'REGIÃO 3'!F38</f>
        <v/>
      </c>
      <c r="G365">
        <f>'REGIÃO 3'!G38</f>
        <v/>
      </c>
      <c r="H365">
        <f>'REGIÃO 3'!H38</f>
        <v/>
      </c>
      <c r="I365">
        <f>'REGIÃO 3'!I38</f>
        <v/>
      </c>
      <c r="J365">
        <f>'REGIÃO 3'!J38</f>
        <v/>
      </c>
      <c r="K365" s="36">
        <f>'REGIÃO 3'!K38</f>
        <v/>
      </c>
      <c r="L365" t="inlineStr">
        <is>
          <t>REGIÃO 3</t>
        </is>
      </c>
    </row>
    <row r="366">
      <c r="A366">
        <f>'REGIÃO 3'!A39</f>
        <v/>
      </c>
      <c r="B366">
        <f>'REGIÃO 3'!B39</f>
        <v/>
      </c>
      <c r="C366">
        <f>'REGIÃO 3'!C39</f>
        <v/>
      </c>
      <c r="D366">
        <f>'REGIÃO 3'!D39</f>
        <v/>
      </c>
      <c r="E366">
        <f>'REGIÃO 3'!E39</f>
        <v/>
      </c>
      <c r="F366">
        <f>'REGIÃO 3'!F39</f>
        <v/>
      </c>
      <c r="G366">
        <f>'REGIÃO 3'!G39</f>
        <v/>
      </c>
      <c r="H366">
        <f>'REGIÃO 3'!H39</f>
        <v/>
      </c>
      <c r="I366">
        <f>'REGIÃO 3'!I39</f>
        <v/>
      </c>
      <c r="J366">
        <f>'REGIÃO 3'!J39</f>
        <v/>
      </c>
      <c r="K366" s="36">
        <f>'REGIÃO 3'!K39</f>
        <v/>
      </c>
      <c r="L366" t="inlineStr">
        <is>
          <t>REGIÃO 3</t>
        </is>
      </c>
    </row>
    <row r="367">
      <c r="A367">
        <f>'REGIÃO 3'!A40</f>
        <v/>
      </c>
      <c r="B367">
        <f>'REGIÃO 3'!B40</f>
        <v/>
      </c>
      <c r="C367">
        <f>'REGIÃO 3'!C40</f>
        <v/>
      </c>
      <c r="D367">
        <f>'REGIÃO 3'!D40</f>
        <v/>
      </c>
      <c r="E367">
        <f>'REGIÃO 3'!E40</f>
        <v/>
      </c>
      <c r="F367">
        <f>'REGIÃO 3'!F40</f>
        <v/>
      </c>
      <c r="G367">
        <f>'REGIÃO 3'!G40</f>
        <v/>
      </c>
      <c r="H367">
        <f>'REGIÃO 3'!H40</f>
        <v/>
      </c>
      <c r="I367">
        <f>'REGIÃO 3'!I40</f>
        <v/>
      </c>
      <c r="J367">
        <f>'REGIÃO 3'!J40</f>
        <v/>
      </c>
      <c r="K367" s="36">
        <f>'REGIÃO 3'!K40</f>
        <v/>
      </c>
      <c r="L367" t="inlineStr">
        <is>
          <t>REGIÃO 3</t>
        </is>
      </c>
    </row>
    <row r="368">
      <c r="A368">
        <f>'REGIÃO 3'!A41</f>
        <v/>
      </c>
      <c r="B368">
        <f>'REGIÃO 3'!B41</f>
        <v/>
      </c>
      <c r="C368">
        <f>'REGIÃO 3'!C41</f>
        <v/>
      </c>
      <c r="D368">
        <f>'REGIÃO 3'!D41</f>
        <v/>
      </c>
      <c r="E368">
        <f>'REGIÃO 3'!E41</f>
        <v/>
      </c>
      <c r="F368">
        <f>'REGIÃO 3'!F41</f>
        <v/>
      </c>
      <c r="G368">
        <f>'REGIÃO 3'!G41</f>
        <v/>
      </c>
      <c r="H368">
        <f>'REGIÃO 3'!H41</f>
        <v/>
      </c>
      <c r="I368">
        <f>'REGIÃO 3'!I41</f>
        <v/>
      </c>
      <c r="J368">
        <f>'REGIÃO 3'!J41</f>
        <v/>
      </c>
      <c r="K368" s="36">
        <f>'REGIÃO 3'!K41</f>
        <v/>
      </c>
      <c r="L368" t="inlineStr">
        <is>
          <t>REGIÃO 3</t>
        </is>
      </c>
    </row>
    <row r="369">
      <c r="A369">
        <f>'REGIÃO 3'!A42</f>
        <v/>
      </c>
      <c r="B369">
        <f>'REGIÃO 3'!B42</f>
        <v/>
      </c>
      <c r="C369">
        <f>'REGIÃO 3'!C42</f>
        <v/>
      </c>
      <c r="D369">
        <f>'REGIÃO 3'!D42</f>
        <v/>
      </c>
      <c r="E369">
        <f>'REGIÃO 3'!E42</f>
        <v/>
      </c>
      <c r="F369">
        <f>'REGIÃO 3'!F42</f>
        <v/>
      </c>
      <c r="G369">
        <f>'REGIÃO 3'!G42</f>
        <v/>
      </c>
      <c r="H369">
        <f>'REGIÃO 3'!H42</f>
        <v/>
      </c>
      <c r="I369">
        <f>'REGIÃO 3'!I42</f>
        <v/>
      </c>
      <c r="J369">
        <f>'REGIÃO 3'!J42</f>
        <v/>
      </c>
      <c r="K369" s="36">
        <f>'REGIÃO 3'!K42</f>
        <v/>
      </c>
      <c r="L369" t="inlineStr">
        <is>
          <t>REGIÃO 3</t>
        </is>
      </c>
    </row>
    <row r="370">
      <c r="A370">
        <f>'REGIÃO 3'!A43</f>
        <v/>
      </c>
      <c r="B370">
        <f>'REGIÃO 3'!B43</f>
        <v/>
      </c>
      <c r="C370">
        <f>'REGIÃO 3'!C43</f>
        <v/>
      </c>
      <c r="D370">
        <f>'REGIÃO 3'!D43</f>
        <v/>
      </c>
      <c r="E370">
        <f>'REGIÃO 3'!E43</f>
        <v/>
      </c>
      <c r="F370">
        <f>'REGIÃO 3'!F43</f>
        <v/>
      </c>
      <c r="G370">
        <f>'REGIÃO 3'!G43</f>
        <v/>
      </c>
      <c r="H370">
        <f>'REGIÃO 3'!H43</f>
        <v/>
      </c>
      <c r="I370">
        <f>'REGIÃO 3'!I43</f>
        <v/>
      </c>
      <c r="J370">
        <f>'REGIÃO 3'!J43</f>
        <v/>
      </c>
      <c r="K370" s="36">
        <f>'REGIÃO 3'!K43</f>
        <v/>
      </c>
      <c r="L370" t="inlineStr">
        <is>
          <t>REGIÃO 3</t>
        </is>
      </c>
    </row>
    <row r="371">
      <c r="A371">
        <f>'REGIÃO 3'!A44</f>
        <v/>
      </c>
      <c r="B371">
        <f>'REGIÃO 3'!B44</f>
        <v/>
      </c>
      <c r="C371">
        <f>'REGIÃO 3'!C44</f>
        <v/>
      </c>
      <c r="D371">
        <f>'REGIÃO 3'!D44</f>
        <v/>
      </c>
      <c r="E371">
        <f>'REGIÃO 3'!E44</f>
        <v/>
      </c>
      <c r="F371">
        <f>'REGIÃO 3'!F44</f>
        <v/>
      </c>
      <c r="G371">
        <f>'REGIÃO 3'!G44</f>
        <v/>
      </c>
      <c r="H371">
        <f>'REGIÃO 3'!H44</f>
        <v/>
      </c>
      <c r="I371">
        <f>'REGIÃO 3'!I44</f>
        <v/>
      </c>
      <c r="J371">
        <f>'REGIÃO 3'!J44</f>
        <v/>
      </c>
      <c r="K371" s="36">
        <f>'REGIÃO 3'!K44</f>
        <v/>
      </c>
      <c r="L371" t="inlineStr">
        <is>
          <t>REGIÃO 3</t>
        </is>
      </c>
    </row>
    <row r="372">
      <c r="A372">
        <f>'REGIÃO 3'!A45</f>
        <v/>
      </c>
      <c r="B372">
        <f>'REGIÃO 3'!B45</f>
        <v/>
      </c>
      <c r="C372">
        <f>'REGIÃO 3'!C45</f>
        <v/>
      </c>
      <c r="D372">
        <f>'REGIÃO 3'!D45</f>
        <v/>
      </c>
      <c r="E372">
        <f>'REGIÃO 3'!E45</f>
        <v/>
      </c>
      <c r="F372">
        <f>'REGIÃO 3'!F45</f>
        <v/>
      </c>
      <c r="G372">
        <f>'REGIÃO 3'!G45</f>
        <v/>
      </c>
      <c r="H372">
        <f>'REGIÃO 3'!H45</f>
        <v/>
      </c>
      <c r="I372">
        <f>'REGIÃO 3'!I45</f>
        <v/>
      </c>
      <c r="J372">
        <f>'REGIÃO 3'!J45</f>
        <v/>
      </c>
      <c r="K372" s="36">
        <f>'REGIÃO 3'!K45</f>
        <v/>
      </c>
      <c r="L372" t="inlineStr">
        <is>
          <t>REGIÃO 3</t>
        </is>
      </c>
    </row>
    <row r="373">
      <c r="A373">
        <f>'REGIÃO 3'!A46</f>
        <v/>
      </c>
      <c r="B373">
        <f>'REGIÃO 3'!B46</f>
        <v/>
      </c>
      <c r="C373">
        <f>'REGIÃO 3'!C46</f>
        <v/>
      </c>
      <c r="D373">
        <f>'REGIÃO 3'!D46</f>
        <v/>
      </c>
      <c r="E373">
        <f>'REGIÃO 3'!E46</f>
        <v/>
      </c>
      <c r="F373">
        <f>'REGIÃO 3'!F46</f>
        <v/>
      </c>
      <c r="G373">
        <f>'REGIÃO 3'!G46</f>
        <v/>
      </c>
      <c r="H373">
        <f>'REGIÃO 3'!H46</f>
        <v/>
      </c>
      <c r="I373">
        <f>'REGIÃO 3'!I46</f>
        <v/>
      </c>
      <c r="J373">
        <f>'REGIÃO 3'!J46</f>
        <v/>
      </c>
      <c r="K373" s="36">
        <f>'REGIÃO 3'!K46</f>
        <v/>
      </c>
      <c r="L373" t="inlineStr">
        <is>
          <t>REGIÃO 3</t>
        </is>
      </c>
    </row>
    <row r="374">
      <c r="A374">
        <f>'REGIÃO 3'!A47</f>
        <v/>
      </c>
      <c r="B374">
        <f>'REGIÃO 3'!B47</f>
        <v/>
      </c>
      <c r="C374">
        <f>'REGIÃO 3'!C47</f>
        <v/>
      </c>
      <c r="D374">
        <f>'REGIÃO 3'!D47</f>
        <v/>
      </c>
      <c r="E374">
        <f>'REGIÃO 3'!E47</f>
        <v/>
      </c>
      <c r="F374">
        <f>'REGIÃO 3'!F47</f>
        <v/>
      </c>
      <c r="G374">
        <f>'REGIÃO 3'!G47</f>
        <v/>
      </c>
      <c r="H374">
        <f>'REGIÃO 3'!H47</f>
        <v/>
      </c>
      <c r="I374">
        <f>'REGIÃO 3'!I47</f>
        <v/>
      </c>
      <c r="J374">
        <f>'REGIÃO 3'!J47</f>
        <v/>
      </c>
      <c r="K374" s="36">
        <f>'REGIÃO 3'!K47</f>
        <v/>
      </c>
      <c r="L374" t="inlineStr">
        <is>
          <t>REGIÃO 3</t>
        </is>
      </c>
    </row>
    <row r="375">
      <c r="A375">
        <f>'REGIÃO 3'!A48</f>
        <v/>
      </c>
      <c r="B375">
        <f>'REGIÃO 3'!B48</f>
        <v/>
      </c>
      <c r="C375">
        <f>'REGIÃO 3'!C48</f>
        <v/>
      </c>
      <c r="D375">
        <f>'REGIÃO 3'!D48</f>
        <v/>
      </c>
      <c r="E375">
        <f>'REGIÃO 3'!E48</f>
        <v/>
      </c>
      <c r="F375">
        <f>'REGIÃO 3'!F48</f>
        <v/>
      </c>
      <c r="G375">
        <f>'REGIÃO 3'!G48</f>
        <v/>
      </c>
      <c r="H375">
        <f>'REGIÃO 3'!H48</f>
        <v/>
      </c>
      <c r="I375">
        <f>'REGIÃO 3'!I48</f>
        <v/>
      </c>
      <c r="J375">
        <f>'REGIÃO 3'!J48</f>
        <v/>
      </c>
      <c r="K375" s="36">
        <f>'REGIÃO 3'!K48</f>
        <v/>
      </c>
      <c r="L375" t="inlineStr">
        <is>
          <t>REGIÃO 3</t>
        </is>
      </c>
    </row>
    <row r="376">
      <c r="A376">
        <f>'REGIÃO 3'!A49</f>
        <v/>
      </c>
      <c r="B376">
        <f>'REGIÃO 3'!B49</f>
        <v/>
      </c>
      <c r="C376">
        <f>'REGIÃO 3'!C49</f>
        <v/>
      </c>
      <c r="D376">
        <f>'REGIÃO 3'!D49</f>
        <v/>
      </c>
      <c r="E376">
        <f>'REGIÃO 3'!E49</f>
        <v/>
      </c>
      <c r="F376">
        <f>'REGIÃO 3'!F49</f>
        <v/>
      </c>
      <c r="G376">
        <f>'REGIÃO 3'!G49</f>
        <v/>
      </c>
      <c r="H376">
        <f>'REGIÃO 3'!H49</f>
        <v/>
      </c>
      <c r="I376">
        <f>'REGIÃO 3'!I49</f>
        <v/>
      </c>
      <c r="J376">
        <f>'REGIÃO 3'!J49</f>
        <v/>
      </c>
      <c r="K376" s="36">
        <f>'REGIÃO 3'!K49</f>
        <v/>
      </c>
      <c r="L376" t="inlineStr">
        <is>
          <t>REGIÃO 3</t>
        </is>
      </c>
    </row>
    <row r="377">
      <c r="A377">
        <f>'REGIÃO 3'!A50</f>
        <v/>
      </c>
      <c r="B377">
        <f>'REGIÃO 3'!B50</f>
        <v/>
      </c>
      <c r="C377">
        <f>'REGIÃO 3'!C50</f>
        <v/>
      </c>
      <c r="D377">
        <f>'REGIÃO 3'!D50</f>
        <v/>
      </c>
      <c r="E377">
        <f>'REGIÃO 3'!E50</f>
        <v/>
      </c>
      <c r="F377">
        <f>'REGIÃO 3'!F50</f>
        <v/>
      </c>
      <c r="G377">
        <f>'REGIÃO 3'!G50</f>
        <v/>
      </c>
      <c r="H377">
        <f>'REGIÃO 3'!H50</f>
        <v/>
      </c>
      <c r="I377">
        <f>'REGIÃO 3'!I50</f>
        <v/>
      </c>
      <c r="J377">
        <f>'REGIÃO 3'!J50</f>
        <v/>
      </c>
      <c r="K377" s="36">
        <f>'REGIÃO 3'!K50</f>
        <v/>
      </c>
      <c r="L377" t="inlineStr">
        <is>
          <t>REGIÃO 3</t>
        </is>
      </c>
    </row>
    <row r="378">
      <c r="A378">
        <f>'REGIÃO 3'!A51</f>
        <v/>
      </c>
      <c r="B378">
        <f>'REGIÃO 3'!B51</f>
        <v/>
      </c>
      <c r="C378">
        <f>'REGIÃO 3'!C51</f>
        <v/>
      </c>
      <c r="D378">
        <f>'REGIÃO 3'!D51</f>
        <v/>
      </c>
      <c r="E378">
        <f>'REGIÃO 3'!E51</f>
        <v/>
      </c>
      <c r="F378">
        <f>'REGIÃO 3'!F51</f>
        <v/>
      </c>
      <c r="G378">
        <f>'REGIÃO 3'!G51</f>
        <v/>
      </c>
      <c r="H378">
        <f>'REGIÃO 3'!H51</f>
        <v/>
      </c>
      <c r="I378">
        <f>'REGIÃO 3'!I51</f>
        <v/>
      </c>
      <c r="J378">
        <f>'REGIÃO 3'!J51</f>
        <v/>
      </c>
      <c r="K378" s="36">
        <f>'REGIÃO 3'!K51</f>
        <v/>
      </c>
      <c r="L378" t="inlineStr">
        <is>
          <t>REGIÃO 3</t>
        </is>
      </c>
    </row>
    <row r="379">
      <c r="A379">
        <f>'REGIÃO 3'!A52</f>
        <v/>
      </c>
      <c r="B379">
        <f>'REGIÃO 3'!B52</f>
        <v/>
      </c>
      <c r="C379">
        <f>'REGIÃO 3'!C52</f>
        <v/>
      </c>
      <c r="D379">
        <f>'REGIÃO 3'!D52</f>
        <v/>
      </c>
      <c r="E379">
        <f>'REGIÃO 3'!E52</f>
        <v/>
      </c>
      <c r="F379">
        <f>'REGIÃO 3'!F52</f>
        <v/>
      </c>
      <c r="G379">
        <f>'REGIÃO 3'!G52</f>
        <v/>
      </c>
      <c r="H379">
        <f>'REGIÃO 3'!H52</f>
        <v/>
      </c>
      <c r="I379">
        <f>'REGIÃO 3'!I52</f>
        <v/>
      </c>
      <c r="J379">
        <f>'REGIÃO 3'!J52</f>
        <v/>
      </c>
      <c r="K379" s="36">
        <f>'REGIÃO 3'!K52</f>
        <v/>
      </c>
      <c r="L379" t="inlineStr">
        <is>
          <t>REGIÃO 3</t>
        </is>
      </c>
    </row>
    <row r="380">
      <c r="A380">
        <f>'REGIÃO 3'!A53</f>
        <v/>
      </c>
      <c r="B380">
        <f>'REGIÃO 3'!B53</f>
        <v/>
      </c>
      <c r="C380">
        <f>'REGIÃO 3'!C53</f>
        <v/>
      </c>
      <c r="D380">
        <f>'REGIÃO 3'!D53</f>
        <v/>
      </c>
      <c r="E380">
        <f>'REGIÃO 3'!E53</f>
        <v/>
      </c>
      <c r="F380">
        <f>'REGIÃO 3'!F53</f>
        <v/>
      </c>
      <c r="G380">
        <f>'REGIÃO 3'!G53</f>
        <v/>
      </c>
      <c r="H380">
        <f>'REGIÃO 3'!H53</f>
        <v/>
      </c>
      <c r="I380">
        <f>'REGIÃO 3'!I53</f>
        <v/>
      </c>
      <c r="J380">
        <f>'REGIÃO 3'!J53</f>
        <v/>
      </c>
      <c r="K380" s="36">
        <f>'REGIÃO 3'!K53</f>
        <v/>
      </c>
      <c r="L380" t="inlineStr">
        <is>
          <t>REGIÃO 3</t>
        </is>
      </c>
    </row>
    <row r="381">
      <c r="A381">
        <f>'REGIÃO 3'!A54</f>
        <v/>
      </c>
      <c r="B381">
        <f>'REGIÃO 3'!B54</f>
        <v/>
      </c>
      <c r="C381">
        <f>'REGIÃO 3'!C54</f>
        <v/>
      </c>
      <c r="D381">
        <f>'REGIÃO 3'!D54</f>
        <v/>
      </c>
      <c r="E381">
        <f>'REGIÃO 3'!E54</f>
        <v/>
      </c>
      <c r="F381">
        <f>'REGIÃO 3'!F54</f>
        <v/>
      </c>
      <c r="G381">
        <f>'REGIÃO 3'!G54</f>
        <v/>
      </c>
      <c r="H381">
        <f>'REGIÃO 3'!H54</f>
        <v/>
      </c>
      <c r="I381">
        <f>'REGIÃO 3'!I54</f>
        <v/>
      </c>
      <c r="J381">
        <f>'REGIÃO 3'!J54</f>
        <v/>
      </c>
      <c r="K381" s="36">
        <f>'REGIÃO 3'!K54</f>
        <v/>
      </c>
      <c r="L381" t="inlineStr">
        <is>
          <t>REGIÃO 3</t>
        </is>
      </c>
    </row>
    <row r="382">
      <c r="A382">
        <f>'REGIÃO 3'!A55</f>
        <v/>
      </c>
      <c r="B382">
        <f>'REGIÃO 3'!B55</f>
        <v/>
      </c>
      <c r="C382">
        <f>'REGIÃO 3'!C55</f>
        <v/>
      </c>
      <c r="D382">
        <f>'REGIÃO 3'!D55</f>
        <v/>
      </c>
      <c r="E382">
        <f>'REGIÃO 3'!E55</f>
        <v/>
      </c>
      <c r="F382">
        <f>'REGIÃO 3'!F55</f>
        <v/>
      </c>
      <c r="G382">
        <f>'REGIÃO 3'!G55</f>
        <v/>
      </c>
      <c r="H382">
        <f>'REGIÃO 3'!H55</f>
        <v/>
      </c>
      <c r="I382">
        <f>'REGIÃO 3'!I55</f>
        <v/>
      </c>
      <c r="J382">
        <f>'REGIÃO 3'!J55</f>
        <v/>
      </c>
      <c r="K382" s="36">
        <f>'REGIÃO 3'!K55</f>
        <v/>
      </c>
      <c r="L382" t="inlineStr">
        <is>
          <t>REGIÃO 3</t>
        </is>
      </c>
    </row>
    <row r="383">
      <c r="A383">
        <f>'REGIÃO 3'!A56</f>
        <v/>
      </c>
      <c r="B383">
        <f>'REGIÃO 3'!B56</f>
        <v/>
      </c>
      <c r="C383">
        <f>'REGIÃO 3'!C56</f>
        <v/>
      </c>
      <c r="D383">
        <f>'REGIÃO 3'!D56</f>
        <v/>
      </c>
      <c r="E383">
        <f>'REGIÃO 3'!E56</f>
        <v/>
      </c>
      <c r="F383">
        <f>'REGIÃO 3'!F56</f>
        <v/>
      </c>
      <c r="G383">
        <f>'REGIÃO 3'!G56</f>
        <v/>
      </c>
      <c r="H383">
        <f>'REGIÃO 3'!H56</f>
        <v/>
      </c>
      <c r="I383">
        <f>'REGIÃO 3'!I56</f>
        <v/>
      </c>
      <c r="J383">
        <f>'REGIÃO 3'!J56</f>
        <v/>
      </c>
      <c r="K383" s="36">
        <f>'REGIÃO 3'!K56</f>
        <v/>
      </c>
      <c r="L383" t="inlineStr">
        <is>
          <t>REGIÃO 3</t>
        </is>
      </c>
    </row>
    <row r="384">
      <c r="A384">
        <f>'REGIÃO 3'!A57</f>
        <v/>
      </c>
      <c r="B384">
        <f>'REGIÃO 3'!B57</f>
        <v/>
      </c>
      <c r="C384">
        <f>'REGIÃO 3'!C57</f>
        <v/>
      </c>
      <c r="D384">
        <f>'REGIÃO 3'!D57</f>
        <v/>
      </c>
      <c r="E384">
        <f>'REGIÃO 3'!E57</f>
        <v/>
      </c>
      <c r="F384">
        <f>'REGIÃO 3'!F57</f>
        <v/>
      </c>
      <c r="G384">
        <f>'REGIÃO 3'!G57</f>
        <v/>
      </c>
      <c r="H384">
        <f>'REGIÃO 3'!H57</f>
        <v/>
      </c>
      <c r="I384">
        <f>'REGIÃO 3'!I57</f>
        <v/>
      </c>
      <c r="J384">
        <f>'REGIÃO 3'!J57</f>
        <v/>
      </c>
      <c r="K384" s="36">
        <f>'REGIÃO 3'!K57</f>
        <v/>
      </c>
      <c r="L384" t="inlineStr">
        <is>
          <t>REGIÃO 3</t>
        </is>
      </c>
    </row>
    <row r="385">
      <c r="A385">
        <f>'REGIÃO 3'!A58</f>
        <v/>
      </c>
      <c r="B385">
        <f>'REGIÃO 3'!B58</f>
        <v/>
      </c>
      <c r="C385">
        <f>'REGIÃO 3'!C58</f>
        <v/>
      </c>
      <c r="D385">
        <f>'REGIÃO 3'!D58</f>
        <v/>
      </c>
      <c r="E385">
        <f>'REGIÃO 3'!E58</f>
        <v/>
      </c>
      <c r="F385">
        <f>'REGIÃO 3'!F58</f>
        <v/>
      </c>
      <c r="G385">
        <f>'REGIÃO 3'!G58</f>
        <v/>
      </c>
      <c r="H385">
        <f>'REGIÃO 3'!H58</f>
        <v/>
      </c>
      <c r="I385">
        <f>'REGIÃO 3'!I58</f>
        <v/>
      </c>
      <c r="J385">
        <f>'REGIÃO 3'!J58</f>
        <v/>
      </c>
      <c r="K385" s="36">
        <f>'REGIÃO 3'!K58</f>
        <v/>
      </c>
      <c r="L385" t="inlineStr">
        <is>
          <t>REGIÃO 3</t>
        </is>
      </c>
    </row>
    <row r="386">
      <c r="A386">
        <f>'REGIÃO 3'!A59</f>
        <v/>
      </c>
      <c r="B386">
        <f>'REGIÃO 3'!B59</f>
        <v/>
      </c>
      <c r="C386">
        <f>'REGIÃO 3'!C59</f>
        <v/>
      </c>
      <c r="D386">
        <f>'REGIÃO 3'!D59</f>
        <v/>
      </c>
      <c r="E386">
        <f>'REGIÃO 3'!E59</f>
        <v/>
      </c>
      <c r="F386">
        <f>'REGIÃO 3'!F59</f>
        <v/>
      </c>
      <c r="G386">
        <f>'REGIÃO 3'!G59</f>
        <v/>
      </c>
      <c r="H386">
        <f>'REGIÃO 3'!H59</f>
        <v/>
      </c>
      <c r="I386">
        <f>'REGIÃO 3'!I59</f>
        <v/>
      </c>
      <c r="J386">
        <f>'REGIÃO 3'!J59</f>
        <v/>
      </c>
      <c r="K386" s="36">
        <f>'REGIÃO 3'!K59</f>
        <v/>
      </c>
      <c r="L386" t="inlineStr">
        <is>
          <t>REGIÃO 3</t>
        </is>
      </c>
    </row>
    <row r="387">
      <c r="A387">
        <f>'REGIÃO 3'!A60</f>
        <v/>
      </c>
      <c r="B387">
        <f>'REGIÃO 3'!B60</f>
        <v/>
      </c>
      <c r="C387">
        <f>'REGIÃO 3'!C60</f>
        <v/>
      </c>
      <c r="D387">
        <f>'REGIÃO 3'!D60</f>
        <v/>
      </c>
      <c r="E387">
        <f>'REGIÃO 3'!E60</f>
        <v/>
      </c>
      <c r="F387">
        <f>'REGIÃO 3'!F60</f>
        <v/>
      </c>
      <c r="G387">
        <f>'REGIÃO 3'!G60</f>
        <v/>
      </c>
      <c r="H387">
        <f>'REGIÃO 3'!H60</f>
        <v/>
      </c>
      <c r="I387">
        <f>'REGIÃO 3'!I60</f>
        <v/>
      </c>
      <c r="J387">
        <f>'REGIÃO 3'!J60</f>
        <v/>
      </c>
      <c r="K387" s="36">
        <f>'REGIÃO 3'!K60</f>
        <v/>
      </c>
      <c r="L387" t="inlineStr">
        <is>
          <t>REGIÃO 3</t>
        </is>
      </c>
    </row>
    <row r="388">
      <c r="A388">
        <f>'REGIÃO 3'!A61</f>
        <v/>
      </c>
      <c r="B388">
        <f>'REGIÃO 3'!B61</f>
        <v/>
      </c>
      <c r="C388">
        <f>'REGIÃO 3'!C61</f>
        <v/>
      </c>
      <c r="D388">
        <f>'REGIÃO 3'!D61</f>
        <v/>
      </c>
      <c r="E388">
        <f>'REGIÃO 3'!E61</f>
        <v/>
      </c>
      <c r="F388">
        <f>'REGIÃO 3'!F61</f>
        <v/>
      </c>
      <c r="G388">
        <f>'REGIÃO 3'!G61</f>
        <v/>
      </c>
      <c r="H388">
        <f>'REGIÃO 3'!H61</f>
        <v/>
      </c>
      <c r="I388">
        <f>'REGIÃO 3'!I61</f>
        <v/>
      </c>
      <c r="J388">
        <f>'REGIÃO 3'!J61</f>
        <v/>
      </c>
      <c r="K388" s="36">
        <f>'REGIÃO 3'!K61</f>
        <v/>
      </c>
      <c r="L388" t="inlineStr">
        <is>
          <t>REGIÃO 3</t>
        </is>
      </c>
    </row>
    <row r="389">
      <c r="A389">
        <f>'REGIÃO 3'!A62</f>
        <v/>
      </c>
      <c r="B389">
        <f>'REGIÃO 3'!B62</f>
        <v/>
      </c>
      <c r="C389">
        <f>'REGIÃO 3'!C62</f>
        <v/>
      </c>
      <c r="D389">
        <f>'REGIÃO 3'!D62</f>
        <v/>
      </c>
      <c r="E389">
        <f>'REGIÃO 3'!E62</f>
        <v/>
      </c>
      <c r="F389">
        <f>'REGIÃO 3'!F62</f>
        <v/>
      </c>
      <c r="G389">
        <f>'REGIÃO 3'!G62</f>
        <v/>
      </c>
      <c r="H389">
        <f>'REGIÃO 3'!H62</f>
        <v/>
      </c>
      <c r="I389">
        <f>'REGIÃO 3'!I62</f>
        <v/>
      </c>
      <c r="J389">
        <f>'REGIÃO 3'!J62</f>
        <v/>
      </c>
      <c r="K389" s="36">
        <f>'REGIÃO 3'!K62</f>
        <v/>
      </c>
      <c r="L389" t="inlineStr">
        <is>
          <t>REGIÃO 3</t>
        </is>
      </c>
    </row>
    <row r="390">
      <c r="A390">
        <f>'REGIÃO 3'!A63</f>
        <v/>
      </c>
      <c r="B390">
        <f>'REGIÃO 3'!B63</f>
        <v/>
      </c>
      <c r="C390">
        <f>'REGIÃO 3'!C63</f>
        <v/>
      </c>
      <c r="D390">
        <f>'REGIÃO 3'!D63</f>
        <v/>
      </c>
      <c r="E390">
        <f>'REGIÃO 3'!E63</f>
        <v/>
      </c>
      <c r="F390">
        <f>'REGIÃO 3'!F63</f>
        <v/>
      </c>
      <c r="G390">
        <f>'REGIÃO 3'!G63</f>
        <v/>
      </c>
      <c r="H390">
        <f>'REGIÃO 3'!H63</f>
        <v/>
      </c>
      <c r="I390">
        <f>'REGIÃO 3'!I63</f>
        <v/>
      </c>
      <c r="J390">
        <f>'REGIÃO 3'!J63</f>
        <v/>
      </c>
      <c r="K390" s="36">
        <f>'REGIÃO 3'!K63</f>
        <v/>
      </c>
      <c r="L390" t="inlineStr">
        <is>
          <t>REGIÃO 3</t>
        </is>
      </c>
    </row>
    <row r="391">
      <c r="A391">
        <f>'REGIÃO 3'!A64</f>
        <v/>
      </c>
      <c r="B391">
        <f>'REGIÃO 3'!B64</f>
        <v/>
      </c>
      <c r="C391">
        <f>'REGIÃO 3'!C64</f>
        <v/>
      </c>
      <c r="D391">
        <f>'REGIÃO 3'!D64</f>
        <v/>
      </c>
      <c r="E391">
        <f>'REGIÃO 3'!E64</f>
        <v/>
      </c>
      <c r="F391">
        <f>'REGIÃO 3'!F64</f>
        <v/>
      </c>
      <c r="G391">
        <f>'REGIÃO 3'!G64</f>
        <v/>
      </c>
      <c r="H391">
        <f>'REGIÃO 3'!H64</f>
        <v/>
      </c>
      <c r="I391">
        <f>'REGIÃO 3'!I64</f>
        <v/>
      </c>
      <c r="J391">
        <f>'REGIÃO 3'!J64</f>
        <v/>
      </c>
      <c r="K391" s="36">
        <f>'REGIÃO 3'!K64</f>
        <v/>
      </c>
      <c r="L391" t="inlineStr">
        <is>
          <t>REGIÃO 3</t>
        </is>
      </c>
    </row>
    <row r="392">
      <c r="A392">
        <f>'REGIÃO 3'!A65</f>
        <v/>
      </c>
      <c r="B392">
        <f>'REGIÃO 3'!B65</f>
        <v/>
      </c>
      <c r="C392">
        <f>'REGIÃO 3'!C65</f>
        <v/>
      </c>
      <c r="D392">
        <f>'REGIÃO 3'!D65</f>
        <v/>
      </c>
      <c r="E392">
        <f>'REGIÃO 3'!E65</f>
        <v/>
      </c>
      <c r="F392">
        <f>'REGIÃO 3'!F65</f>
        <v/>
      </c>
      <c r="G392">
        <f>'REGIÃO 3'!G65</f>
        <v/>
      </c>
      <c r="H392">
        <f>'REGIÃO 3'!H65</f>
        <v/>
      </c>
      <c r="I392">
        <f>'REGIÃO 3'!I65</f>
        <v/>
      </c>
      <c r="J392">
        <f>'REGIÃO 3'!J65</f>
        <v/>
      </c>
      <c r="K392" s="36">
        <f>'REGIÃO 3'!K65</f>
        <v/>
      </c>
      <c r="L392" t="inlineStr">
        <is>
          <t>REGIÃO 3</t>
        </is>
      </c>
    </row>
    <row r="393">
      <c r="A393">
        <f>'REGIÃO 3'!A66</f>
        <v/>
      </c>
      <c r="B393">
        <f>'REGIÃO 3'!B66</f>
        <v/>
      </c>
      <c r="C393">
        <f>'REGIÃO 3'!C66</f>
        <v/>
      </c>
      <c r="D393">
        <f>'REGIÃO 3'!D66</f>
        <v/>
      </c>
      <c r="E393">
        <f>'REGIÃO 3'!E66</f>
        <v/>
      </c>
      <c r="F393">
        <f>'REGIÃO 3'!F66</f>
        <v/>
      </c>
      <c r="G393">
        <f>'REGIÃO 3'!G66</f>
        <v/>
      </c>
      <c r="H393">
        <f>'REGIÃO 3'!H66</f>
        <v/>
      </c>
      <c r="I393">
        <f>'REGIÃO 3'!I66</f>
        <v/>
      </c>
      <c r="J393">
        <f>'REGIÃO 3'!J66</f>
        <v/>
      </c>
      <c r="K393" s="36">
        <f>'REGIÃO 3'!K66</f>
        <v/>
      </c>
      <c r="L393" t="inlineStr">
        <is>
          <t>REGIÃO 3</t>
        </is>
      </c>
    </row>
    <row r="394">
      <c r="A394">
        <f>'REGIÃO 3'!A67</f>
        <v/>
      </c>
      <c r="B394">
        <f>'REGIÃO 3'!B67</f>
        <v/>
      </c>
      <c r="C394">
        <f>'REGIÃO 3'!C67</f>
        <v/>
      </c>
      <c r="D394">
        <f>'REGIÃO 3'!D67</f>
        <v/>
      </c>
      <c r="E394">
        <f>'REGIÃO 3'!E67</f>
        <v/>
      </c>
      <c r="F394">
        <f>'REGIÃO 3'!F67</f>
        <v/>
      </c>
      <c r="G394">
        <f>'REGIÃO 3'!G67</f>
        <v/>
      </c>
      <c r="H394">
        <f>'REGIÃO 3'!H67</f>
        <v/>
      </c>
      <c r="I394">
        <f>'REGIÃO 3'!I67</f>
        <v/>
      </c>
      <c r="J394">
        <f>'REGIÃO 3'!J67</f>
        <v/>
      </c>
      <c r="K394" s="36">
        <f>'REGIÃO 3'!K67</f>
        <v/>
      </c>
      <c r="L394" t="inlineStr">
        <is>
          <t>REGIÃO 3</t>
        </is>
      </c>
    </row>
    <row r="395">
      <c r="A395">
        <f>'REGIÃO 3'!A68</f>
        <v/>
      </c>
      <c r="B395">
        <f>'REGIÃO 3'!B68</f>
        <v/>
      </c>
      <c r="C395">
        <f>'REGIÃO 3'!C68</f>
        <v/>
      </c>
      <c r="D395">
        <f>'REGIÃO 3'!D68</f>
        <v/>
      </c>
      <c r="E395">
        <f>'REGIÃO 3'!E68</f>
        <v/>
      </c>
      <c r="F395">
        <f>'REGIÃO 3'!F68</f>
        <v/>
      </c>
      <c r="G395">
        <f>'REGIÃO 3'!G68</f>
        <v/>
      </c>
      <c r="H395">
        <f>'REGIÃO 3'!H68</f>
        <v/>
      </c>
      <c r="I395">
        <f>'REGIÃO 3'!I68</f>
        <v/>
      </c>
      <c r="J395">
        <f>'REGIÃO 3'!J68</f>
        <v/>
      </c>
      <c r="K395" s="36">
        <f>'REGIÃO 3'!K68</f>
        <v/>
      </c>
      <c r="L395" t="inlineStr">
        <is>
          <t>REGIÃO 3</t>
        </is>
      </c>
    </row>
    <row r="396">
      <c r="A396">
        <f>'REGIÃO 3'!A69</f>
        <v/>
      </c>
      <c r="B396">
        <f>'REGIÃO 3'!B69</f>
        <v/>
      </c>
      <c r="C396">
        <f>'REGIÃO 3'!C69</f>
        <v/>
      </c>
      <c r="D396">
        <f>'REGIÃO 3'!D69</f>
        <v/>
      </c>
      <c r="E396">
        <f>'REGIÃO 3'!E69</f>
        <v/>
      </c>
      <c r="F396">
        <f>'REGIÃO 3'!F69</f>
        <v/>
      </c>
      <c r="G396">
        <f>'REGIÃO 3'!G69</f>
        <v/>
      </c>
      <c r="H396">
        <f>'REGIÃO 3'!H69</f>
        <v/>
      </c>
      <c r="I396">
        <f>'REGIÃO 3'!I69</f>
        <v/>
      </c>
      <c r="J396">
        <f>'REGIÃO 3'!J69</f>
        <v/>
      </c>
      <c r="K396" s="36">
        <f>'REGIÃO 3'!K69</f>
        <v/>
      </c>
      <c r="L396" t="inlineStr">
        <is>
          <t>REGIÃO 3</t>
        </is>
      </c>
    </row>
    <row r="397">
      <c r="A397">
        <f>'REGIÃO 3'!A70</f>
        <v/>
      </c>
      <c r="B397">
        <f>'REGIÃO 3'!B70</f>
        <v/>
      </c>
      <c r="C397">
        <f>'REGIÃO 3'!C70</f>
        <v/>
      </c>
      <c r="D397">
        <f>'REGIÃO 3'!D70</f>
        <v/>
      </c>
      <c r="E397">
        <f>'REGIÃO 3'!E70</f>
        <v/>
      </c>
      <c r="F397">
        <f>'REGIÃO 3'!F70</f>
        <v/>
      </c>
      <c r="G397">
        <f>'REGIÃO 3'!G70</f>
        <v/>
      </c>
      <c r="H397">
        <f>'REGIÃO 3'!H70</f>
        <v/>
      </c>
      <c r="I397">
        <f>'REGIÃO 3'!I70</f>
        <v/>
      </c>
      <c r="J397">
        <f>'REGIÃO 3'!J70</f>
        <v/>
      </c>
      <c r="K397" s="36">
        <f>'REGIÃO 3'!K70</f>
        <v/>
      </c>
      <c r="L397" t="inlineStr">
        <is>
          <t>REGIÃO 3</t>
        </is>
      </c>
    </row>
    <row r="398">
      <c r="A398">
        <f>'REGIÃO 3'!A71</f>
        <v/>
      </c>
      <c r="B398">
        <f>'REGIÃO 3'!B71</f>
        <v/>
      </c>
      <c r="C398">
        <f>'REGIÃO 3'!C71</f>
        <v/>
      </c>
      <c r="D398">
        <f>'REGIÃO 3'!D71</f>
        <v/>
      </c>
      <c r="E398">
        <f>'REGIÃO 3'!E71</f>
        <v/>
      </c>
      <c r="F398">
        <f>'REGIÃO 3'!F71</f>
        <v/>
      </c>
      <c r="G398">
        <f>'REGIÃO 3'!G71</f>
        <v/>
      </c>
      <c r="H398">
        <f>'REGIÃO 3'!H71</f>
        <v/>
      </c>
      <c r="I398">
        <f>'REGIÃO 3'!I71</f>
        <v/>
      </c>
      <c r="J398">
        <f>'REGIÃO 3'!J71</f>
        <v/>
      </c>
      <c r="K398" s="36">
        <f>'REGIÃO 3'!K71</f>
        <v/>
      </c>
      <c r="L398" t="inlineStr">
        <is>
          <t>REGIÃO 3</t>
        </is>
      </c>
    </row>
    <row r="399">
      <c r="A399">
        <f>'REGIÃO 3'!A72</f>
        <v/>
      </c>
      <c r="B399">
        <f>'REGIÃO 3'!B72</f>
        <v/>
      </c>
      <c r="C399">
        <f>'REGIÃO 3'!C72</f>
        <v/>
      </c>
      <c r="D399">
        <f>'REGIÃO 3'!D72</f>
        <v/>
      </c>
      <c r="E399">
        <f>'REGIÃO 3'!E72</f>
        <v/>
      </c>
      <c r="F399">
        <f>'REGIÃO 3'!F72</f>
        <v/>
      </c>
      <c r="G399">
        <f>'REGIÃO 3'!G72</f>
        <v/>
      </c>
      <c r="H399">
        <f>'REGIÃO 3'!H72</f>
        <v/>
      </c>
      <c r="I399">
        <f>'REGIÃO 3'!I72</f>
        <v/>
      </c>
      <c r="J399">
        <f>'REGIÃO 3'!J72</f>
        <v/>
      </c>
      <c r="K399" s="36">
        <f>'REGIÃO 3'!K72</f>
        <v/>
      </c>
      <c r="L399" t="inlineStr">
        <is>
          <t>REGIÃO 3</t>
        </is>
      </c>
    </row>
    <row r="400">
      <c r="A400">
        <f>'REGIÃO 3'!A73</f>
        <v/>
      </c>
      <c r="B400">
        <f>'REGIÃO 3'!B73</f>
        <v/>
      </c>
      <c r="C400">
        <f>'REGIÃO 3'!C73</f>
        <v/>
      </c>
      <c r="D400">
        <f>'REGIÃO 3'!D73</f>
        <v/>
      </c>
      <c r="E400">
        <f>'REGIÃO 3'!E73</f>
        <v/>
      </c>
      <c r="F400">
        <f>'REGIÃO 3'!F73</f>
        <v/>
      </c>
      <c r="G400">
        <f>'REGIÃO 3'!G73</f>
        <v/>
      </c>
      <c r="H400">
        <f>'REGIÃO 3'!H73</f>
        <v/>
      </c>
      <c r="I400">
        <f>'REGIÃO 3'!I73</f>
        <v/>
      </c>
      <c r="J400">
        <f>'REGIÃO 3'!J73</f>
        <v/>
      </c>
      <c r="K400" s="36">
        <f>'REGIÃO 3'!K73</f>
        <v/>
      </c>
      <c r="L400" t="inlineStr">
        <is>
          <t>REGIÃO 3</t>
        </is>
      </c>
    </row>
    <row r="401">
      <c r="A401">
        <f>'REGIÃO 3'!A74</f>
        <v/>
      </c>
      <c r="B401">
        <f>'REGIÃO 3'!B74</f>
        <v/>
      </c>
      <c r="C401">
        <f>'REGIÃO 3'!C74</f>
        <v/>
      </c>
      <c r="D401">
        <f>'REGIÃO 3'!D74</f>
        <v/>
      </c>
      <c r="E401">
        <f>'REGIÃO 3'!E74</f>
        <v/>
      </c>
      <c r="F401">
        <f>'REGIÃO 3'!F74</f>
        <v/>
      </c>
      <c r="G401">
        <f>'REGIÃO 3'!G74</f>
        <v/>
      </c>
      <c r="H401">
        <f>'REGIÃO 3'!H74</f>
        <v/>
      </c>
      <c r="I401">
        <f>'REGIÃO 3'!I74</f>
        <v/>
      </c>
      <c r="J401">
        <f>'REGIÃO 3'!J74</f>
        <v/>
      </c>
      <c r="K401" s="36">
        <f>'REGIÃO 3'!K74</f>
        <v/>
      </c>
      <c r="L401" t="inlineStr">
        <is>
          <t>REGIÃO 3</t>
        </is>
      </c>
    </row>
    <row r="402">
      <c r="A402">
        <f>'REGIÃO 3'!A75</f>
        <v/>
      </c>
      <c r="B402">
        <f>'REGIÃO 3'!B75</f>
        <v/>
      </c>
      <c r="C402">
        <f>'REGIÃO 3'!C75</f>
        <v/>
      </c>
      <c r="D402">
        <f>'REGIÃO 3'!D75</f>
        <v/>
      </c>
      <c r="E402">
        <f>'REGIÃO 3'!E75</f>
        <v/>
      </c>
      <c r="F402">
        <f>'REGIÃO 3'!F75</f>
        <v/>
      </c>
      <c r="G402">
        <f>'REGIÃO 3'!G75</f>
        <v/>
      </c>
      <c r="H402">
        <f>'REGIÃO 3'!H75</f>
        <v/>
      </c>
      <c r="I402">
        <f>'REGIÃO 3'!I75</f>
        <v/>
      </c>
      <c r="J402">
        <f>'REGIÃO 3'!J75</f>
        <v/>
      </c>
      <c r="K402" s="36">
        <f>'REGIÃO 3'!K75</f>
        <v/>
      </c>
      <c r="L402" t="inlineStr">
        <is>
          <t>REGIÃO 3</t>
        </is>
      </c>
    </row>
    <row r="403">
      <c r="A403">
        <f>'REGIÃO 3'!A76</f>
        <v/>
      </c>
      <c r="B403">
        <f>'REGIÃO 3'!B76</f>
        <v/>
      </c>
      <c r="C403">
        <f>'REGIÃO 3'!C76</f>
        <v/>
      </c>
      <c r="D403">
        <f>'REGIÃO 3'!D76</f>
        <v/>
      </c>
      <c r="E403">
        <f>'REGIÃO 3'!E76</f>
        <v/>
      </c>
      <c r="F403">
        <f>'REGIÃO 3'!F76</f>
        <v/>
      </c>
      <c r="G403">
        <f>'REGIÃO 3'!G76</f>
        <v/>
      </c>
      <c r="H403">
        <f>'REGIÃO 3'!H76</f>
        <v/>
      </c>
      <c r="I403">
        <f>'REGIÃO 3'!I76</f>
        <v/>
      </c>
      <c r="J403">
        <f>'REGIÃO 3'!J76</f>
        <v/>
      </c>
      <c r="K403" s="36">
        <f>'REGIÃO 3'!K76</f>
        <v/>
      </c>
      <c r="L403" t="inlineStr">
        <is>
          <t>REGIÃO 3</t>
        </is>
      </c>
    </row>
    <row r="404">
      <c r="A404" s="35">
        <f>'REGIÃO 11'!A2</f>
        <v/>
      </c>
      <c r="B404">
        <f>'REGIÃO 11'!B2</f>
        <v/>
      </c>
      <c r="C404" s="35">
        <f>'REGIÃO 11'!C2</f>
        <v/>
      </c>
      <c r="D404">
        <f>'REGIÃO 11'!D2</f>
        <v/>
      </c>
      <c r="E404">
        <f>'REGIÃO 11'!E2</f>
        <v/>
      </c>
      <c r="F404">
        <f>'REGIÃO 11'!F2</f>
        <v/>
      </c>
      <c r="G404">
        <f>'REGIÃO 11'!G2</f>
        <v/>
      </c>
      <c r="H404">
        <f>'REGIÃO 11'!H2</f>
        <v/>
      </c>
      <c r="I404">
        <f>'REGIÃO 11'!I2</f>
        <v/>
      </c>
      <c r="J404">
        <f>'REGIÃO 11'!J2</f>
        <v/>
      </c>
      <c r="K404" s="36">
        <f>'REGIÃO 11'!K2</f>
        <v/>
      </c>
      <c r="L404" t="inlineStr">
        <is>
          <t>REGIÃO 11</t>
        </is>
      </c>
    </row>
    <row r="405">
      <c r="A405">
        <f>'REGIÃO 11'!A3</f>
        <v/>
      </c>
      <c r="B405">
        <f>'REGIÃO 11'!B3</f>
        <v/>
      </c>
      <c r="C405">
        <f>'REGIÃO 11'!C3</f>
        <v/>
      </c>
      <c r="D405">
        <f>'REGIÃO 11'!D3</f>
        <v/>
      </c>
      <c r="E405">
        <f>'REGIÃO 11'!E3</f>
        <v/>
      </c>
      <c r="F405">
        <f>'REGIÃO 11'!F3</f>
        <v/>
      </c>
      <c r="G405">
        <f>'REGIÃO 11'!G3</f>
        <v/>
      </c>
      <c r="H405">
        <f>'REGIÃO 11'!H3</f>
        <v/>
      </c>
      <c r="I405">
        <f>'REGIÃO 11'!I3</f>
        <v/>
      </c>
      <c r="J405">
        <f>'REGIÃO 11'!J3</f>
        <v/>
      </c>
      <c r="K405" s="36">
        <f>'REGIÃO 11'!K3</f>
        <v/>
      </c>
      <c r="L405" t="inlineStr">
        <is>
          <t>REGIÃO 11</t>
        </is>
      </c>
    </row>
    <row r="406">
      <c r="A406">
        <f>'REGIÃO 11'!A4</f>
        <v/>
      </c>
      <c r="B406">
        <f>'REGIÃO 11'!B4</f>
        <v/>
      </c>
      <c r="C406">
        <f>'REGIÃO 11'!C4</f>
        <v/>
      </c>
      <c r="D406">
        <f>'REGIÃO 11'!D4</f>
        <v/>
      </c>
      <c r="E406">
        <f>'REGIÃO 11'!E4</f>
        <v/>
      </c>
      <c r="F406">
        <f>'REGIÃO 11'!F4</f>
        <v/>
      </c>
      <c r="G406">
        <f>'REGIÃO 11'!G4</f>
        <v/>
      </c>
      <c r="H406">
        <f>'REGIÃO 11'!H4</f>
        <v/>
      </c>
      <c r="I406">
        <f>'REGIÃO 11'!I4</f>
        <v/>
      </c>
      <c r="J406">
        <f>'REGIÃO 11'!J4</f>
        <v/>
      </c>
      <c r="K406" s="36">
        <f>'REGIÃO 11'!K4</f>
        <v/>
      </c>
      <c r="L406" t="inlineStr">
        <is>
          <t>REGIÃO 11</t>
        </is>
      </c>
    </row>
    <row r="407">
      <c r="A407">
        <f>'REGIÃO 11'!A5</f>
        <v/>
      </c>
      <c r="B407">
        <f>'REGIÃO 11'!B5</f>
        <v/>
      </c>
      <c r="C407">
        <f>'REGIÃO 11'!C5</f>
        <v/>
      </c>
      <c r="D407">
        <f>'REGIÃO 11'!D5</f>
        <v/>
      </c>
      <c r="E407">
        <f>'REGIÃO 11'!E5</f>
        <v/>
      </c>
      <c r="F407">
        <f>'REGIÃO 11'!F5</f>
        <v/>
      </c>
      <c r="G407">
        <f>'REGIÃO 11'!G5</f>
        <v/>
      </c>
      <c r="H407">
        <f>'REGIÃO 11'!H5</f>
        <v/>
      </c>
      <c r="I407">
        <f>'REGIÃO 11'!I5</f>
        <v/>
      </c>
      <c r="J407">
        <f>'REGIÃO 11'!J5</f>
        <v/>
      </c>
      <c r="K407" s="36">
        <f>'REGIÃO 11'!K5</f>
        <v/>
      </c>
      <c r="L407" t="inlineStr">
        <is>
          <t>REGIÃO 11</t>
        </is>
      </c>
    </row>
    <row r="408">
      <c r="A408">
        <f>'REGIÃO 11'!A6</f>
        <v/>
      </c>
      <c r="B408">
        <f>'REGIÃO 11'!B6</f>
        <v/>
      </c>
      <c r="C408">
        <f>'REGIÃO 11'!C6</f>
        <v/>
      </c>
      <c r="D408">
        <f>'REGIÃO 11'!D6</f>
        <v/>
      </c>
      <c r="E408">
        <f>'REGIÃO 11'!E6</f>
        <v/>
      </c>
      <c r="F408">
        <f>'REGIÃO 11'!F6</f>
        <v/>
      </c>
      <c r="G408">
        <f>'REGIÃO 11'!G6</f>
        <v/>
      </c>
      <c r="H408">
        <f>'REGIÃO 11'!H6</f>
        <v/>
      </c>
      <c r="I408">
        <f>'REGIÃO 11'!I6</f>
        <v/>
      </c>
      <c r="J408">
        <f>'REGIÃO 11'!J6</f>
        <v/>
      </c>
      <c r="K408" s="36">
        <f>'REGIÃO 11'!K6</f>
        <v/>
      </c>
      <c r="L408" t="inlineStr">
        <is>
          <t>REGIÃO 11</t>
        </is>
      </c>
    </row>
    <row r="409">
      <c r="A409">
        <f>'REGIÃO 11'!A7</f>
        <v/>
      </c>
      <c r="B409">
        <f>'REGIÃO 11'!B7</f>
        <v/>
      </c>
      <c r="C409">
        <f>'REGIÃO 11'!C7</f>
        <v/>
      </c>
      <c r="D409">
        <f>'REGIÃO 11'!D7</f>
        <v/>
      </c>
      <c r="E409">
        <f>'REGIÃO 11'!E7</f>
        <v/>
      </c>
      <c r="F409">
        <f>'REGIÃO 11'!F7</f>
        <v/>
      </c>
      <c r="G409">
        <f>'REGIÃO 11'!G7</f>
        <v/>
      </c>
      <c r="H409">
        <f>'REGIÃO 11'!H7</f>
        <v/>
      </c>
      <c r="I409">
        <f>'REGIÃO 11'!I7</f>
        <v/>
      </c>
      <c r="J409">
        <f>'REGIÃO 11'!J7</f>
        <v/>
      </c>
      <c r="K409" s="36">
        <f>'REGIÃO 11'!K7</f>
        <v/>
      </c>
      <c r="L409" t="inlineStr">
        <is>
          <t>REGIÃO 11</t>
        </is>
      </c>
    </row>
    <row r="410">
      <c r="A410">
        <f>'REGIÃO 11'!A8</f>
        <v/>
      </c>
      <c r="B410">
        <f>'REGIÃO 11'!B8</f>
        <v/>
      </c>
      <c r="C410">
        <f>'REGIÃO 11'!C8</f>
        <v/>
      </c>
      <c r="D410">
        <f>'REGIÃO 11'!D8</f>
        <v/>
      </c>
      <c r="E410">
        <f>'REGIÃO 11'!E8</f>
        <v/>
      </c>
      <c r="F410">
        <f>'REGIÃO 11'!F8</f>
        <v/>
      </c>
      <c r="G410">
        <f>'REGIÃO 11'!G8</f>
        <v/>
      </c>
      <c r="H410">
        <f>'REGIÃO 11'!H8</f>
        <v/>
      </c>
      <c r="I410">
        <f>'REGIÃO 11'!I8</f>
        <v/>
      </c>
      <c r="J410">
        <f>'REGIÃO 11'!J8</f>
        <v/>
      </c>
      <c r="K410" s="36">
        <f>'REGIÃO 11'!K8</f>
        <v/>
      </c>
      <c r="L410" t="inlineStr">
        <is>
          <t>REGIÃO 11</t>
        </is>
      </c>
    </row>
    <row r="411">
      <c r="A411">
        <f>'REGIÃO 11'!A9</f>
        <v/>
      </c>
      <c r="B411">
        <f>'REGIÃO 11'!B9</f>
        <v/>
      </c>
      <c r="C411">
        <f>'REGIÃO 11'!C9</f>
        <v/>
      </c>
      <c r="D411">
        <f>'REGIÃO 11'!D9</f>
        <v/>
      </c>
      <c r="E411">
        <f>'REGIÃO 11'!E9</f>
        <v/>
      </c>
      <c r="F411">
        <f>'REGIÃO 11'!F9</f>
        <v/>
      </c>
      <c r="G411">
        <f>'REGIÃO 11'!G9</f>
        <v/>
      </c>
      <c r="H411">
        <f>'REGIÃO 11'!H9</f>
        <v/>
      </c>
      <c r="I411">
        <f>'REGIÃO 11'!I9</f>
        <v/>
      </c>
      <c r="J411">
        <f>'REGIÃO 11'!J9</f>
        <v/>
      </c>
      <c r="K411" s="36">
        <f>'REGIÃO 11'!K9</f>
        <v/>
      </c>
      <c r="L411" t="inlineStr">
        <is>
          <t>REGIÃO 11</t>
        </is>
      </c>
    </row>
    <row r="412">
      <c r="A412">
        <f>'REGIÃO 11'!A10</f>
        <v/>
      </c>
      <c r="B412">
        <f>'REGIÃO 11'!B10</f>
        <v/>
      </c>
      <c r="C412">
        <f>'REGIÃO 11'!C10</f>
        <v/>
      </c>
      <c r="D412">
        <f>'REGIÃO 11'!D10</f>
        <v/>
      </c>
      <c r="E412">
        <f>'REGIÃO 11'!E10</f>
        <v/>
      </c>
      <c r="F412">
        <f>'REGIÃO 11'!F10</f>
        <v/>
      </c>
      <c r="G412">
        <f>'REGIÃO 11'!G10</f>
        <v/>
      </c>
      <c r="H412">
        <f>'REGIÃO 11'!H10</f>
        <v/>
      </c>
      <c r="I412">
        <f>'REGIÃO 11'!I10</f>
        <v/>
      </c>
      <c r="J412">
        <f>'REGIÃO 11'!J10</f>
        <v/>
      </c>
      <c r="K412" s="36">
        <f>'REGIÃO 11'!K10</f>
        <v/>
      </c>
      <c r="L412" t="inlineStr">
        <is>
          <t>REGIÃO 11</t>
        </is>
      </c>
    </row>
    <row r="413">
      <c r="A413">
        <f>'REGIÃO 11'!A11</f>
        <v/>
      </c>
      <c r="B413">
        <f>'REGIÃO 11'!B11</f>
        <v/>
      </c>
      <c r="C413">
        <f>'REGIÃO 11'!C11</f>
        <v/>
      </c>
      <c r="D413">
        <f>'REGIÃO 11'!D11</f>
        <v/>
      </c>
      <c r="E413">
        <f>'REGIÃO 11'!E11</f>
        <v/>
      </c>
      <c r="F413">
        <f>'REGIÃO 11'!F11</f>
        <v/>
      </c>
      <c r="G413">
        <f>'REGIÃO 11'!G11</f>
        <v/>
      </c>
      <c r="H413">
        <f>'REGIÃO 11'!H11</f>
        <v/>
      </c>
      <c r="I413">
        <f>'REGIÃO 11'!I11</f>
        <v/>
      </c>
      <c r="J413">
        <f>'REGIÃO 11'!J11</f>
        <v/>
      </c>
      <c r="K413" s="36">
        <f>'REGIÃO 11'!K11</f>
        <v/>
      </c>
      <c r="L413" t="inlineStr">
        <is>
          <t>REGIÃO 11</t>
        </is>
      </c>
    </row>
    <row r="414">
      <c r="A414">
        <f>'REGIÃO 11'!A12</f>
        <v/>
      </c>
      <c r="B414">
        <f>'REGIÃO 11'!B12</f>
        <v/>
      </c>
      <c r="C414">
        <f>'REGIÃO 11'!C12</f>
        <v/>
      </c>
      <c r="D414">
        <f>'REGIÃO 11'!D12</f>
        <v/>
      </c>
      <c r="E414">
        <f>'REGIÃO 11'!E12</f>
        <v/>
      </c>
      <c r="F414">
        <f>'REGIÃO 11'!F12</f>
        <v/>
      </c>
      <c r="G414">
        <f>'REGIÃO 11'!G12</f>
        <v/>
      </c>
      <c r="H414">
        <f>'REGIÃO 11'!H12</f>
        <v/>
      </c>
      <c r="I414">
        <f>'REGIÃO 11'!I12</f>
        <v/>
      </c>
      <c r="J414">
        <f>'REGIÃO 11'!J12</f>
        <v/>
      </c>
      <c r="K414" s="36">
        <f>'REGIÃO 11'!K12</f>
        <v/>
      </c>
      <c r="L414" t="inlineStr">
        <is>
          <t>REGIÃO 11</t>
        </is>
      </c>
    </row>
    <row r="415">
      <c r="A415">
        <f>'REGIÃO 11'!A13</f>
        <v/>
      </c>
      <c r="B415">
        <f>'REGIÃO 11'!B13</f>
        <v/>
      </c>
      <c r="C415">
        <f>'REGIÃO 11'!C13</f>
        <v/>
      </c>
      <c r="D415">
        <f>'REGIÃO 11'!D13</f>
        <v/>
      </c>
      <c r="E415">
        <f>'REGIÃO 11'!E13</f>
        <v/>
      </c>
      <c r="F415">
        <f>'REGIÃO 11'!F13</f>
        <v/>
      </c>
      <c r="G415">
        <f>'REGIÃO 11'!G13</f>
        <v/>
      </c>
      <c r="H415">
        <f>'REGIÃO 11'!H13</f>
        <v/>
      </c>
      <c r="I415">
        <f>'REGIÃO 11'!I13</f>
        <v/>
      </c>
      <c r="J415">
        <f>'REGIÃO 11'!J13</f>
        <v/>
      </c>
      <c r="K415" s="36">
        <f>'REGIÃO 11'!K13</f>
        <v/>
      </c>
      <c r="L415" t="inlineStr">
        <is>
          <t>REGIÃO 11</t>
        </is>
      </c>
    </row>
    <row r="416">
      <c r="A416">
        <f>'REGIÃO 11'!A14</f>
        <v/>
      </c>
      <c r="B416">
        <f>'REGIÃO 11'!B14</f>
        <v/>
      </c>
      <c r="C416">
        <f>'REGIÃO 11'!C14</f>
        <v/>
      </c>
      <c r="D416">
        <f>'REGIÃO 11'!D14</f>
        <v/>
      </c>
      <c r="E416">
        <f>'REGIÃO 11'!E14</f>
        <v/>
      </c>
      <c r="F416">
        <f>'REGIÃO 11'!F14</f>
        <v/>
      </c>
      <c r="G416">
        <f>'REGIÃO 11'!G14</f>
        <v/>
      </c>
      <c r="H416">
        <f>'REGIÃO 11'!H14</f>
        <v/>
      </c>
      <c r="I416">
        <f>'REGIÃO 11'!I14</f>
        <v/>
      </c>
      <c r="J416">
        <f>'REGIÃO 11'!J14</f>
        <v/>
      </c>
      <c r="K416" s="36">
        <f>'REGIÃO 11'!K14</f>
        <v/>
      </c>
      <c r="L416" t="inlineStr">
        <is>
          <t>REGIÃO 11</t>
        </is>
      </c>
    </row>
    <row r="417">
      <c r="A417">
        <f>'REGIÃO 11'!A15</f>
        <v/>
      </c>
      <c r="B417">
        <f>'REGIÃO 11'!B15</f>
        <v/>
      </c>
      <c r="C417">
        <f>'REGIÃO 11'!C15</f>
        <v/>
      </c>
      <c r="D417">
        <f>'REGIÃO 11'!D15</f>
        <v/>
      </c>
      <c r="E417">
        <f>'REGIÃO 11'!E15</f>
        <v/>
      </c>
      <c r="F417">
        <f>'REGIÃO 11'!F15</f>
        <v/>
      </c>
      <c r="G417">
        <f>'REGIÃO 11'!G15</f>
        <v/>
      </c>
      <c r="H417">
        <f>'REGIÃO 11'!H15</f>
        <v/>
      </c>
      <c r="I417">
        <f>'REGIÃO 11'!I15</f>
        <v/>
      </c>
      <c r="J417">
        <f>'REGIÃO 11'!J15</f>
        <v/>
      </c>
      <c r="K417" s="36">
        <f>'REGIÃO 11'!K15</f>
        <v/>
      </c>
      <c r="L417" t="inlineStr">
        <is>
          <t>REGIÃO 11</t>
        </is>
      </c>
    </row>
    <row r="418">
      <c r="A418">
        <f>'REGIÃO 11'!A16</f>
        <v/>
      </c>
      <c r="B418">
        <f>'REGIÃO 11'!B16</f>
        <v/>
      </c>
      <c r="C418">
        <f>'REGIÃO 11'!C16</f>
        <v/>
      </c>
      <c r="D418">
        <f>'REGIÃO 11'!D16</f>
        <v/>
      </c>
      <c r="E418">
        <f>'REGIÃO 11'!E16</f>
        <v/>
      </c>
      <c r="F418">
        <f>'REGIÃO 11'!F16</f>
        <v/>
      </c>
      <c r="G418">
        <f>'REGIÃO 11'!G16</f>
        <v/>
      </c>
      <c r="H418">
        <f>'REGIÃO 11'!H16</f>
        <v/>
      </c>
      <c r="I418">
        <f>'REGIÃO 11'!I16</f>
        <v/>
      </c>
      <c r="J418">
        <f>'REGIÃO 11'!J16</f>
        <v/>
      </c>
      <c r="K418" s="36">
        <f>'REGIÃO 11'!K16</f>
        <v/>
      </c>
      <c r="L418" t="inlineStr">
        <is>
          <t>REGIÃO 11</t>
        </is>
      </c>
    </row>
    <row r="419">
      <c r="A419">
        <f>'REGIÃO 11'!A17</f>
        <v/>
      </c>
      <c r="B419">
        <f>'REGIÃO 11'!B17</f>
        <v/>
      </c>
      <c r="C419">
        <f>'REGIÃO 11'!C17</f>
        <v/>
      </c>
      <c r="D419">
        <f>'REGIÃO 11'!D17</f>
        <v/>
      </c>
      <c r="E419">
        <f>'REGIÃO 11'!E17</f>
        <v/>
      </c>
      <c r="F419">
        <f>'REGIÃO 11'!F17</f>
        <v/>
      </c>
      <c r="G419">
        <f>'REGIÃO 11'!G17</f>
        <v/>
      </c>
      <c r="H419">
        <f>'REGIÃO 11'!H17</f>
        <v/>
      </c>
      <c r="I419">
        <f>'REGIÃO 11'!I17</f>
        <v/>
      </c>
      <c r="J419">
        <f>'REGIÃO 11'!J17</f>
        <v/>
      </c>
      <c r="K419" s="36">
        <f>'REGIÃO 11'!K17</f>
        <v/>
      </c>
      <c r="L419" t="inlineStr">
        <is>
          <t>REGIÃO 11</t>
        </is>
      </c>
    </row>
    <row r="420">
      <c r="A420">
        <f>'REGIÃO 11'!A18</f>
        <v/>
      </c>
      <c r="B420">
        <f>'REGIÃO 11'!B18</f>
        <v/>
      </c>
      <c r="C420">
        <f>'REGIÃO 11'!C18</f>
        <v/>
      </c>
      <c r="D420">
        <f>'REGIÃO 11'!D18</f>
        <v/>
      </c>
      <c r="E420">
        <f>'REGIÃO 11'!E18</f>
        <v/>
      </c>
      <c r="F420">
        <f>'REGIÃO 11'!F18</f>
        <v/>
      </c>
      <c r="G420">
        <f>'REGIÃO 11'!G18</f>
        <v/>
      </c>
      <c r="H420">
        <f>'REGIÃO 11'!H18</f>
        <v/>
      </c>
      <c r="I420">
        <f>'REGIÃO 11'!I18</f>
        <v/>
      </c>
      <c r="J420">
        <f>'REGIÃO 11'!J18</f>
        <v/>
      </c>
      <c r="K420" s="36">
        <f>'REGIÃO 11'!K18</f>
        <v/>
      </c>
      <c r="L420" t="inlineStr">
        <is>
          <t>REGIÃO 11</t>
        </is>
      </c>
    </row>
    <row r="421">
      <c r="A421">
        <f>'REGIÃO 11'!A19</f>
        <v/>
      </c>
      <c r="B421">
        <f>'REGIÃO 11'!B19</f>
        <v/>
      </c>
      <c r="C421">
        <f>'REGIÃO 11'!C19</f>
        <v/>
      </c>
      <c r="D421">
        <f>'REGIÃO 11'!D19</f>
        <v/>
      </c>
      <c r="E421">
        <f>'REGIÃO 11'!E19</f>
        <v/>
      </c>
      <c r="F421">
        <f>'REGIÃO 11'!F19</f>
        <v/>
      </c>
      <c r="G421">
        <f>'REGIÃO 11'!G19</f>
        <v/>
      </c>
      <c r="H421">
        <f>'REGIÃO 11'!H19</f>
        <v/>
      </c>
      <c r="I421">
        <f>'REGIÃO 11'!I19</f>
        <v/>
      </c>
      <c r="J421">
        <f>'REGIÃO 11'!J19</f>
        <v/>
      </c>
      <c r="K421" s="36">
        <f>'REGIÃO 11'!K19</f>
        <v/>
      </c>
      <c r="L421" t="inlineStr">
        <is>
          <t>REGIÃO 11</t>
        </is>
      </c>
    </row>
    <row r="422">
      <c r="A422">
        <f>'REGIÃO 11'!A20</f>
        <v/>
      </c>
      <c r="B422">
        <f>'REGIÃO 11'!B20</f>
        <v/>
      </c>
      <c r="C422">
        <f>'REGIÃO 11'!C20</f>
        <v/>
      </c>
      <c r="D422">
        <f>'REGIÃO 11'!D20</f>
        <v/>
      </c>
      <c r="E422">
        <f>'REGIÃO 11'!E20</f>
        <v/>
      </c>
      <c r="F422">
        <f>'REGIÃO 11'!F20</f>
        <v/>
      </c>
      <c r="G422">
        <f>'REGIÃO 11'!G20</f>
        <v/>
      </c>
      <c r="H422">
        <f>'REGIÃO 11'!H20</f>
        <v/>
      </c>
      <c r="I422">
        <f>'REGIÃO 11'!I20</f>
        <v/>
      </c>
      <c r="J422">
        <f>'REGIÃO 11'!J20</f>
        <v/>
      </c>
      <c r="K422" s="36">
        <f>'REGIÃO 11'!K20</f>
        <v/>
      </c>
      <c r="L422" t="inlineStr">
        <is>
          <t>REGIÃO 11</t>
        </is>
      </c>
    </row>
    <row r="423">
      <c r="A423">
        <f>'REGIÃO 11'!A21</f>
        <v/>
      </c>
      <c r="B423">
        <f>'REGIÃO 11'!B21</f>
        <v/>
      </c>
      <c r="C423">
        <f>'REGIÃO 11'!C21</f>
        <v/>
      </c>
      <c r="D423">
        <f>'REGIÃO 11'!D21</f>
        <v/>
      </c>
      <c r="E423">
        <f>'REGIÃO 11'!E21</f>
        <v/>
      </c>
      <c r="F423">
        <f>'REGIÃO 11'!F21</f>
        <v/>
      </c>
      <c r="G423">
        <f>'REGIÃO 11'!G21</f>
        <v/>
      </c>
      <c r="H423">
        <f>'REGIÃO 11'!H21</f>
        <v/>
      </c>
      <c r="I423">
        <f>'REGIÃO 11'!I21</f>
        <v/>
      </c>
      <c r="J423">
        <f>'REGIÃO 11'!J21</f>
        <v/>
      </c>
      <c r="K423" s="36">
        <f>'REGIÃO 11'!K21</f>
        <v/>
      </c>
      <c r="L423" t="inlineStr">
        <is>
          <t>REGIÃO 11</t>
        </is>
      </c>
    </row>
    <row r="424">
      <c r="A424">
        <f>'REGIÃO 11'!A22</f>
        <v/>
      </c>
      <c r="B424">
        <f>'REGIÃO 11'!B22</f>
        <v/>
      </c>
      <c r="C424">
        <f>'REGIÃO 11'!C22</f>
        <v/>
      </c>
      <c r="D424">
        <f>'REGIÃO 11'!D22</f>
        <v/>
      </c>
      <c r="E424">
        <f>'REGIÃO 11'!E22</f>
        <v/>
      </c>
      <c r="F424">
        <f>'REGIÃO 11'!F22</f>
        <v/>
      </c>
      <c r="G424">
        <f>'REGIÃO 11'!G22</f>
        <v/>
      </c>
      <c r="H424">
        <f>'REGIÃO 11'!H22</f>
        <v/>
      </c>
      <c r="I424">
        <f>'REGIÃO 11'!I22</f>
        <v/>
      </c>
      <c r="J424">
        <f>'REGIÃO 11'!J22</f>
        <v/>
      </c>
      <c r="K424" s="36">
        <f>'REGIÃO 11'!K22</f>
        <v/>
      </c>
      <c r="L424" t="inlineStr">
        <is>
          <t>REGIÃO 11</t>
        </is>
      </c>
    </row>
    <row r="425">
      <c r="A425">
        <f>'REGIÃO 11'!A23</f>
        <v/>
      </c>
      <c r="B425">
        <f>'REGIÃO 11'!B23</f>
        <v/>
      </c>
      <c r="C425">
        <f>'REGIÃO 11'!C23</f>
        <v/>
      </c>
      <c r="D425">
        <f>'REGIÃO 11'!D23</f>
        <v/>
      </c>
      <c r="E425">
        <f>'REGIÃO 11'!E23</f>
        <v/>
      </c>
      <c r="F425">
        <f>'REGIÃO 11'!F23</f>
        <v/>
      </c>
      <c r="G425">
        <f>'REGIÃO 11'!G23</f>
        <v/>
      </c>
      <c r="H425">
        <f>'REGIÃO 11'!H23</f>
        <v/>
      </c>
      <c r="I425">
        <f>'REGIÃO 11'!I23</f>
        <v/>
      </c>
      <c r="J425">
        <f>'REGIÃO 11'!J23</f>
        <v/>
      </c>
      <c r="K425" s="36">
        <f>'REGIÃO 11'!K23</f>
        <v/>
      </c>
      <c r="L425" t="inlineStr">
        <is>
          <t>REGIÃO 11</t>
        </is>
      </c>
    </row>
    <row r="426">
      <c r="A426">
        <f>'REGIÃO 11'!A24</f>
        <v/>
      </c>
      <c r="B426">
        <f>'REGIÃO 11'!B24</f>
        <v/>
      </c>
      <c r="C426">
        <f>'REGIÃO 11'!C24</f>
        <v/>
      </c>
      <c r="D426">
        <f>'REGIÃO 11'!D24</f>
        <v/>
      </c>
      <c r="E426">
        <f>'REGIÃO 11'!E24</f>
        <v/>
      </c>
      <c r="F426">
        <f>'REGIÃO 11'!F24</f>
        <v/>
      </c>
      <c r="G426">
        <f>'REGIÃO 11'!G24</f>
        <v/>
      </c>
      <c r="H426">
        <f>'REGIÃO 11'!H24</f>
        <v/>
      </c>
      <c r="I426">
        <f>'REGIÃO 11'!I24</f>
        <v/>
      </c>
      <c r="J426">
        <f>'REGIÃO 11'!J24</f>
        <v/>
      </c>
      <c r="K426" s="36">
        <f>'REGIÃO 11'!K24</f>
        <v/>
      </c>
      <c r="L426" t="inlineStr">
        <is>
          <t>REGIÃO 11</t>
        </is>
      </c>
    </row>
    <row r="427">
      <c r="A427">
        <f>'REGIÃO 11'!A25</f>
        <v/>
      </c>
      <c r="B427">
        <f>'REGIÃO 11'!B25</f>
        <v/>
      </c>
      <c r="C427">
        <f>'REGIÃO 11'!C25</f>
        <v/>
      </c>
      <c r="D427">
        <f>'REGIÃO 11'!D25</f>
        <v/>
      </c>
      <c r="E427">
        <f>'REGIÃO 11'!E25</f>
        <v/>
      </c>
      <c r="F427">
        <f>'REGIÃO 11'!F25</f>
        <v/>
      </c>
      <c r="G427">
        <f>'REGIÃO 11'!G25</f>
        <v/>
      </c>
      <c r="H427">
        <f>'REGIÃO 11'!H25</f>
        <v/>
      </c>
      <c r="I427">
        <f>'REGIÃO 11'!I25</f>
        <v/>
      </c>
      <c r="J427">
        <f>'REGIÃO 11'!J25</f>
        <v/>
      </c>
      <c r="K427" s="36">
        <f>'REGIÃO 11'!K25</f>
        <v/>
      </c>
      <c r="L427" t="inlineStr">
        <is>
          <t>REGIÃO 11</t>
        </is>
      </c>
    </row>
    <row r="428">
      <c r="A428">
        <f>'REGIÃO 11'!A26</f>
        <v/>
      </c>
      <c r="B428">
        <f>'REGIÃO 11'!B26</f>
        <v/>
      </c>
      <c r="C428">
        <f>'REGIÃO 11'!C26</f>
        <v/>
      </c>
      <c r="D428">
        <f>'REGIÃO 11'!D26</f>
        <v/>
      </c>
      <c r="E428">
        <f>'REGIÃO 11'!E26</f>
        <v/>
      </c>
      <c r="F428">
        <f>'REGIÃO 11'!F26</f>
        <v/>
      </c>
      <c r="G428">
        <f>'REGIÃO 11'!G26</f>
        <v/>
      </c>
      <c r="H428">
        <f>'REGIÃO 11'!H26</f>
        <v/>
      </c>
      <c r="I428">
        <f>'REGIÃO 11'!I26</f>
        <v/>
      </c>
      <c r="J428">
        <f>'REGIÃO 11'!J26</f>
        <v/>
      </c>
      <c r="K428" s="36">
        <f>'REGIÃO 11'!K26</f>
        <v/>
      </c>
      <c r="L428" t="inlineStr">
        <is>
          <t>REGIÃO 11</t>
        </is>
      </c>
    </row>
    <row r="429">
      <c r="A429">
        <f>'REGIÃO 11'!A27</f>
        <v/>
      </c>
      <c r="B429">
        <f>'REGIÃO 11'!B27</f>
        <v/>
      </c>
      <c r="C429">
        <f>'REGIÃO 11'!C27</f>
        <v/>
      </c>
      <c r="D429">
        <f>'REGIÃO 11'!D27</f>
        <v/>
      </c>
      <c r="E429">
        <f>'REGIÃO 11'!E27</f>
        <v/>
      </c>
      <c r="F429">
        <f>'REGIÃO 11'!F27</f>
        <v/>
      </c>
      <c r="G429">
        <f>'REGIÃO 11'!G27</f>
        <v/>
      </c>
      <c r="H429">
        <f>'REGIÃO 11'!H27</f>
        <v/>
      </c>
      <c r="I429">
        <f>'REGIÃO 11'!I27</f>
        <v/>
      </c>
      <c r="J429">
        <f>'REGIÃO 11'!J27</f>
        <v/>
      </c>
      <c r="K429" s="36">
        <f>'REGIÃO 11'!K27</f>
        <v/>
      </c>
      <c r="L429" t="inlineStr">
        <is>
          <t>REGIÃO 11</t>
        </is>
      </c>
    </row>
    <row r="430">
      <c r="A430">
        <f>'REGIÃO 11'!A28</f>
        <v/>
      </c>
      <c r="B430">
        <f>'REGIÃO 11'!B28</f>
        <v/>
      </c>
      <c r="C430">
        <f>'REGIÃO 11'!C28</f>
        <v/>
      </c>
      <c r="D430">
        <f>'REGIÃO 11'!D28</f>
        <v/>
      </c>
      <c r="E430">
        <f>'REGIÃO 11'!E28</f>
        <v/>
      </c>
      <c r="F430">
        <f>'REGIÃO 11'!F28</f>
        <v/>
      </c>
      <c r="G430">
        <f>'REGIÃO 11'!G28</f>
        <v/>
      </c>
      <c r="H430">
        <f>'REGIÃO 11'!H28</f>
        <v/>
      </c>
      <c r="I430">
        <f>'REGIÃO 11'!I28</f>
        <v/>
      </c>
      <c r="J430">
        <f>'REGIÃO 11'!J28</f>
        <v/>
      </c>
      <c r="K430" s="36">
        <f>'REGIÃO 11'!K28</f>
        <v/>
      </c>
      <c r="L430" t="inlineStr">
        <is>
          <t>REGIÃO 11</t>
        </is>
      </c>
    </row>
    <row r="431">
      <c r="A431">
        <f>'REGIÃO 11'!A29</f>
        <v/>
      </c>
      <c r="B431">
        <f>'REGIÃO 11'!B29</f>
        <v/>
      </c>
      <c r="C431">
        <f>'REGIÃO 11'!C29</f>
        <v/>
      </c>
      <c r="D431">
        <f>'REGIÃO 11'!D29</f>
        <v/>
      </c>
      <c r="E431">
        <f>'REGIÃO 11'!E29</f>
        <v/>
      </c>
      <c r="F431">
        <f>'REGIÃO 11'!F29</f>
        <v/>
      </c>
      <c r="G431">
        <f>'REGIÃO 11'!G29</f>
        <v/>
      </c>
      <c r="H431">
        <f>'REGIÃO 11'!H29</f>
        <v/>
      </c>
      <c r="I431">
        <f>'REGIÃO 11'!I29</f>
        <v/>
      </c>
      <c r="J431">
        <f>'REGIÃO 11'!J29</f>
        <v/>
      </c>
      <c r="K431" s="36">
        <f>'REGIÃO 11'!K29</f>
        <v/>
      </c>
      <c r="L431" t="inlineStr">
        <is>
          <t>REGIÃO 11</t>
        </is>
      </c>
    </row>
    <row r="432">
      <c r="A432">
        <f>'REGIÃO 11'!A30</f>
        <v/>
      </c>
      <c r="B432">
        <f>'REGIÃO 11'!B30</f>
        <v/>
      </c>
      <c r="C432">
        <f>'REGIÃO 11'!C30</f>
        <v/>
      </c>
      <c r="D432">
        <f>'REGIÃO 11'!D30</f>
        <v/>
      </c>
      <c r="E432">
        <f>'REGIÃO 11'!E30</f>
        <v/>
      </c>
      <c r="F432">
        <f>'REGIÃO 11'!F30</f>
        <v/>
      </c>
      <c r="G432">
        <f>'REGIÃO 11'!G30</f>
        <v/>
      </c>
      <c r="H432">
        <f>'REGIÃO 11'!H30</f>
        <v/>
      </c>
      <c r="I432">
        <f>'REGIÃO 11'!I30</f>
        <v/>
      </c>
      <c r="J432">
        <f>'REGIÃO 11'!J30</f>
        <v/>
      </c>
      <c r="K432" s="36">
        <f>'REGIÃO 11'!K30</f>
        <v/>
      </c>
      <c r="L432" t="inlineStr">
        <is>
          <t>REGIÃO 11</t>
        </is>
      </c>
    </row>
    <row r="433">
      <c r="A433">
        <f>'REGIÃO 11'!A31</f>
        <v/>
      </c>
      <c r="B433">
        <f>'REGIÃO 11'!B31</f>
        <v/>
      </c>
      <c r="C433">
        <f>'REGIÃO 11'!C31</f>
        <v/>
      </c>
      <c r="D433">
        <f>'REGIÃO 11'!D31</f>
        <v/>
      </c>
      <c r="E433">
        <f>'REGIÃO 11'!E31</f>
        <v/>
      </c>
      <c r="F433">
        <f>'REGIÃO 11'!F31</f>
        <v/>
      </c>
      <c r="G433">
        <f>'REGIÃO 11'!G31</f>
        <v/>
      </c>
      <c r="H433">
        <f>'REGIÃO 11'!H31</f>
        <v/>
      </c>
      <c r="I433">
        <f>'REGIÃO 11'!I31</f>
        <v/>
      </c>
      <c r="J433">
        <f>'REGIÃO 11'!J31</f>
        <v/>
      </c>
      <c r="K433" s="36">
        <f>'REGIÃO 11'!K31</f>
        <v/>
      </c>
      <c r="L433" t="inlineStr">
        <is>
          <t>REGIÃO 11</t>
        </is>
      </c>
    </row>
    <row r="434">
      <c r="A434">
        <f>'REGIÃO 11'!A32</f>
        <v/>
      </c>
      <c r="B434">
        <f>'REGIÃO 11'!B32</f>
        <v/>
      </c>
      <c r="C434">
        <f>'REGIÃO 11'!C32</f>
        <v/>
      </c>
      <c r="D434">
        <f>'REGIÃO 11'!D32</f>
        <v/>
      </c>
      <c r="E434">
        <f>'REGIÃO 11'!E32</f>
        <v/>
      </c>
      <c r="F434">
        <f>'REGIÃO 11'!F32</f>
        <v/>
      </c>
      <c r="G434">
        <f>'REGIÃO 11'!G32</f>
        <v/>
      </c>
      <c r="H434">
        <f>'REGIÃO 11'!H32</f>
        <v/>
      </c>
      <c r="I434">
        <f>'REGIÃO 11'!I32</f>
        <v/>
      </c>
      <c r="J434">
        <f>'REGIÃO 11'!J32</f>
        <v/>
      </c>
      <c r="K434" s="36">
        <f>'REGIÃO 11'!K32</f>
        <v/>
      </c>
      <c r="L434" t="inlineStr">
        <is>
          <t>REGIÃO 11</t>
        </is>
      </c>
    </row>
    <row r="435">
      <c r="A435">
        <f>'REGIÃO 11'!A33</f>
        <v/>
      </c>
      <c r="B435">
        <f>'REGIÃO 11'!B33</f>
        <v/>
      </c>
      <c r="C435">
        <f>'REGIÃO 11'!C33</f>
        <v/>
      </c>
      <c r="D435">
        <f>'REGIÃO 11'!D33</f>
        <v/>
      </c>
      <c r="E435">
        <f>'REGIÃO 11'!E33</f>
        <v/>
      </c>
      <c r="F435">
        <f>'REGIÃO 11'!F33</f>
        <v/>
      </c>
      <c r="G435">
        <f>'REGIÃO 11'!G33</f>
        <v/>
      </c>
      <c r="H435">
        <f>'REGIÃO 11'!H33</f>
        <v/>
      </c>
      <c r="I435">
        <f>'REGIÃO 11'!I33</f>
        <v/>
      </c>
      <c r="J435">
        <f>'REGIÃO 11'!J33</f>
        <v/>
      </c>
      <c r="K435" s="36">
        <f>'REGIÃO 11'!K33</f>
        <v/>
      </c>
      <c r="L435" t="inlineStr">
        <is>
          <t>REGIÃO 11</t>
        </is>
      </c>
    </row>
    <row r="436">
      <c r="A436">
        <f>'REGIÃO 11'!A34</f>
        <v/>
      </c>
      <c r="B436">
        <f>'REGIÃO 11'!B34</f>
        <v/>
      </c>
      <c r="C436">
        <f>'REGIÃO 11'!C34</f>
        <v/>
      </c>
      <c r="D436">
        <f>'REGIÃO 11'!D34</f>
        <v/>
      </c>
      <c r="E436">
        <f>'REGIÃO 11'!E34</f>
        <v/>
      </c>
      <c r="F436">
        <f>'REGIÃO 11'!F34</f>
        <v/>
      </c>
      <c r="G436">
        <f>'REGIÃO 11'!G34</f>
        <v/>
      </c>
      <c r="H436">
        <f>'REGIÃO 11'!H34</f>
        <v/>
      </c>
      <c r="I436">
        <f>'REGIÃO 11'!I34</f>
        <v/>
      </c>
      <c r="J436">
        <f>'REGIÃO 11'!J34</f>
        <v/>
      </c>
      <c r="K436" s="36">
        <f>'REGIÃO 11'!K34</f>
        <v/>
      </c>
      <c r="L436" t="inlineStr">
        <is>
          <t>REGIÃO 11</t>
        </is>
      </c>
    </row>
    <row r="437">
      <c r="A437">
        <f>'REGIÃO 11'!A35</f>
        <v/>
      </c>
      <c r="B437">
        <f>'REGIÃO 11'!B35</f>
        <v/>
      </c>
      <c r="C437">
        <f>'REGIÃO 11'!C35</f>
        <v/>
      </c>
      <c r="D437">
        <f>'REGIÃO 11'!D35</f>
        <v/>
      </c>
      <c r="E437">
        <f>'REGIÃO 11'!E35</f>
        <v/>
      </c>
      <c r="F437">
        <f>'REGIÃO 11'!F35</f>
        <v/>
      </c>
      <c r="G437">
        <f>'REGIÃO 11'!G35</f>
        <v/>
      </c>
      <c r="H437">
        <f>'REGIÃO 11'!H35</f>
        <v/>
      </c>
      <c r="I437">
        <f>'REGIÃO 11'!I35</f>
        <v/>
      </c>
      <c r="J437">
        <f>'REGIÃO 11'!J35</f>
        <v/>
      </c>
      <c r="K437" s="36">
        <f>'REGIÃO 11'!K35</f>
        <v/>
      </c>
      <c r="L437" t="inlineStr">
        <is>
          <t>REGIÃO 11</t>
        </is>
      </c>
    </row>
    <row r="438">
      <c r="A438">
        <f>'REGIÃO 11'!A36</f>
        <v/>
      </c>
      <c r="B438">
        <f>'REGIÃO 11'!B36</f>
        <v/>
      </c>
      <c r="C438">
        <f>'REGIÃO 11'!C36</f>
        <v/>
      </c>
      <c r="D438">
        <f>'REGIÃO 11'!D36</f>
        <v/>
      </c>
      <c r="E438">
        <f>'REGIÃO 11'!E36</f>
        <v/>
      </c>
      <c r="F438">
        <f>'REGIÃO 11'!F36</f>
        <v/>
      </c>
      <c r="G438">
        <f>'REGIÃO 11'!G36</f>
        <v/>
      </c>
      <c r="H438">
        <f>'REGIÃO 11'!H36</f>
        <v/>
      </c>
      <c r="I438">
        <f>'REGIÃO 11'!I36</f>
        <v/>
      </c>
      <c r="J438">
        <f>'REGIÃO 11'!J36</f>
        <v/>
      </c>
      <c r="K438" s="36">
        <f>'REGIÃO 11'!K36</f>
        <v/>
      </c>
      <c r="L438" t="inlineStr">
        <is>
          <t>REGIÃO 11</t>
        </is>
      </c>
    </row>
    <row r="439">
      <c r="A439">
        <f>'REGIÃO 11'!A37</f>
        <v/>
      </c>
      <c r="B439">
        <f>'REGIÃO 11'!B37</f>
        <v/>
      </c>
      <c r="C439">
        <f>'REGIÃO 11'!C37</f>
        <v/>
      </c>
      <c r="D439">
        <f>'REGIÃO 11'!D37</f>
        <v/>
      </c>
      <c r="E439">
        <f>'REGIÃO 11'!E37</f>
        <v/>
      </c>
      <c r="F439">
        <f>'REGIÃO 11'!F37</f>
        <v/>
      </c>
      <c r="G439">
        <f>'REGIÃO 11'!G37</f>
        <v/>
      </c>
      <c r="H439">
        <f>'REGIÃO 11'!H37</f>
        <v/>
      </c>
      <c r="I439">
        <f>'REGIÃO 11'!I37</f>
        <v/>
      </c>
      <c r="J439">
        <f>'REGIÃO 11'!J37</f>
        <v/>
      </c>
      <c r="K439" s="36">
        <f>'REGIÃO 11'!K37</f>
        <v/>
      </c>
      <c r="L439" t="inlineStr">
        <is>
          <t>REGIÃO 11</t>
        </is>
      </c>
    </row>
    <row r="440">
      <c r="A440">
        <f>'REGIÃO 11'!A38</f>
        <v/>
      </c>
      <c r="B440">
        <f>'REGIÃO 11'!B38</f>
        <v/>
      </c>
      <c r="C440">
        <f>'REGIÃO 11'!C38</f>
        <v/>
      </c>
      <c r="D440">
        <f>'REGIÃO 11'!D38</f>
        <v/>
      </c>
      <c r="E440">
        <f>'REGIÃO 11'!E38</f>
        <v/>
      </c>
      <c r="F440">
        <f>'REGIÃO 11'!F38</f>
        <v/>
      </c>
      <c r="G440">
        <f>'REGIÃO 11'!G38</f>
        <v/>
      </c>
      <c r="H440">
        <f>'REGIÃO 11'!H38</f>
        <v/>
      </c>
      <c r="I440">
        <f>'REGIÃO 11'!I38</f>
        <v/>
      </c>
      <c r="J440">
        <f>'REGIÃO 11'!J38</f>
        <v/>
      </c>
      <c r="K440" s="36">
        <f>'REGIÃO 11'!K38</f>
        <v/>
      </c>
      <c r="L440" t="inlineStr">
        <is>
          <t>REGIÃO 11</t>
        </is>
      </c>
    </row>
    <row r="441">
      <c r="A441">
        <f>'REGIÃO 11'!A39</f>
        <v/>
      </c>
      <c r="B441">
        <f>'REGIÃO 11'!B39</f>
        <v/>
      </c>
      <c r="C441">
        <f>'REGIÃO 11'!C39</f>
        <v/>
      </c>
      <c r="D441">
        <f>'REGIÃO 11'!D39</f>
        <v/>
      </c>
      <c r="E441">
        <f>'REGIÃO 11'!E39</f>
        <v/>
      </c>
      <c r="F441">
        <f>'REGIÃO 11'!F39</f>
        <v/>
      </c>
      <c r="G441">
        <f>'REGIÃO 11'!G39</f>
        <v/>
      </c>
      <c r="H441">
        <f>'REGIÃO 11'!H39</f>
        <v/>
      </c>
      <c r="I441">
        <f>'REGIÃO 11'!I39</f>
        <v/>
      </c>
      <c r="J441">
        <f>'REGIÃO 11'!J39</f>
        <v/>
      </c>
      <c r="K441" s="36">
        <f>'REGIÃO 11'!K39</f>
        <v/>
      </c>
      <c r="L441" t="inlineStr">
        <is>
          <t>REGIÃO 11</t>
        </is>
      </c>
    </row>
    <row r="442">
      <c r="A442">
        <f>'REGIÃO 11'!A40</f>
        <v/>
      </c>
      <c r="B442">
        <f>'REGIÃO 11'!B40</f>
        <v/>
      </c>
      <c r="C442">
        <f>'REGIÃO 11'!C40</f>
        <v/>
      </c>
      <c r="D442">
        <f>'REGIÃO 11'!D40</f>
        <v/>
      </c>
      <c r="E442">
        <f>'REGIÃO 11'!E40</f>
        <v/>
      </c>
      <c r="F442">
        <f>'REGIÃO 11'!F40</f>
        <v/>
      </c>
      <c r="G442">
        <f>'REGIÃO 11'!G40</f>
        <v/>
      </c>
      <c r="H442">
        <f>'REGIÃO 11'!H40</f>
        <v/>
      </c>
      <c r="I442">
        <f>'REGIÃO 11'!I40</f>
        <v/>
      </c>
      <c r="J442">
        <f>'REGIÃO 11'!J40</f>
        <v/>
      </c>
      <c r="K442" s="36">
        <f>'REGIÃO 11'!K40</f>
        <v/>
      </c>
      <c r="L442" t="inlineStr">
        <is>
          <t>REGIÃO 11</t>
        </is>
      </c>
    </row>
    <row r="443">
      <c r="A443">
        <f>'REGIÃO 11'!A41</f>
        <v/>
      </c>
      <c r="B443">
        <f>'REGIÃO 11'!B41</f>
        <v/>
      </c>
      <c r="C443">
        <f>'REGIÃO 11'!C41</f>
        <v/>
      </c>
      <c r="D443">
        <f>'REGIÃO 11'!D41</f>
        <v/>
      </c>
      <c r="E443">
        <f>'REGIÃO 11'!E41</f>
        <v/>
      </c>
      <c r="F443">
        <f>'REGIÃO 11'!F41</f>
        <v/>
      </c>
      <c r="G443">
        <f>'REGIÃO 11'!G41</f>
        <v/>
      </c>
      <c r="H443">
        <f>'REGIÃO 11'!H41</f>
        <v/>
      </c>
      <c r="I443">
        <f>'REGIÃO 11'!I41</f>
        <v/>
      </c>
      <c r="J443">
        <f>'REGIÃO 11'!J41</f>
        <v/>
      </c>
      <c r="K443" s="36">
        <f>'REGIÃO 11'!K41</f>
        <v/>
      </c>
      <c r="L443" t="inlineStr">
        <is>
          <t>REGIÃO 11</t>
        </is>
      </c>
    </row>
    <row r="444">
      <c r="A444">
        <f>'REGIÃO 11'!A42</f>
        <v/>
      </c>
      <c r="B444">
        <f>'REGIÃO 11'!B42</f>
        <v/>
      </c>
      <c r="C444">
        <f>'REGIÃO 11'!C42</f>
        <v/>
      </c>
      <c r="D444">
        <f>'REGIÃO 11'!D42</f>
        <v/>
      </c>
      <c r="E444">
        <f>'REGIÃO 11'!E42</f>
        <v/>
      </c>
      <c r="F444">
        <f>'REGIÃO 11'!F42</f>
        <v/>
      </c>
      <c r="G444">
        <f>'REGIÃO 11'!G42</f>
        <v/>
      </c>
      <c r="H444">
        <f>'REGIÃO 11'!H42</f>
        <v/>
      </c>
      <c r="I444">
        <f>'REGIÃO 11'!I42</f>
        <v/>
      </c>
      <c r="J444">
        <f>'REGIÃO 11'!J42</f>
        <v/>
      </c>
      <c r="K444" s="36">
        <f>'REGIÃO 11'!K42</f>
        <v/>
      </c>
      <c r="L444" t="inlineStr">
        <is>
          <t>REGIÃO 11</t>
        </is>
      </c>
    </row>
    <row r="445">
      <c r="A445">
        <f>'REGIÃO 11'!A43</f>
        <v/>
      </c>
      <c r="B445">
        <f>'REGIÃO 11'!B43</f>
        <v/>
      </c>
      <c r="C445">
        <f>'REGIÃO 11'!C43</f>
        <v/>
      </c>
      <c r="D445">
        <f>'REGIÃO 11'!D43</f>
        <v/>
      </c>
      <c r="E445">
        <f>'REGIÃO 11'!E43</f>
        <v/>
      </c>
      <c r="F445">
        <f>'REGIÃO 11'!F43</f>
        <v/>
      </c>
      <c r="G445">
        <f>'REGIÃO 11'!G43</f>
        <v/>
      </c>
      <c r="H445" t="inlineStr">
        <is>
          <t>PPS</t>
        </is>
      </c>
      <c r="I445">
        <f>'REGIÃO 11'!I43</f>
        <v/>
      </c>
      <c r="J445">
        <f>'REGIÃO 11'!J43</f>
        <v/>
      </c>
      <c r="K445" s="36">
        <f>'REGIÃO 11'!K43</f>
        <v/>
      </c>
      <c r="L445" t="inlineStr">
        <is>
          <t>REGIÃO 11</t>
        </is>
      </c>
    </row>
    <row r="446">
      <c r="A446">
        <f>'REGIÃO 11'!A44</f>
        <v/>
      </c>
      <c r="B446">
        <f>'REGIÃO 11'!B44</f>
        <v/>
      </c>
      <c r="C446">
        <f>'REGIÃO 11'!C44</f>
        <v/>
      </c>
      <c r="D446">
        <f>'REGIÃO 11'!D44</f>
        <v/>
      </c>
      <c r="E446">
        <f>'REGIÃO 11'!E44</f>
        <v/>
      </c>
      <c r="F446">
        <f>'REGIÃO 11'!F44</f>
        <v/>
      </c>
      <c r="G446">
        <f>'REGIÃO 11'!G44</f>
        <v/>
      </c>
      <c r="H446">
        <f>'REGIÃO 11'!H44</f>
        <v/>
      </c>
      <c r="I446">
        <f>'REGIÃO 11'!I44</f>
        <v/>
      </c>
      <c r="J446">
        <f>'REGIÃO 11'!J44</f>
        <v/>
      </c>
      <c r="K446" s="36">
        <f>'REGIÃO 11'!K44</f>
        <v/>
      </c>
      <c r="L446" t="inlineStr">
        <is>
          <t>REGIÃO 11</t>
        </is>
      </c>
    </row>
    <row r="447">
      <c r="A447">
        <f>'REGIÃO 11'!A45</f>
        <v/>
      </c>
      <c r="B447">
        <f>'REGIÃO 11'!B45</f>
        <v/>
      </c>
      <c r="C447">
        <f>'REGIÃO 11'!C45</f>
        <v/>
      </c>
      <c r="D447">
        <f>'REGIÃO 11'!D45</f>
        <v/>
      </c>
      <c r="E447">
        <f>'REGIÃO 11'!E45</f>
        <v/>
      </c>
      <c r="F447">
        <f>'REGIÃO 11'!F45</f>
        <v/>
      </c>
      <c r="G447">
        <f>'REGIÃO 11'!G45</f>
        <v/>
      </c>
      <c r="H447">
        <f>'REGIÃO 11'!H45</f>
        <v/>
      </c>
      <c r="I447">
        <f>'REGIÃO 11'!I45</f>
        <v/>
      </c>
      <c r="J447">
        <f>'REGIÃO 11'!J45</f>
        <v/>
      </c>
      <c r="K447" s="36">
        <f>'REGIÃO 11'!K45</f>
        <v/>
      </c>
      <c r="L447" t="inlineStr">
        <is>
          <t>REGIÃO 11</t>
        </is>
      </c>
    </row>
    <row r="448">
      <c r="A448">
        <f>'REGIÃO 11'!A46</f>
        <v/>
      </c>
      <c r="B448">
        <f>'REGIÃO 11'!B46</f>
        <v/>
      </c>
      <c r="C448">
        <f>'REGIÃO 11'!C46</f>
        <v/>
      </c>
      <c r="D448">
        <f>'REGIÃO 11'!D46</f>
        <v/>
      </c>
      <c r="E448">
        <f>'REGIÃO 11'!E46</f>
        <v/>
      </c>
      <c r="F448">
        <f>'REGIÃO 11'!F46</f>
        <v/>
      </c>
      <c r="G448">
        <f>'REGIÃO 11'!G46</f>
        <v/>
      </c>
      <c r="H448">
        <f>'REGIÃO 11'!H46</f>
        <v/>
      </c>
      <c r="I448">
        <f>'REGIÃO 11'!I46</f>
        <v/>
      </c>
      <c r="J448">
        <f>'REGIÃO 11'!J46</f>
        <v/>
      </c>
      <c r="K448" s="36">
        <f>'REGIÃO 11'!K46</f>
        <v/>
      </c>
      <c r="L448" t="inlineStr">
        <is>
          <t>REGIÃO 11</t>
        </is>
      </c>
    </row>
    <row r="449">
      <c r="A449">
        <f>'REGIÃO 11'!A47</f>
        <v/>
      </c>
      <c r="B449">
        <f>'REGIÃO 11'!B47</f>
        <v/>
      </c>
      <c r="C449">
        <f>'REGIÃO 11'!C47</f>
        <v/>
      </c>
      <c r="D449">
        <f>'REGIÃO 11'!D47</f>
        <v/>
      </c>
      <c r="E449">
        <f>'REGIÃO 11'!E47</f>
        <v/>
      </c>
      <c r="F449">
        <f>'REGIÃO 11'!F47</f>
        <v/>
      </c>
      <c r="G449">
        <f>'REGIÃO 11'!G47</f>
        <v/>
      </c>
      <c r="H449">
        <f>'REGIÃO 11'!H47</f>
        <v/>
      </c>
      <c r="I449">
        <f>'REGIÃO 11'!I47</f>
        <v/>
      </c>
      <c r="J449">
        <f>'REGIÃO 11'!J47</f>
        <v/>
      </c>
      <c r="K449" s="36">
        <f>'REGIÃO 11'!K47</f>
        <v/>
      </c>
      <c r="L449" t="inlineStr">
        <is>
          <t>REGIÃO 11</t>
        </is>
      </c>
    </row>
    <row r="450">
      <c r="A450">
        <f>'REGIÃO 11'!A48</f>
        <v/>
      </c>
      <c r="B450">
        <f>'REGIÃO 11'!B48</f>
        <v/>
      </c>
      <c r="C450">
        <f>'REGIÃO 11'!C48</f>
        <v/>
      </c>
      <c r="D450">
        <f>'REGIÃO 11'!D48</f>
        <v/>
      </c>
      <c r="E450">
        <f>'REGIÃO 11'!E48</f>
        <v/>
      </c>
      <c r="F450">
        <f>'REGIÃO 11'!F48</f>
        <v/>
      </c>
      <c r="G450">
        <f>'REGIÃO 11'!G48</f>
        <v/>
      </c>
      <c r="H450">
        <f>'REGIÃO 11'!H48</f>
        <v/>
      </c>
      <c r="I450">
        <f>'REGIÃO 11'!I48</f>
        <v/>
      </c>
      <c r="J450">
        <f>'REGIÃO 11'!J48</f>
        <v/>
      </c>
      <c r="K450" s="36">
        <f>'REGIÃO 11'!K48</f>
        <v/>
      </c>
      <c r="L450" t="inlineStr">
        <is>
          <t>REGIÃO 11</t>
        </is>
      </c>
    </row>
    <row r="451">
      <c r="A451">
        <f>'REGIÃO 11'!A49</f>
        <v/>
      </c>
      <c r="B451">
        <f>'REGIÃO 11'!B49</f>
        <v/>
      </c>
      <c r="C451">
        <f>'REGIÃO 11'!C49</f>
        <v/>
      </c>
      <c r="D451">
        <f>'REGIÃO 11'!D49</f>
        <v/>
      </c>
      <c r="E451">
        <f>'REGIÃO 11'!E49</f>
        <v/>
      </c>
      <c r="F451">
        <f>'REGIÃO 11'!F49</f>
        <v/>
      </c>
      <c r="G451">
        <f>'REGIÃO 11'!G49</f>
        <v/>
      </c>
      <c r="H451">
        <f>'REGIÃO 11'!H49</f>
        <v/>
      </c>
      <c r="I451">
        <f>'REGIÃO 11'!I49</f>
        <v/>
      </c>
      <c r="J451">
        <f>'REGIÃO 11'!J49</f>
        <v/>
      </c>
      <c r="K451" s="36">
        <f>'REGIÃO 11'!K49</f>
        <v/>
      </c>
      <c r="L451" t="inlineStr">
        <is>
          <t>REGIÃO 11</t>
        </is>
      </c>
    </row>
    <row r="452">
      <c r="A452">
        <f>'REGIÃO 11'!A50</f>
        <v/>
      </c>
      <c r="B452">
        <f>'REGIÃO 11'!B50</f>
        <v/>
      </c>
      <c r="C452">
        <f>'REGIÃO 11'!C50</f>
        <v/>
      </c>
      <c r="D452">
        <f>'REGIÃO 11'!D50</f>
        <v/>
      </c>
      <c r="E452">
        <f>'REGIÃO 11'!E50</f>
        <v/>
      </c>
      <c r="F452">
        <f>'REGIÃO 11'!F50</f>
        <v/>
      </c>
      <c r="G452">
        <f>'REGIÃO 11'!G50</f>
        <v/>
      </c>
      <c r="H452">
        <f>'REGIÃO 11'!H50</f>
        <v/>
      </c>
      <c r="I452">
        <f>'REGIÃO 11'!I50</f>
        <v/>
      </c>
      <c r="J452">
        <f>'REGIÃO 11'!J50</f>
        <v/>
      </c>
      <c r="K452" s="36">
        <f>'REGIÃO 11'!K50</f>
        <v/>
      </c>
      <c r="L452" t="inlineStr">
        <is>
          <t>REGIÃO 11</t>
        </is>
      </c>
    </row>
    <row r="453">
      <c r="A453">
        <f>'REGIÃO 11'!A51</f>
        <v/>
      </c>
      <c r="B453">
        <f>'REGIÃO 11'!B51</f>
        <v/>
      </c>
      <c r="C453">
        <f>'REGIÃO 11'!C51</f>
        <v/>
      </c>
      <c r="D453">
        <f>'REGIÃO 11'!D51</f>
        <v/>
      </c>
      <c r="E453">
        <f>'REGIÃO 11'!E51</f>
        <v/>
      </c>
      <c r="F453">
        <f>'REGIÃO 11'!F51</f>
        <v/>
      </c>
      <c r="G453">
        <f>'REGIÃO 11'!G51</f>
        <v/>
      </c>
      <c r="H453">
        <f>'REGIÃO 11'!H51</f>
        <v/>
      </c>
      <c r="I453">
        <f>'REGIÃO 11'!I51</f>
        <v/>
      </c>
      <c r="J453">
        <f>'REGIÃO 11'!J51</f>
        <v/>
      </c>
      <c r="K453" s="36">
        <f>'REGIÃO 11'!K51</f>
        <v/>
      </c>
      <c r="L453" t="inlineStr">
        <is>
          <t>REGIÃO 11</t>
        </is>
      </c>
    </row>
    <row r="454">
      <c r="A454">
        <f>'REGIÃO 11'!A52</f>
        <v/>
      </c>
      <c r="B454">
        <f>'REGIÃO 11'!B52</f>
        <v/>
      </c>
      <c r="C454">
        <f>'REGIÃO 11'!C52</f>
        <v/>
      </c>
      <c r="D454">
        <f>'REGIÃO 11'!D52</f>
        <v/>
      </c>
      <c r="E454">
        <f>'REGIÃO 11'!E52</f>
        <v/>
      </c>
      <c r="F454">
        <f>'REGIÃO 11'!F52</f>
        <v/>
      </c>
      <c r="G454">
        <f>'REGIÃO 11'!G52</f>
        <v/>
      </c>
      <c r="H454">
        <f>'REGIÃO 11'!H52</f>
        <v/>
      </c>
      <c r="I454">
        <f>'REGIÃO 11'!I52</f>
        <v/>
      </c>
      <c r="J454">
        <f>'REGIÃO 11'!J52</f>
        <v/>
      </c>
      <c r="K454" s="36">
        <f>'REGIÃO 11'!K52</f>
        <v/>
      </c>
      <c r="L454" t="inlineStr">
        <is>
          <t>REGIÃO 11</t>
        </is>
      </c>
    </row>
    <row r="455">
      <c r="A455">
        <f>'REGIÃO 11'!A53</f>
        <v/>
      </c>
      <c r="B455">
        <f>'REGIÃO 11'!B53</f>
        <v/>
      </c>
      <c r="C455">
        <f>'REGIÃO 11'!C53</f>
        <v/>
      </c>
      <c r="D455">
        <f>'REGIÃO 11'!D53</f>
        <v/>
      </c>
      <c r="E455">
        <f>'REGIÃO 11'!E53</f>
        <v/>
      </c>
      <c r="F455">
        <f>'REGIÃO 11'!F53</f>
        <v/>
      </c>
      <c r="G455">
        <f>'REGIÃO 11'!G53</f>
        <v/>
      </c>
      <c r="H455">
        <f>'REGIÃO 11'!H53</f>
        <v/>
      </c>
      <c r="I455">
        <f>'REGIÃO 11'!I53</f>
        <v/>
      </c>
      <c r="J455">
        <f>'REGIÃO 11'!J53</f>
        <v/>
      </c>
      <c r="K455" s="36">
        <f>'REGIÃO 11'!K53</f>
        <v/>
      </c>
      <c r="L455" t="inlineStr">
        <is>
          <t>REGIÃO 11</t>
        </is>
      </c>
    </row>
    <row r="456">
      <c r="A456">
        <f>'REGIÃO 11'!A54</f>
        <v/>
      </c>
      <c r="B456">
        <f>'REGIÃO 11'!B54</f>
        <v/>
      </c>
      <c r="C456">
        <f>'REGIÃO 11'!C54</f>
        <v/>
      </c>
      <c r="D456">
        <f>'REGIÃO 11'!D54</f>
        <v/>
      </c>
      <c r="E456">
        <f>'REGIÃO 11'!E54</f>
        <v/>
      </c>
      <c r="F456">
        <f>'REGIÃO 11'!F54</f>
        <v/>
      </c>
      <c r="G456">
        <f>'REGIÃO 11'!G54</f>
        <v/>
      </c>
      <c r="H456">
        <f>'REGIÃO 11'!H54</f>
        <v/>
      </c>
      <c r="I456">
        <f>'REGIÃO 11'!I54</f>
        <v/>
      </c>
      <c r="J456">
        <f>'REGIÃO 11'!J54</f>
        <v/>
      </c>
      <c r="K456" s="36">
        <f>'REGIÃO 11'!K54</f>
        <v/>
      </c>
      <c r="L456" t="inlineStr">
        <is>
          <t>REGIÃO 11</t>
        </is>
      </c>
    </row>
    <row r="457">
      <c r="A457">
        <f>'REGIÃO 11'!A55</f>
        <v/>
      </c>
      <c r="B457">
        <f>'REGIÃO 11'!B55</f>
        <v/>
      </c>
      <c r="C457">
        <f>'REGIÃO 11'!C55</f>
        <v/>
      </c>
      <c r="D457">
        <f>'REGIÃO 11'!D55</f>
        <v/>
      </c>
      <c r="E457">
        <f>'REGIÃO 11'!E55</f>
        <v/>
      </c>
      <c r="F457">
        <f>'REGIÃO 11'!F55</f>
        <v/>
      </c>
      <c r="G457">
        <f>'REGIÃO 11'!G55</f>
        <v/>
      </c>
      <c r="H457">
        <f>'REGIÃO 11'!H55</f>
        <v/>
      </c>
      <c r="I457">
        <f>'REGIÃO 11'!I55</f>
        <v/>
      </c>
      <c r="J457">
        <f>'REGIÃO 11'!J55</f>
        <v/>
      </c>
      <c r="K457" s="36">
        <f>'REGIÃO 11'!K55</f>
        <v/>
      </c>
      <c r="L457" t="inlineStr">
        <is>
          <t>REGIÃO 11</t>
        </is>
      </c>
    </row>
    <row r="458">
      <c r="A458">
        <f>'REGIÃO 11'!A56</f>
        <v/>
      </c>
      <c r="B458">
        <f>'REGIÃO 11'!B56</f>
        <v/>
      </c>
      <c r="C458">
        <f>'REGIÃO 11'!C56</f>
        <v/>
      </c>
      <c r="D458">
        <f>'REGIÃO 11'!D56</f>
        <v/>
      </c>
      <c r="E458">
        <f>'REGIÃO 11'!E56</f>
        <v/>
      </c>
      <c r="F458">
        <f>'REGIÃO 11'!F56</f>
        <v/>
      </c>
      <c r="G458">
        <f>'REGIÃO 11'!G56</f>
        <v/>
      </c>
      <c r="H458">
        <f>'REGIÃO 11'!H56</f>
        <v/>
      </c>
      <c r="I458">
        <f>'REGIÃO 11'!I56</f>
        <v/>
      </c>
      <c r="J458">
        <f>'REGIÃO 11'!J56</f>
        <v/>
      </c>
      <c r="K458" s="36">
        <f>'REGIÃO 11'!K56</f>
        <v/>
      </c>
      <c r="L458" t="inlineStr">
        <is>
          <t>REGIÃO 11</t>
        </is>
      </c>
    </row>
    <row r="459">
      <c r="A459">
        <f>'REGIÃO 11'!A57</f>
        <v/>
      </c>
      <c r="B459">
        <f>'REGIÃO 11'!B57</f>
        <v/>
      </c>
      <c r="C459">
        <f>'REGIÃO 11'!C57</f>
        <v/>
      </c>
      <c r="D459">
        <f>'REGIÃO 11'!D57</f>
        <v/>
      </c>
      <c r="E459">
        <f>'REGIÃO 11'!E57</f>
        <v/>
      </c>
      <c r="F459">
        <f>'REGIÃO 11'!F57</f>
        <v/>
      </c>
      <c r="G459">
        <f>'REGIÃO 11'!G57</f>
        <v/>
      </c>
      <c r="H459">
        <f>'REGIÃO 11'!H57</f>
        <v/>
      </c>
      <c r="I459">
        <f>'REGIÃO 11'!I57</f>
        <v/>
      </c>
      <c r="J459">
        <f>'REGIÃO 11'!J57</f>
        <v/>
      </c>
      <c r="K459" s="36">
        <f>'REGIÃO 11'!K57</f>
        <v/>
      </c>
      <c r="L459" t="inlineStr">
        <is>
          <t>REGIÃO 11</t>
        </is>
      </c>
    </row>
    <row r="460">
      <c r="A460">
        <f>'REGIÃO 11'!A58</f>
        <v/>
      </c>
      <c r="B460">
        <f>'REGIÃO 11'!B58</f>
        <v/>
      </c>
      <c r="C460">
        <f>'REGIÃO 11'!C58</f>
        <v/>
      </c>
      <c r="D460">
        <f>'REGIÃO 11'!D58</f>
        <v/>
      </c>
      <c r="E460">
        <f>'REGIÃO 11'!E58</f>
        <v/>
      </c>
      <c r="F460">
        <f>'REGIÃO 11'!F58</f>
        <v/>
      </c>
      <c r="G460">
        <f>'REGIÃO 11'!G58</f>
        <v/>
      </c>
      <c r="H460">
        <f>'REGIÃO 11'!H58</f>
        <v/>
      </c>
      <c r="I460">
        <f>'REGIÃO 11'!I58</f>
        <v/>
      </c>
      <c r="J460">
        <f>'REGIÃO 11'!J58</f>
        <v/>
      </c>
      <c r="K460" s="36">
        <f>'REGIÃO 11'!K58</f>
        <v/>
      </c>
      <c r="L460" t="inlineStr">
        <is>
          <t>REGIÃO 11</t>
        </is>
      </c>
    </row>
    <row r="461">
      <c r="A461">
        <f>'REGIÃO 11'!A59</f>
        <v/>
      </c>
      <c r="B461">
        <f>'REGIÃO 11'!B59</f>
        <v/>
      </c>
      <c r="C461">
        <f>'REGIÃO 11'!C59</f>
        <v/>
      </c>
      <c r="D461">
        <f>'REGIÃO 11'!D59</f>
        <v/>
      </c>
      <c r="E461">
        <f>'REGIÃO 11'!E59</f>
        <v/>
      </c>
      <c r="F461">
        <f>'REGIÃO 11'!F59</f>
        <v/>
      </c>
      <c r="G461">
        <f>'REGIÃO 11'!G59</f>
        <v/>
      </c>
      <c r="H461">
        <f>'REGIÃO 11'!H59</f>
        <v/>
      </c>
      <c r="I461">
        <f>'REGIÃO 11'!I59</f>
        <v/>
      </c>
      <c r="J461">
        <f>'REGIÃO 11'!J59</f>
        <v/>
      </c>
      <c r="K461" s="36">
        <f>'REGIÃO 11'!K59</f>
        <v/>
      </c>
      <c r="L461" t="inlineStr">
        <is>
          <t>REGIÃO 11</t>
        </is>
      </c>
    </row>
    <row r="462">
      <c r="A462">
        <f>'REGIÃO 11'!A60</f>
        <v/>
      </c>
      <c r="B462">
        <f>'REGIÃO 11'!B60</f>
        <v/>
      </c>
      <c r="C462">
        <f>'REGIÃO 11'!C60</f>
        <v/>
      </c>
      <c r="D462">
        <f>'REGIÃO 11'!D60</f>
        <v/>
      </c>
      <c r="E462">
        <f>'REGIÃO 11'!E60</f>
        <v/>
      </c>
      <c r="F462">
        <f>'REGIÃO 11'!F60</f>
        <v/>
      </c>
      <c r="G462">
        <f>'REGIÃO 11'!G60</f>
        <v/>
      </c>
      <c r="H462">
        <f>'REGIÃO 11'!H60</f>
        <v/>
      </c>
      <c r="I462">
        <f>'REGIÃO 11'!I60</f>
        <v/>
      </c>
      <c r="J462">
        <f>'REGIÃO 11'!J60</f>
        <v/>
      </c>
      <c r="K462" s="36">
        <f>'REGIÃO 11'!K60</f>
        <v/>
      </c>
      <c r="L462" t="inlineStr">
        <is>
          <t>REGIÃO 11</t>
        </is>
      </c>
    </row>
    <row r="463">
      <c r="A463">
        <f>'REGIÃO 11'!A61</f>
        <v/>
      </c>
      <c r="B463">
        <f>'REGIÃO 11'!B61</f>
        <v/>
      </c>
      <c r="C463">
        <f>'REGIÃO 11'!C61</f>
        <v/>
      </c>
      <c r="D463">
        <f>'REGIÃO 11'!D61</f>
        <v/>
      </c>
      <c r="E463">
        <f>'REGIÃO 11'!E61</f>
        <v/>
      </c>
      <c r="F463">
        <f>'REGIÃO 11'!F61</f>
        <v/>
      </c>
      <c r="G463">
        <f>'REGIÃO 11'!G61</f>
        <v/>
      </c>
      <c r="H463">
        <f>'REGIÃO 11'!H61</f>
        <v/>
      </c>
      <c r="I463">
        <f>'REGIÃO 11'!I61</f>
        <v/>
      </c>
      <c r="J463">
        <f>'REGIÃO 11'!J61</f>
        <v/>
      </c>
      <c r="K463" s="36">
        <f>'REGIÃO 11'!K61</f>
        <v/>
      </c>
      <c r="L463" t="inlineStr">
        <is>
          <t>REGIÃO 11</t>
        </is>
      </c>
    </row>
    <row r="464">
      <c r="A464">
        <f>'REGIÃO 11'!A62</f>
        <v/>
      </c>
      <c r="B464">
        <f>'REGIÃO 11'!B62</f>
        <v/>
      </c>
      <c r="C464">
        <f>'REGIÃO 11'!C62</f>
        <v/>
      </c>
      <c r="D464">
        <f>'REGIÃO 11'!D62</f>
        <v/>
      </c>
      <c r="E464">
        <f>'REGIÃO 11'!E62</f>
        <v/>
      </c>
      <c r="F464">
        <f>'REGIÃO 11'!F62</f>
        <v/>
      </c>
      <c r="G464">
        <f>'REGIÃO 11'!G62</f>
        <v/>
      </c>
      <c r="H464">
        <f>'REGIÃO 11'!H62</f>
        <v/>
      </c>
      <c r="I464">
        <f>'REGIÃO 11'!I62</f>
        <v/>
      </c>
      <c r="J464">
        <f>'REGIÃO 11'!J62</f>
        <v/>
      </c>
      <c r="K464" s="36">
        <f>'REGIÃO 11'!K62</f>
        <v/>
      </c>
      <c r="L464" t="inlineStr">
        <is>
          <t>REGIÃO 11</t>
        </is>
      </c>
    </row>
    <row r="465">
      <c r="A465">
        <f>'REGIÃO 11'!A63</f>
        <v/>
      </c>
      <c r="B465">
        <f>'REGIÃO 11'!B63</f>
        <v/>
      </c>
      <c r="C465">
        <f>'REGIÃO 11'!C63</f>
        <v/>
      </c>
      <c r="D465">
        <f>'REGIÃO 11'!D63</f>
        <v/>
      </c>
      <c r="E465">
        <f>'REGIÃO 11'!E63</f>
        <v/>
      </c>
      <c r="F465">
        <f>'REGIÃO 11'!F63</f>
        <v/>
      </c>
      <c r="G465">
        <f>'REGIÃO 11'!G63</f>
        <v/>
      </c>
      <c r="H465">
        <f>'REGIÃO 11'!H63</f>
        <v/>
      </c>
      <c r="I465">
        <f>'REGIÃO 11'!I63</f>
        <v/>
      </c>
      <c r="J465">
        <f>'REGIÃO 11'!J63</f>
        <v/>
      </c>
      <c r="K465" s="36">
        <f>'REGIÃO 11'!K63</f>
        <v/>
      </c>
      <c r="L465" t="inlineStr">
        <is>
          <t>REGIÃO 11</t>
        </is>
      </c>
    </row>
    <row r="466">
      <c r="A466">
        <f>'REGIÃO 11'!A64</f>
        <v/>
      </c>
      <c r="B466">
        <f>'REGIÃO 11'!B64</f>
        <v/>
      </c>
      <c r="C466">
        <f>'REGIÃO 11'!C64</f>
        <v/>
      </c>
      <c r="D466">
        <f>'REGIÃO 11'!D64</f>
        <v/>
      </c>
      <c r="E466">
        <f>'REGIÃO 11'!E64</f>
        <v/>
      </c>
      <c r="F466">
        <f>'REGIÃO 11'!F64</f>
        <v/>
      </c>
      <c r="G466">
        <f>'REGIÃO 11'!G64</f>
        <v/>
      </c>
      <c r="H466">
        <f>'REGIÃO 11'!H64</f>
        <v/>
      </c>
      <c r="I466">
        <f>'REGIÃO 11'!I64</f>
        <v/>
      </c>
      <c r="J466">
        <f>'REGIÃO 11'!J64</f>
        <v/>
      </c>
      <c r="K466" s="36">
        <f>'REGIÃO 11'!K64</f>
        <v/>
      </c>
      <c r="L466" t="inlineStr">
        <is>
          <t>REGIÃO 11</t>
        </is>
      </c>
    </row>
    <row r="467">
      <c r="A467">
        <f>'REGIÃO 11'!A65</f>
        <v/>
      </c>
      <c r="B467">
        <f>'REGIÃO 11'!B65</f>
        <v/>
      </c>
      <c r="C467">
        <f>'REGIÃO 11'!C65</f>
        <v/>
      </c>
      <c r="D467">
        <f>'REGIÃO 11'!D65</f>
        <v/>
      </c>
      <c r="E467">
        <f>'REGIÃO 11'!E65</f>
        <v/>
      </c>
      <c r="F467">
        <f>'REGIÃO 11'!F65</f>
        <v/>
      </c>
      <c r="G467">
        <f>'REGIÃO 11'!G65</f>
        <v/>
      </c>
      <c r="H467">
        <f>'REGIÃO 11'!H65</f>
        <v/>
      </c>
      <c r="I467">
        <f>'REGIÃO 11'!I65</f>
        <v/>
      </c>
      <c r="J467">
        <f>'REGIÃO 11'!J65</f>
        <v/>
      </c>
      <c r="K467" s="36">
        <f>'REGIÃO 11'!K65</f>
        <v/>
      </c>
      <c r="L467" t="inlineStr">
        <is>
          <t>REGIÃO 11</t>
        </is>
      </c>
    </row>
    <row r="468">
      <c r="A468">
        <f>'REGIÃO 11'!A66</f>
        <v/>
      </c>
      <c r="B468">
        <f>'REGIÃO 11'!B66</f>
        <v/>
      </c>
      <c r="C468">
        <f>'REGIÃO 11'!C66</f>
        <v/>
      </c>
      <c r="D468">
        <f>'REGIÃO 11'!D66</f>
        <v/>
      </c>
      <c r="E468">
        <f>'REGIÃO 11'!E66</f>
        <v/>
      </c>
      <c r="F468">
        <f>'REGIÃO 11'!F66</f>
        <v/>
      </c>
      <c r="G468">
        <f>'REGIÃO 11'!G66</f>
        <v/>
      </c>
      <c r="H468">
        <f>'REGIÃO 11'!H66</f>
        <v/>
      </c>
      <c r="I468">
        <f>'REGIÃO 11'!I66</f>
        <v/>
      </c>
      <c r="J468">
        <f>'REGIÃO 11'!J66</f>
        <v/>
      </c>
      <c r="K468" s="36">
        <f>'REGIÃO 11'!K66</f>
        <v/>
      </c>
      <c r="L468" t="inlineStr">
        <is>
          <t>REGIÃO 11</t>
        </is>
      </c>
    </row>
    <row r="469">
      <c r="A469">
        <f>'REGIÃO 11'!A67</f>
        <v/>
      </c>
      <c r="B469">
        <f>'REGIÃO 11'!B67</f>
        <v/>
      </c>
      <c r="C469">
        <f>'REGIÃO 11'!C67</f>
        <v/>
      </c>
      <c r="D469">
        <f>'REGIÃO 11'!D67</f>
        <v/>
      </c>
      <c r="E469">
        <f>'REGIÃO 11'!E67</f>
        <v/>
      </c>
      <c r="F469">
        <f>'REGIÃO 11'!F67</f>
        <v/>
      </c>
      <c r="G469">
        <f>'REGIÃO 11'!G67</f>
        <v/>
      </c>
      <c r="H469">
        <f>'REGIÃO 11'!H67</f>
        <v/>
      </c>
      <c r="I469">
        <f>'REGIÃO 11'!I67</f>
        <v/>
      </c>
      <c r="J469">
        <f>'REGIÃO 11'!J67</f>
        <v/>
      </c>
      <c r="K469" s="36">
        <f>'REGIÃO 11'!K67</f>
        <v/>
      </c>
      <c r="L469" t="inlineStr">
        <is>
          <t>REGIÃO 11</t>
        </is>
      </c>
    </row>
    <row r="470">
      <c r="A470">
        <f>'REGIÃO 11'!A68</f>
        <v/>
      </c>
      <c r="B470">
        <f>'REGIÃO 11'!B68</f>
        <v/>
      </c>
      <c r="C470">
        <f>'REGIÃO 11'!C68</f>
        <v/>
      </c>
      <c r="D470">
        <f>'REGIÃO 11'!D68</f>
        <v/>
      </c>
      <c r="E470">
        <f>'REGIÃO 11'!E68</f>
        <v/>
      </c>
      <c r="F470">
        <f>'REGIÃO 11'!F68</f>
        <v/>
      </c>
      <c r="G470">
        <f>'REGIÃO 11'!G68</f>
        <v/>
      </c>
      <c r="H470">
        <f>'REGIÃO 11'!H68</f>
        <v/>
      </c>
      <c r="I470">
        <f>'REGIÃO 11'!I68</f>
        <v/>
      </c>
      <c r="J470">
        <f>'REGIÃO 11'!J68</f>
        <v/>
      </c>
      <c r="K470" s="36">
        <f>'REGIÃO 11'!K68</f>
        <v/>
      </c>
      <c r="L470" t="inlineStr">
        <is>
          <t>REGIÃO 11</t>
        </is>
      </c>
    </row>
    <row r="471">
      <c r="A471">
        <f>'REGIÃO 11'!A69</f>
        <v/>
      </c>
      <c r="B471">
        <f>'REGIÃO 11'!B69</f>
        <v/>
      </c>
      <c r="C471">
        <f>'REGIÃO 11'!C69</f>
        <v/>
      </c>
      <c r="D471">
        <f>'REGIÃO 11'!D69</f>
        <v/>
      </c>
      <c r="E471">
        <f>'REGIÃO 11'!E69</f>
        <v/>
      </c>
      <c r="F471">
        <f>'REGIÃO 11'!F69</f>
        <v/>
      </c>
      <c r="G471">
        <f>'REGIÃO 11'!G69</f>
        <v/>
      </c>
      <c r="H471">
        <f>'REGIÃO 11'!H69</f>
        <v/>
      </c>
      <c r="I471">
        <f>'REGIÃO 11'!I69</f>
        <v/>
      </c>
      <c r="J471">
        <f>'REGIÃO 11'!J69</f>
        <v/>
      </c>
      <c r="K471" s="36">
        <f>'REGIÃO 11'!K69</f>
        <v/>
      </c>
      <c r="L471" t="inlineStr">
        <is>
          <t>REGIÃO 11</t>
        </is>
      </c>
    </row>
    <row r="472">
      <c r="A472">
        <f>'REGIÃO 11'!A70</f>
        <v/>
      </c>
      <c r="B472">
        <f>'REGIÃO 11'!B70</f>
        <v/>
      </c>
      <c r="C472">
        <f>'REGIÃO 11'!C70</f>
        <v/>
      </c>
      <c r="D472">
        <f>'REGIÃO 11'!D70</f>
        <v/>
      </c>
      <c r="E472">
        <f>'REGIÃO 11'!E70</f>
        <v/>
      </c>
      <c r="F472">
        <f>'REGIÃO 11'!F70</f>
        <v/>
      </c>
      <c r="G472">
        <f>'REGIÃO 11'!G70</f>
        <v/>
      </c>
      <c r="H472">
        <f>'REGIÃO 11'!H70</f>
        <v/>
      </c>
      <c r="I472">
        <f>'REGIÃO 11'!I70</f>
        <v/>
      </c>
      <c r="J472">
        <f>'REGIÃO 11'!J70</f>
        <v/>
      </c>
      <c r="K472" s="36">
        <f>'REGIÃO 11'!K70</f>
        <v/>
      </c>
      <c r="L472" t="inlineStr">
        <is>
          <t>REGIÃO 11</t>
        </is>
      </c>
    </row>
    <row r="473">
      <c r="A473" s="35">
        <f>'REGIÃO 12'!A2</f>
        <v/>
      </c>
      <c r="B473">
        <f>'REGIÃO 12'!B2</f>
        <v/>
      </c>
      <c r="C473" s="35">
        <f>'REGIÃO 12'!C2</f>
        <v/>
      </c>
      <c r="D473">
        <f>'REGIÃO 12'!D2</f>
        <v/>
      </c>
      <c r="E473">
        <f>'REGIÃO 12'!E2</f>
        <v/>
      </c>
      <c r="F473">
        <f>'REGIÃO 12'!F2</f>
        <v/>
      </c>
      <c r="G473">
        <f>'REGIÃO 12'!G2</f>
        <v/>
      </c>
      <c r="H473">
        <f>'REGIÃO 12'!H2</f>
        <v/>
      </c>
      <c r="I473">
        <f>'REGIÃO 12'!I2</f>
        <v/>
      </c>
      <c r="J473">
        <f>'REGIÃO 12'!J2</f>
        <v/>
      </c>
      <c r="K473" s="36">
        <f>'REGIÃO 12'!K2</f>
        <v/>
      </c>
      <c r="L473" t="inlineStr">
        <is>
          <t>REGIÃO 12</t>
        </is>
      </c>
    </row>
    <row r="474">
      <c r="A474">
        <f>'REGIÃO 12'!A3</f>
        <v/>
      </c>
      <c r="B474">
        <f>'REGIÃO 12'!B3</f>
        <v/>
      </c>
      <c r="C474">
        <f>'REGIÃO 12'!C3</f>
        <v/>
      </c>
      <c r="D474">
        <f>'REGIÃO 12'!D3</f>
        <v/>
      </c>
      <c r="E474">
        <f>'REGIÃO 12'!E3</f>
        <v/>
      </c>
      <c r="F474">
        <f>'REGIÃO 12'!F3</f>
        <v/>
      </c>
      <c r="G474">
        <f>'REGIÃO 12'!G3</f>
        <v/>
      </c>
      <c r="H474">
        <f>'REGIÃO 12'!H3</f>
        <v/>
      </c>
      <c r="I474">
        <f>'REGIÃO 12'!I3</f>
        <v/>
      </c>
      <c r="J474">
        <f>'REGIÃO 12'!J3</f>
        <v/>
      </c>
      <c r="K474" s="36">
        <f>'REGIÃO 12'!K3</f>
        <v/>
      </c>
      <c r="L474" t="inlineStr">
        <is>
          <t>REGIÃO 12</t>
        </is>
      </c>
    </row>
    <row r="475">
      <c r="A475">
        <f>'REGIÃO 12'!A4</f>
        <v/>
      </c>
      <c r="B475">
        <f>'REGIÃO 12'!B4</f>
        <v/>
      </c>
      <c r="C475">
        <f>'REGIÃO 12'!C4</f>
        <v/>
      </c>
      <c r="D475">
        <f>'REGIÃO 12'!D4</f>
        <v/>
      </c>
      <c r="E475">
        <f>'REGIÃO 12'!E4</f>
        <v/>
      </c>
      <c r="F475">
        <f>'REGIÃO 12'!F4</f>
        <v/>
      </c>
      <c r="G475">
        <f>'REGIÃO 12'!G4</f>
        <v/>
      </c>
      <c r="H475">
        <f>'REGIÃO 12'!H4</f>
        <v/>
      </c>
      <c r="I475">
        <f>'REGIÃO 12'!I4</f>
        <v/>
      </c>
      <c r="J475">
        <f>'REGIÃO 12'!J4</f>
        <v/>
      </c>
      <c r="K475" s="36">
        <f>'REGIÃO 12'!K4</f>
        <v/>
      </c>
      <c r="L475" t="inlineStr">
        <is>
          <t>REGIÃO 12</t>
        </is>
      </c>
    </row>
    <row r="476">
      <c r="A476">
        <f>'REGIÃO 12'!A5</f>
        <v/>
      </c>
      <c r="B476">
        <f>'REGIÃO 12'!B5</f>
        <v/>
      </c>
      <c r="C476">
        <f>'REGIÃO 12'!C5</f>
        <v/>
      </c>
      <c r="D476">
        <f>'REGIÃO 12'!D5</f>
        <v/>
      </c>
      <c r="E476">
        <f>'REGIÃO 12'!E5</f>
        <v/>
      </c>
      <c r="F476">
        <f>'REGIÃO 12'!F5</f>
        <v/>
      </c>
      <c r="G476">
        <f>'REGIÃO 12'!G5</f>
        <v/>
      </c>
      <c r="H476">
        <f>'REGIÃO 12'!H5</f>
        <v/>
      </c>
      <c r="I476">
        <f>'REGIÃO 12'!I5</f>
        <v/>
      </c>
      <c r="J476">
        <f>'REGIÃO 12'!J5</f>
        <v/>
      </c>
      <c r="K476" s="36">
        <f>'REGIÃO 12'!K5</f>
        <v/>
      </c>
      <c r="L476" t="inlineStr">
        <is>
          <t>REGIÃO 12</t>
        </is>
      </c>
    </row>
    <row r="477">
      <c r="A477">
        <f>'REGIÃO 12'!A6</f>
        <v/>
      </c>
      <c r="B477">
        <f>'REGIÃO 12'!B6</f>
        <v/>
      </c>
      <c r="C477">
        <f>'REGIÃO 12'!C6</f>
        <v/>
      </c>
      <c r="D477">
        <f>'REGIÃO 12'!D6</f>
        <v/>
      </c>
      <c r="E477">
        <f>'REGIÃO 12'!E6</f>
        <v/>
      </c>
      <c r="F477">
        <f>'REGIÃO 12'!F6</f>
        <v/>
      </c>
      <c r="G477">
        <f>'REGIÃO 12'!G6</f>
        <v/>
      </c>
      <c r="H477">
        <f>'REGIÃO 12'!H6</f>
        <v/>
      </c>
      <c r="I477">
        <f>'REGIÃO 12'!I6</f>
        <v/>
      </c>
      <c r="J477">
        <f>'REGIÃO 12'!J6</f>
        <v/>
      </c>
      <c r="K477" s="36">
        <f>'REGIÃO 12'!K6</f>
        <v/>
      </c>
      <c r="L477" t="inlineStr">
        <is>
          <t>REGIÃO 12</t>
        </is>
      </c>
    </row>
    <row r="478">
      <c r="A478">
        <f>'REGIÃO 12'!A7</f>
        <v/>
      </c>
      <c r="B478">
        <f>'REGIÃO 12'!B7</f>
        <v/>
      </c>
      <c r="C478">
        <f>'REGIÃO 12'!C7</f>
        <v/>
      </c>
      <c r="D478">
        <f>'REGIÃO 12'!D7</f>
        <v/>
      </c>
      <c r="E478">
        <f>'REGIÃO 12'!E7</f>
        <v/>
      </c>
      <c r="F478">
        <f>'REGIÃO 12'!F7</f>
        <v/>
      </c>
      <c r="G478">
        <f>'REGIÃO 12'!G7</f>
        <v/>
      </c>
      <c r="H478">
        <f>'REGIÃO 12'!H7</f>
        <v/>
      </c>
      <c r="I478">
        <f>'REGIÃO 12'!I7</f>
        <v/>
      </c>
      <c r="J478">
        <f>'REGIÃO 12'!J7</f>
        <v/>
      </c>
      <c r="K478" s="36">
        <f>'REGIÃO 12'!K7</f>
        <v/>
      </c>
      <c r="L478" t="inlineStr">
        <is>
          <t>REGIÃO 12</t>
        </is>
      </c>
    </row>
    <row r="479">
      <c r="A479">
        <f>'REGIÃO 12'!A8</f>
        <v/>
      </c>
      <c r="B479">
        <f>'REGIÃO 12'!B8</f>
        <v/>
      </c>
      <c r="C479">
        <f>'REGIÃO 12'!C8</f>
        <v/>
      </c>
      <c r="D479">
        <f>'REGIÃO 12'!D8</f>
        <v/>
      </c>
      <c r="E479">
        <f>'REGIÃO 12'!E8</f>
        <v/>
      </c>
      <c r="F479">
        <f>'REGIÃO 12'!F8</f>
        <v/>
      </c>
      <c r="G479">
        <f>'REGIÃO 12'!G8</f>
        <v/>
      </c>
      <c r="H479">
        <f>'REGIÃO 12'!H8</f>
        <v/>
      </c>
      <c r="I479">
        <f>'REGIÃO 12'!I8</f>
        <v/>
      </c>
      <c r="J479">
        <f>'REGIÃO 12'!J8</f>
        <v/>
      </c>
      <c r="K479" s="36">
        <f>'REGIÃO 12'!K8</f>
        <v/>
      </c>
      <c r="L479" t="inlineStr">
        <is>
          <t>REGIÃO 12</t>
        </is>
      </c>
    </row>
    <row r="480">
      <c r="A480">
        <f>'REGIÃO 12'!A9</f>
        <v/>
      </c>
      <c r="B480">
        <f>'REGIÃO 12'!B9</f>
        <v/>
      </c>
      <c r="C480">
        <f>'REGIÃO 12'!C9</f>
        <v/>
      </c>
      <c r="D480">
        <f>'REGIÃO 12'!D9</f>
        <v/>
      </c>
      <c r="E480">
        <f>'REGIÃO 12'!E9</f>
        <v/>
      </c>
      <c r="F480">
        <f>'REGIÃO 12'!F9</f>
        <v/>
      </c>
      <c r="G480">
        <f>'REGIÃO 12'!G9</f>
        <v/>
      </c>
      <c r="H480">
        <f>'REGIÃO 12'!H9</f>
        <v/>
      </c>
      <c r="I480">
        <f>'REGIÃO 12'!I9</f>
        <v/>
      </c>
      <c r="J480">
        <f>'REGIÃO 12'!J9</f>
        <v/>
      </c>
      <c r="K480" s="36">
        <f>'REGIÃO 12'!K9</f>
        <v/>
      </c>
      <c r="L480" t="inlineStr">
        <is>
          <t>REGIÃO 12</t>
        </is>
      </c>
    </row>
    <row r="481">
      <c r="A481">
        <f>'REGIÃO 12'!A10</f>
        <v/>
      </c>
      <c r="B481">
        <f>'REGIÃO 12'!B10</f>
        <v/>
      </c>
      <c r="C481">
        <f>'REGIÃO 12'!C10</f>
        <v/>
      </c>
      <c r="D481">
        <f>'REGIÃO 12'!D10</f>
        <v/>
      </c>
      <c r="E481">
        <f>'REGIÃO 12'!E10</f>
        <v/>
      </c>
      <c r="F481">
        <f>'REGIÃO 12'!F10</f>
        <v/>
      </c>
      <c r="G481">
        <f>'REGIÃO 12'!G10</f>
        <v/>
      </c>
      <c r="H481">
        <f>'REGIÃO 12'!H10</f>
        <v/>
      </c>
      <c r="I481">
        <f>'REGIÃO 12'!I10</f>
        <v/>
      </c>
      <c r="J481">
        <f>'REGIÃO 12'!J10</f>
        <v/>
      </c>
      <c r="K481" s="36">
        <f>'REGIÃO 12'!K10</f>
        <v/>
      </c>
      <c r="L481" t="inlineStr">
        <is>
          <t>REGIÃO 12</t>
        </is>
      </c>
    </row>
    <row r="482">
      <c r="A482">
        <f>'REGIÃO 12'!A11</f>
        <v/>
      </c>
      <c r="B482">
        <f>'REGIÃO 12'!B11</f>
        <v/>
      </c>
      <c r="C482">
        <f>'REGIÃO 12'!C11</f>
        <v/>
      </c>
      <c r="D482">
        <f>'REGIÃO 12'!D11</f>
        <v/>
      </c>
      <c r="E482">
        <f>'REGIÃO 12'!E11</f>
        <v/>
      </c>
      <c r="F482">
        <f>'REGIÃO 12'!F11</f>
        <v/>
      </c>
      <c r="G482">
        <f>'REGIÃO 12'!G11</f>
        <v/>
      </c>
      <c r="H482">
        <f>'REGIÃO 12'!H11</f>
        <v/>
      </c>
      <c r="I482">
        <f>'REGIÃO 12'!I11</f>
        <v/>
      </c>
      <c r="J482">
        <f>'REGIÃO 12'!J11</f>
        <v/>
      </c>
      <c r="K482" s="36">
        <f>'REGIÃO 12'!K11</f>
        <v/>
      </c>
      <c r="L482" t="inlineStr">
        <is>
          <t>REGIÃO 12</t>
        </is>
      </c>
    </row>
    <row r="483">
      <c r="A483">
        <f>'REGIÃO 12'!A12</f>
        <v/>
      </c>
      <c r="B483">
        <f>'REGIÃO 12'!B12</f>
        <v/>
      </c>
      <c r="C483">
        <f>'REGIÃO 12'!C12</f>
        <v/>
      </c>
      <c r="D483">
        <f>'REGIÃO 12'!D12</f>
        <v/>
      </c>
      <c r="E483">
        <f>'REGIÃO 12'!E12</f>
        <v/>
      </c>
      <c r="F483">
        <f>'REGIÃO 12'!F12</f>
        <v/>
      </c>
      <c r="G483">
        <f>'REGIÃO 12'!G12</f>
        <v/>
      </c>
      <c r="H483">
        <f>'REGIÃO 12'!H12</f>
        <v/>
      </c>
      <c r="I483">
        <f>'REGIÃO 12'!I12</f>
        <v/>
      </c>
      <c r="J483">
        <f>'REGIÃO 12'!J12</f>
        <v/>
      </c>
      <c r="K483" s="36">
        <f>'REGIÃO 12'!K12</f>
        <v/>
      </c>
      <c r="L483" t="inlineStr">
        <is>
          <t>REGIÃO 12</t>
        </is>
      </c>
    </row>
    <row r="484">
      <c r="A484">
        <f>'REGIÃO 12'!A13</f>
        <v/>
      </c>
      <c r="B484">
        <f>'REGIÃO 12'!B13</f>
        <v/>
      </c>
      <c r="C484">
        <f>'REGIÃO 12'!C13</f>
        <v/>
      </c>
      <c r="D484">
        <f>'REGIÃO 12'!D13</f>
        <v/>
      </c>
      <c r="E484">
        <f>'REGIÃO 12'!E13</f>
        <v/>
      </c>
      <c r="F484">
        <f>'REGIÃO 12'!F13</f>
        <v/>
      </c>
      <c r="G484">
        <f>'REGIÃO 12'!G13</f>
        <v/>
      </c>
      <c r="H484">
        <f>'REGIÃO 12'!H13</f>
        <v/>
      </c>
      <c r="I484">
        <f>'REGIÃO 12'!I13</f>
        <v/>
      </c>
      <c r="J484">
        <f>'REGIÃO 12'!J13</f>
        <v/>
      </c>
      <c r="K484" s="36">
        <f>'REGIÃO 12'!K13</f>
        <v/>
      </c>
      <c r="L484" t="inlineStr">
        <is>
          <t>REGIÃO 12</t>
        </is>
      </c>
    </row>
    <row r="485">
      <c r="A485">
        <f>'REGIÃO 12'!A14</f>
        <v/>
      </c>
      <c r="B485">
        <f>'REGIÃO 12'!B14</f>
        <v/>
      </c>
      <c r="C485">
        <f>'REGIÃO 12'!C14</f>
        <v/>
      </c>
      <c r="D485">
        <f>'REGIÃO 12'!D14</f>
        <v/>
      </c>
      <c r="E485">
        <f>'REGIÃO 12'!E14</f>
        <v/>
      </c>
      <c r="F485">
        <f>'REGIÃO 12'!F14</f>
        <v/>
      </c>
      <c r="G485">
        <f>'REGIÃO 12'!G14</f>
        <v/>
      </c>
      <c r="H485">
        <f>'REGIÃO 12'!H14</f>
        <v/>
      </c>
      <c r="I485">
        <f>'REGIÃO 12'!I14</f>
        <v/>
      </c>
      <c r="J485">
        <f>'REGIÃO 12'!J14</f>
        <v/>
      </c>
      <c r="K485" s="36">
        <f>'REGIÃO 12'!K14</f>
        <v/>
      </c>
      <c r="L485" t="inlineStr">
        <is>
          <t>REGIÃO 12</t>
        </is>
      </c>
    </row>
    <row r="486">
      <c r="A486">
        <f>'REGIÃO 12'!A15</f>
        <v/>
      </c>
      <c r="B486">
        <f>'REGIÃO 12'!B15</f>
        <v/>
      </c>
      <c r="C486">
        <f>'REGIÃO 12'!C15</f>
        <v/>
      </c>
      <c r="D486">
        <f>'REGIÃO 12'!D15</f>
        <v/>
      </c>
      <c r="E486">
        <f>'REGIÃO 12'!E15</f>
        <v/>
      </c>
      <c r="F486">
        <f>'REGIÃO 12'!F15</f>
        <v/>
      </c>
      <c r="G486">
        <f>'REGIÃO 12'!G15</f>
        <v/>
      </c>
      <c r="H486">
        <f>'REGIÃO 12'!H15</f>
        <v/>
      </c>
      <c r="I486">
        <f>'REGIÃO 12'!I15</f>
        <v/>
      </c>
      <c r="J486">
        <f>'REGIÃO 12'!J15</f>
        <v/>
      </c>
      <c r="K486" s="36">
        <f>'REGIÃO 12'!K15</f>
        <v/>
      </c>
      <c r="L486" t="inlineStr">
        <is>
          <t>REGIÃO 12</t>
        </is>
      </c>
    </row>
    <row r="487">
      <c r="A487">
        <f>'REGIÃO 12'!A16</f>
        <v/>
      </c>
      <c r="B487">
        <f>'REGIÃO 12'!B16</f>
        <v/>
      </c>
      <c r="C487">
        <f>'REGIÃO 12'!C16</f>
        <v/>
      </c>
      <c r="D487">
        <f>'REGIÃO 12'!D16</f>
        <v/>
      </c>
      <c r="E487">
        <f>'REGIÃO 12'!E16</f>
        <v/>
      </c>
      <c r="F487">
        <f>'REGIÃO 12'!F16</f>
        <v/>
      </c>
      <c r="G487">
        <f>'REGIÃO 12'!G16</f>
        <v/>
      </c>
      <c r="H487">
        <f>'REGIÃO 12'!H16</f>
        <v/>
      </c>
      <c r="I487">
        <f>'REGIÃO 12'!I16</f>
        <v/>
      </c>
      <c r="J487">
        <f>'REGIÃO 12'!J16</f>
        <v/>
      </c>
      <c r="K487" s="36">
        <f>'REGIÃO 12'!K16</f>
        <v/>
      </c>
      <c r="L487" t="inlineStr">
        <is>
          <t>REGIÃO 12</t>
        </is>
      </c>
    </row>
    <row r="488">
      <c r="A488">
        <f>'REGIÃO 12'!A17</f>
        <v/>
      </c>
      <c r="B488">
        <f>'REGIÃO 12'!B17</f>
        <v/>
      </c>
      <c r="C488">
        <f>'REGIÃO 12'!C17</f>
        <v/>
      </c>
      <c r="D488">
        <f>'REGIÃO 12'!D17</f>
        <v/>
      </c>
      <c r="E488">
        <f>'REGIÃO 12'!E17</f>
        <v/>
      </c>
      <c r="F488">
        <f>'REGIÃO 12'!F17</f>
        <v/>
      </c>
      <c r="G488">
        <f>'REGIÃO 12'!G17</f>
        <v/>
      </c>
      <c r="H488">
        <f>'REGIÃO 12'!H17</f>
        <v/>
      </c>
      <c r="I488">
        <f>'REGIÃO 12'!I17</f>
        <v/>
      </c>
      <c r="J488">
        <f>'REGIÃO 12'!J17</f>
        <v/>
      </c>
      <c r="K488" s="36">
        <f>'REGIÃO 12'!K17</f>
        <v/>
      </c>
      <c r="L488" t="inlineStr">
        <is>
          <t>REGIÃO 12</t>
        </is>
      </c>
    </row>
    <row r="489">
      <c r="A489">
        <f>'REGIÃO 12'!A18</f>
        <v/>
      </c>
      <c r="B489">
        <f>'REGIÃO 12'!B18</f>
        <v/>
      </c>
      <c r="C489">
        <f>'REGIÃO 12'!C18</f>
        <v/>
      </c>
      <c r="D489">
        <f>'REGIÃO 12'!D18</f>
        <v/>
      </c>
      <c r="E489">
        <f>'REGIÃO 12'!E18</f>
        <v/>
      </c>
      <c r="F489">
        <f>'REGIÃO 12'!F18</f>
        <v/>
      </c>
      <c r="G489">
        <f>'REGIÃO 12'!G18</f>
        <v/>
      </c>
      <c r="H489">
        <f>'REGIÃO 12'!H18</f>
        <v/>
      </c>
      <c r="I489">
        <f>'REGIÃO 12'!I18</f>
        <v/>
      </c>
      <c r="J489">
        <f>'REGIÃO 12'!J18</f>
        <v/>
      </c>
      <c r="K489" s="36">
        <f>'REGIÃO 12'!K18</f>
        <v/>
      </c>
      <c r="L489" t="inlineStr">
        <is>
          <t>REGIÃO 12</t>
        </is>
      </c>
    </row>
    <row r="490">
      <c r="A490">
        <f>'REGIÃO 12'!A19</f>
        <v/>
      </c>
      <c r="B490">
        <f>'REGIÃO 12'!B19</f>
        <v/>
      </c>
      <c r="C490">
        <f>'REGIÃO 12'!C19</f>
        <v/>
      </c>
      <c r="D490">
        <f>'REGIÃO 12'!D19</f>
        <v/>
      </c>
      <c r="E490">
        <f>'REGIÃO 12'!E19</f>
        <v/>
      </c>
      <c r="F490">
        <f>'REGIÃO 12'!F19</f>
        <v/>
      </c>
      <c r="G490">
        <f>'REGIÃO 12'!G19</f>
        <v/>
      </c>
      <c r="H490">
        <f>'REGIÃO 12'!H19</f>
        <v/>
      </c>
      <c r="I490">
        <f>'REGIÃO 12'!I19</f>
        <v/>
      </c>
      <c r="J490">
        <f>'REGIÃO 12'!J19</f>
        <v/>
      </c>
      <c r="K490" s="36">
        <f>'REGIÃO 12'!K19</f>
        <v/>
      </c>
      <c r="L490" t="inlineStr">
        <is>
          <t>REGIÃO 12</t>
        </is>
      </c>
    </row>
    <row r="491">
      <c r="A491">
        <f>'REGIÃO 12'!A20</f>
        <v/>
      </c>
      <c r="B491">
        <f>'REGIÃO 12'!B20</f>
        <v/>
      </c>
      <c r="C491">
        <f>'REGIÃO 12'!C20</f>
        <v/>
      </c>
      <c r="D491">
        <f>'REGIÃO 12'!D20</f>
        <v/>
      </c>
      <c r="E491">
        <f>'REGIÃO 12'!E20</f>
        <v/>
      </c>
      <c r="F491">
        <f>'REGIÃO 12'!F20</f>
        <v/>
      </c>
      <c r="G491">
        <f>'REGIÃO 12'!G20</f>
        <v/>
      </c>
      <c r="H491">
        <f>'REGIÃO 12'!H20</f>
        <v/>
      </c>
      <c r="I491">
        <f>'REGIÃO 12'!I20</f>
        <v/>
      </c>
      <c r="J491">
        <f>'REGIÃO 12'!J20</f>
        <v/>
      </c>
      <c r="K491" s="36">
        <f>'REGIÃO 12'!K20</f>
        <v/>
      </c>
      <c r="L491" t="inlineStr">
        <is>
          <t>REGIÃO 12</t>
        </is>
      </c>
    </row>
    <row r="492">
      <c r="A492">
        <f>'REGIÃO 12'!A21</f>
        <v/>
      </c>
      <c r="B492">
        <f>'REGIÃO 12'!B21</f>
        <v/>
      </c>
      <c r="C492">
        <f>'REGIÃO 12'!C21</f>
        <v/>
      </c>
      <c r="D492">
        <f>'REGIÃO 12'!D21</f>
        <v/>
      </c>
      <c r="E492">
        <f>'REGIÃO 12'!E21</f>
        <v/>
      </c>
      <c r="F492">
        <f>'REGIÃO 12'!F21</f>
        <v/>
      </c>
      <c r="G492">
        <f>'REGIÃO 12'!G21</f>
        <v/>
      </c>
      <c r="H492">
        <f>'REGIÃO 12'!H21</f>
        <v/>
      </c>
      <c r="I492">
        <f>'REGIÃO 12'!I21</f>
        <v/>
      </c>
      <c r="J492">
        <f>'REGIÃO 12'!J21</f>
        <v/>
      </c>
      <c r="K492" s="36">
        <f>'REGIÃO 12'!K21</f>
        <v/>
      </c>
      <c r="L492" t="inlineStr">
        <is>
          <t>REGIÃO 12</t>
        </is>
      </c>
    </row>
    <row r="493">
      <c r="A493">
        <f>'REGIÃO 12'!A22</f>
        <v/>
      </c>
      <c r="B493">
        <f>'REGIÃO 12'!B22</f>
        <v/>
      </c>
      <c r="C493">
        <f>'REGIÃO 12'!C22</f>
        <v/>
      </c>
      <c r="D493">
        <f>'REGIÃO 12'!D22</f>
        <v/>
      </c>
      <c r="E493">
        <f>'REGIÃO 12'!E22</f>
        <v/>
      </c>
      <c r="F493">
        <f>'REGIÃO 12'!F22</f>
        <v/>
      </c>
      <c r="G493">
        <f>'REGIÃO 12'!G22</f>
        <v/>
      </c>
      <c r="H493">
        <f>'REGIÃO 12'!H22</f>
        <v/>
      </c>
      <c r="I493">
        <f>'REGIÃO 12'!I22</f>
        <v/>
      </c>
      <c r="J493">
        <f>'REGIÃO 12'!J22</f>
        <v/>
      </c>
      <c r="K493" s="36">
        <f>'REGIÃO 12'!K22</f>
        <v/>
      </c>
      <c r="L493" t="inlineStr">
        <is>
          <t>REGIÃO 12</t>
        </is>
      </c>
    </row>
    <row r="494">
      <c r="A494">
        <f>'REGIÃO 12'!A23</f>
        <v/>
      </c>
      <c r="B494">
        <f>'REGIÃO 12'!B23</f>
        <v/>
      </c>
      <c r="C494">
        <f>'REGIÃO 12'!C23</f>
        <v/>
      </c>
      <c r="D494">
        <f>'REGIÃO 12'!D23</f>
        <v/>
      </c>
      <c r="E494">
        <f>'REGIÃO 12'!E23</f>
        <v/>
      </c>
      <c r="F494">
        <f>'REGIÃO 12'!F23</f>
        <v/>
      </c>
      <c r="G494">
        <f>'REGIÃO 12'!G23</f>
        <v/>
      </c>
      <c r="H494">
        <f>'REGIÃO 12'!H23</f>
        <v/>
      </c>
      <c r="I494">
        <f>'REGIÃO 12'!I23</f>
        <v/>
      </c>
      <c r="J494">
        <f>'REGIÃO 12'!J23</f>
        <v/>
      </c>
      <c r="K494" s="36">
        <f>'REGIÃO 12'!K23</f>
        <v/>
      </c>
      <c r="L494" t="inlineStr">
        <is>
          <t>REGIÃO 12</t>
        </is>
      </c>
    </row>
    <row r="495">
      <c r="A495">
        <f>'REGIÃO 12'!A24</f>
        <v/>
      </c>
      <c r="B495">
        <f>'REGIÃO 12'!B24</f>
        <v/>
      </c>
      <c r="C495">
        <f>'REGIÃO 12'!C24</f>
        <v/>
      </c>
      <c r="D495">
        <f>'REGIÃO 12'!D24</f>
        <v/>
      </c>
      <c r="E495">
        <f>'REGIÃO 12'!E24</f>
        <v/>
      </c>
      <c r="F495">
        <f>'REGIÃO 12'!F24</f>
        <v/>
      </c>
      <c r="G495">
        <f>'REGIÃO 12'!G24</f>
        <v/>
      </c>
      <c r="H495">
        <f>'REGIÃO 12'!H24</f>
        <v/>
      </c>
      <c r="I495">
        <f>'REGIÃO 12'!I24</f>
        <v/>
      </c>
      <c r="J495">
        <f>'REGIÃO 12'!J24</f>
        <v/>
      </c>
      <c r="K495" s="36">
        <f>'REGIÃO 12'!K24</f>
        <v/>
      </c>
      <c r="L495" t="inlineStr">
        <is>
          <t>REGIÃO 12</t>
        </is>
      </c>
    </row>
    <row r="496">
      <c r="A496">
        <f>'REGIÃO 12'!A25</f>
        <v/>
      </c>
      <c r="B496">
        <f>'REGIÃO 12'!B25</f>
        <v/>
      </c>
      <c r="C496">
        <f>'REGIÃO 12'!C25</f>
        <v/>
      </c>
      <c r="D496">
        <f>'REGIÃO 12'!D25</f>
        <v/>
      </c>
      <c r="E496">
        <f>'REGIÃO 12'!E25</f>
        <v/>
      </c>
      <c r="F496">
        <f>'REGIÃO 12'!F25</f>
        <v/>
      </c>
      <c r="G496">
        <f>'REGIÃO 12'!G25</f>
        <v/>
      </c>
      <c r="H496">
        <f>'REGIÃO 12'!H25</f>
        <v/>
      </c>
      <c r="I496">
        <f>'REGIÃO 12'!I25</f>
        <v/>
      </c>
      <c r="J496">
        <f>'REGIÃO 12'!J25</f>
        <v/>
      </c>
      <c r="K496" s="36">
        <f>'REGIÃO 12'!K25</f>
        <v/>
      </c>
      <c r="L496" t="inlineStr">
        <is>
          <t>REGIÃO 12</t>
        </is>
      </c>
    </row>
    <row r="497">
      <c r="A497">
        <f>'REGIÃO 12'!A26</f>
        <v/>
      </c>
      <c r="B497">
        <f>'REGIÃO 12'!B26</f>
        <v/>
      </c>
      <c r="C497">
        <f>'REGIÃO 12'!C26</f>
        <v/>
      </c>
      <c r="D497">
        <f>'REGIÃO 12'!D26</f>
        <v/>
      </c>
      <c r="E497">
        <f>'REGIÃO 12'!E26</f>
        <v/>
      </c>
      <c r="F497">
        <f>'REGIÃO 12'!F26</f>
        <v/>
      </c>
      <c r="G497">
        <f>'REGIÃO 12'!G26</f>
        <v/>
      </c>
      <c r="H497">
        <f>'REGIÃO 12'!H26</f>
        <v/>
      </c>
      <c r="I497">
        <f>'REGIÃO 12'!I26</f>
        <v/>
      </c>
      <c r="J497">
        <f>'REGIÃO 12'!J26</f>
        <v/>
      </c>
      <c r="K497" s="36">
        <f>'REGIÃO 12'!K26</f>
        <v/>
      </c>
      <c r="L497" t="inlineStr">
        <is>
          <t>REGIÃO 12</t>
        </is>
      </c>
    </row>
    <row r="498">
      <c r="A498">
        <f>'REGIÃO 12'!A27</f>
        <v/>
      </c>
      <c r="B498">
        <f>'REGIÃO 12'!B27</f>
        <v/>
      </c>
      <c r="C498">
        <f>'REGIÃO 12'!C27</f>
        <v/>
      </c>
      <c r="D498">
        <f>'REGIÃO 12'!D27</f>
        <v/>
      </c>
      <c r="E498">
        <f>'REGIÃO 12'!E27</f>
        <v/>
      </c>
      <c r="F498">
        <f>'REGIÃO 12'!F27</f>
        <v/>
      </c>
      <c r="G498">
        <f>'REGIÃO 12'!G27</f>
        <v/>
      </c>
      <c r="H498">
        <f>'REGIÃO 12'!H27</f>
        <v/>
      </c>
      <c r="I498">
        <f>'REGIÃO 12'!I27</f>
        <v/>
      </c>
      <c r="J498">
        <f>'REGIÃO 12'!J27</f>
        <v/>
      </c>
      <c r="K498" s="36">
        <f>'REGIÃO 12'!K27</f>
        <v/>
      </c>
      <c r="L498" t="inlineStr">
        <is>
          <t>REGIÃO 12</t>
        </is>
      </c>
    </row>
    <row r="499">
      <c r="A499">
        <f>'REGIÃO 12'!A28</f>
        <v/>
      </c>
      <c r="B499">
        <f>'REGIÃO 12'!B28</f>
        <v/>
      </c>
      <c r="C499">
        <f>'REGIÃO 12'!C28</f>
        <v/>
      </c>
      <c r="D499">
        <f>'REGIÃO 12'!D28</f>
        <v/>
      </c>
      <c r="E499">
        <f>'REGIÃO 12'!E28</f>
        <v/>
      </c>
      <c r="F499">
        <f>'REGIÃO 12'!F28</f>
        <v/>
      </c>
      <c r="G499">
        <f>'REGIÃO 12'!G28</f>
        <v/>
      </c>
      <c r="H499">
        <f>'REGIÃO 12'!H28</f>
        <v/>
      </c>
      <c r="I499">
        <f>'REGIÃO 12'!I28</f>
        <v/>
      </c>
      <c r="J499">
        <f>'REGIÃO 12'!J28</f>
        <v/>
      </c>
      <c r="K499" s="36">
        <f>'REGIÃO 12'!K28</f>
        <v/>
      </c>
      <c r="L499" t="inlineStr">
        <is>
          <t>REGIÃO 12</t>
        </is>
      </c>
    </row>
    <row r="500">
      <c r="A500">
        <f>'REGIÃO 12'!A29</f>
        <v/>
      </c>
      <c r="B500">
        <f>'REGIÃO 12'!B29</f>
        <v/>
      </c>
      <c r="C500">
        <f>'REGIÃO 12'!C29</f>
        <v/>
      </c>
      <c r="D500">
        <f>'REGIÃO 12'!D29</f>
        <v/>
      </c>
      <c r="E500">
        <f>'REGIÃO 12'!E29</f>
        <v/>
      </c>
      <c r="F500">
        <f>'REGIÃO 12'!F29</f>
        <v/>
      </c>
      <c r="G500">
        <f>'REGIÃO 12'!G29</f>
        <v/>
      </c>
      <c r="H500">
        <f>'REGIÃO 12'!H29</f>
        <v/>
      </c>
      <c r="I500">
        <f>'REGIÃO 12'!I29</f>
        <v/>
      </c>
      <c r="J500">
        <f>'REGIÃO 12'!J29</f>
        <v/>
      </c>
      <c r="K500" s="36">
        <f>'REGIÃO 12'!K29</f>
        <v/>
      </c>
      <c r="L500" t="inlineStr">
        <is>
          <t>REGIÃO 12</t>
        </is>
      </c>
    </row>
    <row r="501">
      <c r="A501">
        <f>'REGIÃO 12'!A30</f>
        <v/>
      </c>
      <c r="B501">
        <f>'REGIÃO 12'!B30</f>
        <v/>
      </c>
      <c r="C501">
        <f>'REGIÃO 12'!C30</f>
        <v/>
      </c>
      <c r="D501">
        <f>'REGIÃO 12'!D30</f>
        <v/>
      </c>
      <c r="E501">
        <f>'REGIÃO 12'!E30</f>
        <v/>
      </c>
      <c r="F501">
        <f>'REGIÃO 12'!F30</f>
        <v/>
      </c>
      <c r="G501">
        <f>'REGIÃO 12'!G30</f>
        <v/>
      </c>
      <c r="H501">
        <f>'REGIÃO 12'!H30</f>
        <v/>
      </c>
      <c r="I501">
        <f>'REGIÃO 12'!I30</f>
        <v/>
      </c>
      <c r="J501">
        <f>'REGIÃO 12'!J30</f>
        <v/>
      </c>
      <c r="K501" s="36">
        <f>'REGIÃO 12'!K30</f>
        <v/>
      </c>
      <c r="L501" t="inlineStr">
        <is>
          <t>REGIÃO 12</t>
        </is>
      </c>
    </row>
    <row r="502">
      <c r="A502">
        <f>'REGIÃO 12'!A31</f>
        <v/>
      </c>
      <c r="B502">
        <f>'REGIÃO 12'!B31</f>
        <v/>
      </c>
      <c r="C502">
        <f>'REGIÃO 12'!C31</f>
        <v/>
      </c>
      <c r="D502">
        <f>'REGIÃO 12'!D31</f>
        <v/>
      </c>
      <c r="E502">
        <f>'REGIÃO 12'!E31</f>
        <v/>
      </c>
      <c r="F502">
        <f>'REGIÃO 12'!F31</f>
        <v/>
      </c>
      <c r="G502">
        <f>'REGIÃO 12'!G31</f>
        <v/>
      </c>
      <c r="H502">
        <f>'REGIÃO 12'!H31</f>
        <v/>
      </c>
      <c r="I502">
        <f>'REGIÃO 12'!I31</f>
        <v/>
      </c>
      <c r="J502">
        <f>'REGIÃO 12'!J31</f>
        <v/>
      </c>
      <c r="K502" s="36">
        <f>'REGIÃO 12'!K31</f>
        <v/>
      </c>
      <c r="L502" t="inlineStr">
        <is>
          <t>REGIÃO 12</t>
        </is>
      </c>
    </row>
    <row r="503">
      <c r="A503">
        <f>'REGIÃO 12'!A32</f>
        <v/>
      </c>
      <c r="B503">
        <f>'REGIÃO 12'!B32</f>
        <v/>
      </c>
      <c r="C503">
        <f>'REGIÃO 12'!C32</f>
        <v/>
      </c>
      <c r="D503">
        <f>'REGIÃO 12'!D32</f>
        <v/>
      </c>
      <c r="E503">
        <f>'REGIÃO 12'!E32</f>
        <v/>
      </c>
      <c r="F503">
        <f>'REGIÃO 12'!F32</f>
        <v/>
      </c>
      <c r="G503">
        <f>'REGIÃO 12'!G32</f>
        <v/>
      </c>
      <c r="H503">
        <f>'REGIÃO 12'!H32</f>
        <v/>
      </c>
      <c r="I503">
        <f>'REGIÃO 12'!I32</f>
        <v/>
      </c>
      <c r="J503">
        <f>'REGIÃO 12'!J32</f>
        <v/>
      </c>
      <c r="K503" s="36">
        <f>'REGIÃO 12'!K32</f>
        <v/>
      </c>
      <c r="L503" t="inlineStr">
        <is>
          <t>REGIÃO 12</t>
        </is>
      </c>
    </row>
    <row r="504">
      <c r="A504">
        <f>'REGIÃO 12'!A33</f>
        <v/>
      </c>
      <c r="B504">
        <f>'REGIÃO 12'!B33</f>
        <v/>
      </c>
      <c r="C504">
        <f>'REGIÃO 12'!C33</f>
        <v/>
      </c>
      <c r="D504">
        <f>'REGIÃO 12'!D33</f>
        <v/>
      </c>
      <c r="E504">
        <f>'REGIÃO 12'!E33</f>
        <v/>
      </c>
      <c r="F504">
        <f>'REGIÃO 12'!F33</f>
        <v/>
      </c>
      <c r="G504">
        <f>'REGIÃO 12'!G33</f>
        <v/>
      </c>
      <c r="H504">
        <f>'REGIÃO 12'!H33</f>
        <v/>
      </c>
      <c r="I504">
        <f>'REGIÃO 12'!I33</f>
        <v/>
      </c>
      <c r="J504">
        <f>'REGIÃO 12'!J33</f>
        <v/>
      </c>
      <c r="K504" s="36">
        <f>'REGIÃO 12'!K33</f>
        <v/>
      </c>
      <c r="L504" t="inlineStr">
        <is>
          <t>REGIÃO 12</t>
        </is>
      </c>
    </row>
    <row r="505">
      <c r="A505">
        <f>'REGIÃO 12'!A34</f>
        <v/>
      </c>
      <c r="B505">
        <f>'REGIÃO 12'!B34</f>
        <v/>
      </c>
      <c r="C505">
        <f>'REGIÃO 12'!C34</f>
        <v/>
      </c>
      <c r="D505">
        <f>'REGIÃO 12'!D34</f>
        <v/>
      </c>
      <c r="E505">
        <f>'REGIÃO 12'!E34</f>
        <v/>
      </c>
      <c r="F505">
        <f>'REGIÃO 12'!F34</f>
        <v/>
      </c>
      <c r="G505">
        <f>'REGIÃO 12'!G34</f>
        <v/>
      </c>
      <c r="H505">
        <f>'REGIÃO 12'!H34</f>
        <v/>
      </c>
      <c r="I505">
        <f>'REGIÃO 12'!I34</f>
        <v/>
      </c>
      <c r="J505">
        <f>'REGIÃO 12'!J34</f>
        <v/>
      </c>
      <c r="K505" s="36">
        <f>'REGIÃO 12'!K34</f>
        <v/>
      </c>
      <c r="L505" t="inlineStr">
        <is>
          <t>REGIÃO 12</t>
        </is>
      </c>
    </row>
    <row r="506">
      <c r="A506">
        <f>'REGIÃO 12'!A35</f>
        <v/>
      </c>
      <c r="B506">
        <f>'REGIÃO 12'!B35</f>
        <v/>
      </c>
      <c r="C506">
        <f>'REGIÃO 12'!C35</f>
        <v/>
      </c>
      <c r="D506">
        <f>'REGIÃO 12'!D35</f>
        <v/>
      </c>
      <c r="E506">
        <f>'REGIÃO 12'!E35</f>
        <v/>
      </c>
      <c r="F506">
        <f>'REGIÃO 12'!F35</f>
        <v/>
      </c>
      <c r="G506">
        <f>'REGIÃO 12'!G35</f>
        <v/>
      </c>
      <c r="H506">
        <f>'REGIÃO 12'!H35</f>
        <v/>
      </c>
      <c r="I506">
        <f>'REGIÃO 12'!I35</f>
        <v/>
      </c>
      <c r="J506">
        <f>'REGIÃO 12'!J35</f>
        <v/>
      </c>
      <c r="K506" s="36">
        <f>'REGIÃO 12'!K35</f>
        <v/>
      </c>
      <c r="L506" t="inlineStr">
        <is>
          <t>REGIÃO 12</t>
        </is>
      </c>
    </row>
    <row r="507">
      <c r="A507">
        <f>'REGIÃO 12'!A36</f>
        <v/>
      </c>
      <c r="B507">
        <f>'REGIÃO 12'!B36</f>
        <v/>
      </c>
      <c r="C507">
        <f>'REGIÃO 12'!C36</f>
        <v/>
      </c>
      <c r="D507">
        <f>'REGIÃO 12'!D36</f>
        <v/>
      </c>
      <c r="E507">
        <f>'REGIÃO 12'!E36</f>
        <v/>
      </c>
      <c r="F507">
        <f>'REGIÃO 12'!F36</f>
        <v/>
      </c>
      <c r="G507">
        <f>'REGIÃO 12'!G36</f>
        <v/>
      </c>
      <c r="H507">
        <f>'REGIÃO 12'!H36</f>
        <v/>
      </c>
      <c r="I507">
        <f>'REGIÃO 12'!I36</f>
        <v/>
      </c>
      <c r="J507">
        <f>'REGIÃO 12'!J36</f>
        <v/>
      </c>
      <c r="K507" s="36">
        <f>'REGIÃO 12'!K36</f>
        <v/>
      </c>
      <c r="L507" t="inlineStr">
        <is>
          <t>REGIÃO 12</t>
        </is>
      </c>
    </row>
    <row r="508">
      <c r="A508">
        <f>'REGIÃO 12'!A37</f>
        <v/>
      </c>
      <c r="B508">
        <f>'REGIÃO 12'!B37</f>
        <v/>
      </c>
      <c r="C508">
        <f>'REGIÃO 12'!C37</f>
        <v/>
      </c>
      <c r="D508">
        <f>'REGIÃO 12'!D37</f>
        <v/>
      </c>
      <c r="E508">
        <f>'REGIÃO 12'!E37</f>
        <v/>
      </c>
      <c r="F508">
        <f>'REGIÃO 12'!F37</f>
        <v/>
      </c>
      <c r="G508">
        <f>'REGIÃO 12'!G37</f>
        <v/>
      </c>
      <c r="H508">
        <f>'REGIÃO 12'!H37</f>
        <v/>
      </c>
      <c r="I508">
        <f>'REGIÃO 12'!I37</f>
        <v/>
      </c>
      <c r="J508">
        <f>'REGIÃO 12'!J37</f>
        <v/>
      </c>
      <c r="K508" s="36">
        <f>'REGIÃO 12'!K37</f>
        <v/>
      </c>
      <c r="L508" t="inlineStr">
        <is>
          <t>REGIÃO 12</t>
        </is>
      </c>
    </row>
    <row r="509">
      <c r="A509">
        <f>'REGIÃO 12'!A38</f>
        <v/>
      </c>
      <c r="B509">
        <f>'REGIÃO 12'!B38</f>
        <v/>
      </c>
      <c r="C509">
        <f>'REGIÃO 12'!C38</f>
        <v/>
      </c>
      <c r="D509">
        <f>'REGIÃO 12'!D38</f>
        <v/>
      </c>
      <c r="E509">
        <f>'REGIÃO 12'!E38</f>
        <v/>
      </c>
      <c r="F509">
        <f>'REGIÃO 12'!F38</f>
        <v/>
      </c>
      <c r="G509">
        <f>'REGIÃO 12'!G38</f>
        <v/>
      </c>
      <c r="H509">
        <f>'REGIÃO 12'!H38</f>
        <v/>
      </c>
      <c r="I509">
        <f>'REGIÃO 12'!I38</f>
        <v/>
      </c>
      <c r="J509">
        <f>'REGIÃO 12'!J38</f>
        <v/>
      </c>
      <c r="K509" s="36">
        <f>'REGIÃO 12'!K38</f>
        <v/>
      </c>
      <c r="L509" t="inlineStr">
        <is>
          <t>REGIÃO 12</t>
        </is>
      </c>
    </row>
    <row r="510">
      <c r="A510">
        <f>'REGIÃO 12'!A39</f>
        <v/>
      </c>
      <c r="B510">
        <f>'REGIÃO 12'!B39</f>
        <v/>
      </c>
      <c r="C510">
        <f>'REGIÃO 12'!C39</f>
        <v/>
      </c>
      <c r="D510">
        <f>'REGIÃO 12'!D39</f>
        <v/>
      </c>
      <c r="E510">
        <f>'REGIÃO 12'!E39</f>
        <v/>
      </c>
      <c r="F510">
        <f>'REGIÃO 12'!F39</f>
        <v/>
      </c>
      <c r="G510">
        <f>'REGIÃO 12'!G39</f>
        <v/>
      </c>
      <c r="H510">
        <f>'REGIÃO 12'!H39</f>
        <v/>
      </c>
      <c r="I510">
        <f>'REGIÃO 12'!I39</f>
        <v/>
      </c>
      <c r="J510">
        <f>'REGIÃO 12'!J39</f>
        <v/>
      </c>
      <c r="K510" s="36">
        <f>'REGIÃO 12'!K39</f>
        <v/>
      </c>
      <c r="L510" t="inlineStr">
        <is>
          <t>REGIÃO 12</t>
        </is>
      </c>
    </row>
    <row r="511">
      <c r="A511">
        <f>'REGIÃO 12'!A40</f>
        <v/>
      </c>
      <c r="B511">
        <f>'REGIÃO 12'!B40</f>
        <v/>
      </c>
      <c r="C511">
        <f>'REGIÃO 12'!C40</f>
        <v/>
      </c>
      <c r="D511">
        <f>'REGIÃO 12'!D40</f>
        <v/>
      </c>
      <c r="E511">
        <f>'REGIÃO 12'!E40</f>
        <v/>
      </c>
      <c r="F511">
        <f>'REGIÃO 12'!F40</f>
        <v/>
      </c>
      <c r="G511">
        <f>'REGIÃO 12'!G40</f>
        <v/>
      </c>
      <c r="H511">
        <f>'REGIÃO 12'!H40</f>
        <v/>
      </c>
      <c r="I511">
        <f>'REGIÃO 12'!I40</f>
        <v/>
      </c>
      <c r="J511">
        <f>'REGIÃO 12'!J40</f>
        <v/>
      </c>
      <c r="K511" s="36">
        <f>'REGIÃO 12'!K40</f>
        <v/>
      </c>
      <c r="L511" t="inlineStr">
        <is>
          <t>REGIÃO 12</t>
        </is>
      </c>
    </row>
    <row r="512">
      <c r="A512">
        <f>'REGIÃO 12'!A41</f>
        <v/>
      </c>
      <c r="B512">
        <f>'REGIÃO 12'!B41</f>
        <v/>
      </c>
      <c r="C512">
        <f>'REGIÃO 12'!C41</f>
        <v/>
      </c>
      <c r="D512">
        <f>'REGIÃO 12'!D41</f>
        <v/>
      </c>
      <c r="E512">
        <f>'REGIÃO 12'!E41</f>
        <v/>
      </c>
      <c r="F512">
        <f>'REGIÃO 12'!F41</f>
        <v/>
      </c>
      <c r="G512">
        <f>'REGIÃO 12'!G41</f>
        <v/>
      </c>
      <c r="H512">
        <f>'REGIÃO 12'!H41</f>
        <v/>
      </c>
      <c r="I512">
        <f>'REGIÃO 12'!I41</f>
        <v/>
      </c>
      <c r="J512">
        <f>'REGIÃO 12'!J41</f>
        <v/>
      </c>
      <c r="K512" s="36">
        <f>'REGIÃO 12'!K41</f>
        <v/>
      </c>
      <c r="L512" t="inlineStr">
        <is>
          <t>REGIÃO 12</t>
        </is>
      </c>
    </row>
    <row r="513">
      <c r="A513">
        <f>'REGIÃO 12'!A42</f>
        <v/>
      </c>
      <c r="B513">
        <f>'REGIÃO 12'!B42</f>
        <v/>
      </c>
      <c r="C513">
        <f>'REGIÃO 12'!C42</f>
        <v/>
      </c>
      <c r="D513">
        <f>'REGIÃO 12'!D42</f>
        <v/>
      </c>
      <c r="E513">
        <f>'REGIÃO 12'!E42</f>
        <v/>
      </c>
      <c r="F513">
        <f>'REGIÃO 12'!F42</f>
        <v/>
      </c>
      <c r="G513">
        <f>'REGIÃO 12'!G42</f>
        <v/>
      </c>
      <c r="H513">
        <f>'REGIÃO 12'!H42</f>
        <v/>
      </c>
      <c r="I513">
        <f>'REGIÃO 12'!I42</f>
        <v/>
      </c>
      <c r="J513">
        <f>'REGIÃO 12'!J42</f>
        <v/>
      </c>
      <c r="K513" s="36">
        <f>'REGIÃO 12'!K42</f>
        <v/>
      </c>
      <c r="L513" t="inlineStr">
        <is>
          <t>REGIÃO 12</t>
        </is>
      </c>
    </row>
    <row r="514">
      <c r="A514">
        <f>'REGIÃO 12'!A43</f>
        <v/>
      </c>
      <c r="B514">
        <f>'REGIÃO 12'!B43</f>
        <v/>
      </c>
      <c r="C514">
        <f>'REGIÃO 12'!C43</f>
        <v/>
      </c>
      <c r="D514">
        <f>'REGIÃO 12'!D43</f>
        <v/>
      </c>
      <c r="E514">
        <f>'REGIÃO 12'!E43</f>
        <v/>
      </c>
      <c r="F514">
        <f>'REGIÃO 12'!F43</f>
        <v/>
      </c>
      <c r="G514">
        <f>'REGIÃO 12'!G43</f>
        <v/>
      </c>
      <c r="H514">
        <f>'REGIÃO 12'!H43</f>
        <v/>
      </c>
      <c r="I514">
        <f>'REGIÃO 12'!I43</f>
        <v/>
      </c>
      <c r="J514">
        <f>'REGIÃO 12'!J43</f>
        <v/>
      </c>
      <c r="K514" s="36">
        <f>'REGIÃO 12'!K43</f>
        <v/>
      </c>
      <c r="L514" t="inlineStr">
        <is>
          <t>REGIÃO 12</t>
        </is>
      </c>
    </row>
    <row r="515">
      <c r="A515">
        <f>'REGIÃO 12'!A44</f>
        <v/>
      </c>
      <c r="B515">
        <f>'REGIÃO 12'!B44</f>
        <v/>
      </c>
      <c r="C515">
        <f>'REGIÃO 12'!C44</f>
        <v/>
      </c>
      <c r="D515">
        <f>'REGIÃO 12'!D44</f>
        <v/>
      </c>
      <c r="E515">
        <f>'REGIÃO 12'!E44</f>
        <v/>
      </c>
      <c r="F515">
        <f>'REGIÃO 12'!F44</f>
        <v/>
      </c>
      <c r="G515">
        <f>'REGIÃO 12'!G44</f>
        <v/>
      </c>
      <c r="H515">
        <f>'REGIÃO 12'!H44</f>
        <v/>
      </c>
      <c r="I515">
        <f>'REGIÃO 12'!I44</f>
        <v/>
      </c>
      <c r="J515">
        <f>'REGIÃO 12'!J44</f>
        <v/>
      </c>
      <c r="K515" s="36">
        <f>'REGIÃO 12'!K44</f>
        <v/>
      </c>
      <c r="L515" t="inlineStr">
        <is>
          <t>REGIÃO 12</t>
        </is>
      </c>
    </row>
    <row r="516">
      <c r="A516">
        <f>'REGIÃO 12'!A45</f>
        <v/>
      </c>
      <c r="B516">
        <f>'REGIÃO 12'!B45</f>
        <v/>
      </c>
      <c r="C516">
        <f>'REGIÃO 12'!C45</f>
        <v/>
      </c>
      <c r="D516">
        <f>'REGIÃO 12'!D45</f>
        <v/>
      </c>
      <c r="E516">
        <f>'REGIÃO 12'!E45</f>
        <v/>
      </c>
      <c r="F516">
        <f>'REGIÃO 12'!F45</f>
        <v/>
      </c>
      <c r="G516">
        <f>'REGIÃO 12'!G45</f>
        <v/>
      </c>
      <c r="H516">
        <f>'REGIÃO 12'!H45</f>
        <v/>
      </c>
      <c r="I516">
        <f>'REGIÃO 12'!I45</f>
        <v/>
      </c>
      <c r="J516">
        <f>'REGIÃO 12'!J45</f>
        <v/>
      </c>
      <c r="K516" s="36">
        <f>'REGIÃO 12'!K45</f>
        <v/>
      </c>
      <c r="L516" t="inlineStr">
        <is>
          <t>REGIÃO 12</t>
        </is>
      </c>
    </row>
    <row r="517">
      <c r="A517">
        <f>'REGIÃO 12'!A46</f>
        <v/>
      </c>
      <c r="B517">
        <f>'REGIÃO 12'!B46</f>
        <v/>
      </c>
      <c r="C517">
        <f>'REGIÃO 12'!C46</f>
        <v/>
      </c>
      <c r="D517">
        <f>'REGIÃO 12'!D46</f>
        <v/>
      </c>
      <c r="E517">
        <f>'REGIÃO 12'!E46</f>
        <v/>
      </c>
      <c r="F517">
        <f>'REGIÃO 12'!F46</f>
        <v/>
      </c>
      <c r="G517">
        <f>'REGIÃO 12'!G46</f>
        <v/>
      </c>
      <c r="H517">
        <f>'REGIÃO 12'!H46</f>
        <v/>
      </c>
      <c r="I517">
        <f>'REGIÃO 12'!I46</f>
        <v/>
      </c>
      <c r="J517">
        <f>'REGIÃO 12'!J46</f>
        <v/>
      </c>
      <c r="K517" s="36">
        <f>'REGIÃO 12'!K46</f>
        <v/>
      </c>
      <c r="L517" t="inlineStr">
        <is>
          <t>REGIÃO 12</t>
        </is>
      </c>
    </row>
    <row r="518">
      <c r="A518">
        <f>'REGIÃO 12'!A47</f>
        <v/>
      </c>
      <c r="B518">
        <f>'REGIÃO 12'!B47</f>
        <v/>
      </c>
      <c r="C518">
        <f>'REGIÃO 12'!C47</f>
        <v/>
      </c>
      <c r="D518">
        <f>'REGIÃO 12'!D47</f>
        <v/>
      </c>
      <c r="E518">
        <f>'REGIÃO 12'!E47</f>
        <v/>
      </c>
      <c r="F518">
        <f>'REGIÃO 12'!F47</f>
        <v/>
      </c>
      <c r="G518">
        <f>'REGIÃO 12'!G47</f>
        <v/>
      </c>
      <c r="H518">
        <f>'REGIÃO 12'!H47</f>
        <v/>
      </c>
      <c r="I518">
        <f>'REGIÃO 12'!I47</f>
        <v/>
      </c>
      <c r="J518">
        <f>'REGIÃO 12'!J47</f>
        <v/>
      </c>
      <c r="K518" s="36">
        <f>'REGIÃO 12'!K47</f>
        <v/>
      </c>
      <c r="L518" t="inlineStr">
        <is>
          <t>REGIÃO 12</t>
        </is>
      </c>
    </row>
    <row r="519">
      <c r="A519">
        <f>'REGIÃO 12'!A48</f>
        <v/>
      </c>
      <c r="B519">
        <f>'REGIÃO 12'!B48</f>
        <v/>
      </c>
      <c r="C519">
        <f>'REGIÃO 12'!C48</f>
        <v/>
      </c>
      <c r="D519">
        <f>'REGIÃO 12'!D48</f>
        <v/>
      </c>
      <c r="E519">
        <f>'REGIÃO 12'!E48</f>
        <v/>
      </c>
      <c r="F519">
        <f>'REGIÃO 12'!F48</f>
        <v/>
      </c>
      <c r="G519">
        <f>'REGIÃO 12'!G48</f>
        <v/>
      </c>
      <c r="H519">
        <f>'REGIÃO 12'!H48</f>
        <v/>
      </c>
      <c r="I519">
        <f>'REGIÃO 12'!I48</f>
        <v/>
      </c>
      <c r="J519">
        <f>'REGIÃO 12'!J48</f>
        <v/>
      </c>
      <c r="K519" s="36">
        <f>'REGIÃO 12'!K48</f>
        <v/>
      </c>
      <c r="L519" t="inlineStr">
        <is>
          <t>REGIÃO 12</t>
        </is>
      </c>
    </row>
    <row r="520">
      <c r="A520">
        <f>'REGIÃO 12'!A49</f>
        <v/>
      </c>
      <c r="B520">
        <f>'REGIÃO 12'!B49</f>
        <v/>
      </c>
      <c r="C520">
        <f>'REGIÃO 12'!C49</f>
        <v/>
      </c>
      <c r="D520">
        <f>'REGIÃO 12'!D49</f>
        <v/>
      </c>
      <c r="E520">
        <f>'REGIÃO 12'!E49</f>
        <v/>
      </c>
      <c r="F520">
        <f>'REGIÃO 12'!F49</f>
        <v/>
      </c>
      <c r="G520">
        <f>'REGIÃO 12'!G49</f>
        <v/>
      </c>
      <c r="H520">
        <f>'REGIÃO 12'!H49</f>
        <v/>
      </c>
      <c r="I520">
        <f>'REGIÃO 12'!I49</f>
        <v/>
      </c>
      <c r="J520">
        <f>'REGIÃO 12'!J49</f>
        <v/>
      </c>
      <c r="K520" s="36">
        <f>'REGIÃO 12'!K49</f>
        <v/>
      </c>
      <c r="L520" t="inlineStr">
        <is>
          <t>REGIÃO 12</t>
        </is>
      </c>
    </row>
    <row r="521">
      <c r="A521">
        <f>'REGIÃO 12'!A50</f>
        <v/>
      </c>
      <c r="B521">
        <f>'REGIÃO 12'!B50</f>
        <v/>
      </c>
      <c r="C521">
        <f>'REGIÃO 12'!C50</f>
        <v/>
      </c>
      <c r="D521">
        <f>'REGIÃO 12'!D50</f>
        <v/>
      </c>
      <c r="E521">
        <f>'REGIÃO 12'!E50</f>
        <v/>
      </c>
      <c r="F521">
        <f>'REGIÃO 12'!F50</f>
        <v/>
      </c>
      <c r="G521">
        <f>'REGIÃO 12'!G50</f>
        <v/>
      </c>
      <c r="H521">
        <f>'REGIÃO 12'!H50</f>
        <v/>
      </c>
      <c r="I521">
        <f>'REGIÃO 12'!I50</f>
        <v/>
      </c>
      <c r="J521">
        <f>'REGIÃO 12'!J50</f>
        <v/>
      </c>
      <c r="K521" s="36">
        <f>'REGIÃO 12'!K50</f>
        <v/>
      </c>
      <c r="L521" t="inlineStr">
        <is>
          <t>REGIÃO 12</t>
        </is>
      </c>
    </row>
    <row r="522">
      <c r="A522">
        <f>'REGIÃO 12'!A51</f>
        <v/>
      </c>
      <c r="B522">
        <f>'REGIÃO 12'!B51</f>
        <v/>
      </c>
      <c r="C522">
        <f>'REGIÃO 12'!C51</f>
        <v/>
      </c>
      <c r="D522">
        <f>'REGIÃO 12'!D51</f>
        <v/>
      </c>
      <c r="E522">
        <f>'REGIÃO 12'!E51</f>
        <v/>
      </c>
      <c r="F522">
        <f>'REGIÃO 12'!F51</f>
        <v/>
      </c>
      <c r="G522">
        <f>'REGIÃO 12'!G51</f>
        <v/>
      </c>
      <c r="H522">
        <f>'REGIÃO 12'!H51</f>
        <v/>
      </c>
      <c r="I522">
        <f>'REGIÃO 12'!I51</f>
        <v/>
      </c>
      <c r="J522">
        <f>'REGIÃO 12'!J51</f>
        <v/>
      </c>
      <c r="K522" s="36">
        <f>'REGIÃO 12'!K51</f>
        <v/>
      </c>
      <c r="L522" t="inlineStr">
        <is>
          <t>REGIÃO 12</t>
        </is>
      </c>
    </row>
    <row r="523">
      <c r="A523">
        <f>'REGIÃO 12'!A52</f>
        <v/>
      </c>
      <c r="B523">
        <f>'REGIÃO 12'!B52</f>
        <v/>
      </c>
      <c r="C523">
        <f>'REGIÃO 12'!C52</f>
        <v/>
      </c>
      <c r="D523">
        <f>'REGIÃO 12'!D52</f>
        <v/>
      </c>
      <c r="E523">
        <f>'REGIÃO 12'!E52</f>
        <v/>
      </c>
      <c r="F523">
        <f>'REGIÃO 12'!F52</f>
        <v/>
      </c>
      <c r="G523">
        <f>'REGIÃO 12'!G52</f>
        <v/>
      </c>
      <c r="H523">
        <f>'REGIÃO 12'!H52</f>
        <v/>
      </c>
      <c r="I523">
        <f>'REGIÃO 12'!I52</f>
        <v/>
      </c>
      <c r="J523">
        <f>'REGIÃO 12'!J52</f>
        <v/>
      </c>
      <c r="K523" s="36">
        <f>'REGIÃO 12'!K52</f>
        <v/>
      </c>
      <c r="L523" t="inlineStr">
        <is>
          <t>REGIÃO 12</t>
        </is>
      </c>
    </row>
    <row r="524">
      <c r="A524">
        <f>'REGIÃO 12'!A53</f>
        <v/>
      </c>
      <c r="B524">
        <f>'REGIÃO 12'!B53</f>
        <v/>
      </c>
      <c r="C524">
        <f>'REGIÃO 12'!C53</f>
        <v/>
      </c>
      <c r="D524">
        <f>'REGIÃO 12'!D53</f>
        <v/>
      </c>
      <c r="E524">
        <f>'REGIÃO 12'!E53</f>
        <v/>
      </c>
      <c r="F524">
        <f>'REGIÃO 12'!F53</f>
        <v/>
      </c>
      <c r="G524">
        <f>'REGIÃO 12'!G53</f>
        <v/>
      </c>
      <c r="H524">
        <f>'REGIÃO 12'!H53</f>
        <v/>
      </c>
      <c r="I524">
        <f>'REGIÃO 12'!I53</f>
        <v/>
      </c>
      <c r="J524">
        <f>'REGIÃO 12'!J53</f>
        <v/>
      </c>
      <c r="K524" s="36">
        <f>'REGIÃO 12'!K53</f>
        <v/>
      </c>
      <c r="L524" t="inlineStr">
        <is>
          <t>REGIÃO 12</t>
        </is>
      </c>
    </row>
    <row r="525">
      <c r="A525">
        <f>'REGIÃO 12'!A54</f>
        <v/>
      </c>
      <c r="B525">
        <f>'REGIÃO 12'!B54</f>
        <v/>
      </c>
      <c r="C525">
        <f>'REGIÃO 12'!C54</f>
        <v/>
      </c>
      <c r="D525">
        <f>'REGIÃO 12'!D54</f>
        <v/>
      </c>
      <c r="E525">
        <f>'REGIÃO 12'!E54</f>
        <v/>
      </c>
      <c r="F525">
        <f>'REGIÃO 12'!F54</f>
        <v/>
      </c>
      <c r="G525">
        <f>'REGIÃO 12'!G54</f>
        <v/>
      </c>
      <c r="H525">
        <f>'REGIÃO 12'!H54</f>
        <v/>
      </c>
      <c r="I525">
        <f>'REGIÃO 12'!I54</f>
        <v/>
      </c>
      <c r="J525">
        <f>'REGIÃO 12'!J54</f>
        <v/>
      </c>
      <c r="K525" s="36">
        <f>'REGIÃO 12'!K54</f>
        <v/>
      </c>
      <c r="L525" t="inlineStr">
        <is>
          <t>REGIÃO 12</t>
        </is>
      </c>
    </row>
    <row r="526">
      <c r="A526">
        <f>'REGIÃO 12'!A55</f>
        <v/>
      </c>
      <c r="B526">
        <f>'REGIÃO 12'!B55</f>
        <v/>
      </c>
      <c r="C526">
        <f>'REGIÃO 12'!C55</f>
        <v/>
      </c>
      <c r="D526">
        <f>'REGIÃO 12'!D55</f>
        <v/>
      </c>
      <c r="E526">
        <f>'REGIÃO 12'!E55</f>
        <v/>
      </c>
      <c r="F526">
        <f>'REGIÃO 12'!F55</f>
        <v/>
      </c>
      <c r="G526">
        <f>'REGIÃO 12'!G55</f>
        <v/>
      </c>
      <c r="H526">
        <f>'REGIÃO 12'!H55</f>
        <v/>
      </c>
      <c r="I526">
        <f>'REGIÃO 12'!I55</f>
        <v/>
      </c>
      <c r="J526">
        <f>'REGIÃO 12'!J55</f>
        <v/>
      </c>
      <c r="K526" s="36">
        <f>'REGIÃO 12'!K55</f>
        <v/>
      </c>
      <c r="L526" t="inlineStr">
        <is>
          <t>REGIÃO 12</t>
        </is>
      </c>
    </row>
    <row r="527">
      <c r="A527">
        <f>'REGIÃO 12'!A56</f>
        <v/>
      </c>
      <c r="B527">
        <f>'REGIÃO 12'!B56</f>
        <v/>
      </c>
      <c r="C527">
        <f>'REGIÃO 12'!C56</f>
        <v/>
      </c>
      <c r="D527">
        <f>'REGIÃO 12'!D56</f>
        <v/>
      </c>
      <c r="E527">
        <f>'REGIÃO 12'!E56</f>
        <v/>
      </c>
      <c r="F527">
        <f>'REGIÃO 12'!F56</f>
        <v/>
      </c>
      <c r="G527">
        <f>'REGIÃO 12'!G56</f>
        <v/>
      </c>
      <c r="H527">
        <f>'REGIÃO 12'!H56</f>
        <v/>
      </c>
      <c r="I527">
        <f>'REGIÃO 12'!I56</f>
        <v/>
      </c>
      <c r="J527">
        <f>'REGIÃO 12'!J56</f>
        <v/>
      </c>
      <c r="K527" s="36">
        <f>'REGIÃO 12'!K56</f>
        <v/>
      </c>
      <c r="L527" t="inlineStr">
        <is>
          <t>REGIÃO 12</t>
        </is>
      </c>
    </row>
    <row r="528">
      <c r="A528">
        <f>'REGIÃO 12'!A57</f>
        <v/>
      </c>
      <c r="B528">
        <f>'REGIÃO 12'!B57</f>
        <v/>
      </c>
      <c r="C528">
        <f>'REGIÃO 12'!C57</f>
        <v/>
      </c>
      <c r="D528">
        <f>'REGIÃO 12'!D57</f>
        <v/>
      </c>
      <c r="E528">
        <f>'REGIÃO 12'!E57</f>
        <v/>
      </c>
      <c r="F528">
        <f>'REGIÃO 12'!F57</f>
        <v/>
      </c>
      <c r="G528">
        <f>'REGIÃO 12'!G57</f>
        <v/>
      </c>
      <c r="H528">
        <f>'REGIÃO 12'!H57</f>
        <v/>
      </c>
      <c r="I528">
        <f>'REGIÃO 12'!I57</f>
        <v/>
      </c>
      <c r="J528">
        <f>'REGIÃO 12'!J57</f>
        <v/>
      </c>
      <c r="K528" s="36">
        <f>'REGIÃO 12'!K57</f>
        <v/>
      </c>
      <c r="L528" t="inlineStr">
        <is>
          <t>REGIÃO 12</t>
        </is>
      </c>
    </row>
    <row r="529">
      <c r="A529">
        <f>'REGIÃO 12'!A58</f>
        <v/>
      </c>
      <c r="B529">
        <f>'REGIÃO 12'!B58</f>
        <v/>
      </c>
      <c r="C529">
        <f>'REGIÃO 12'!C58</f>
        <v/>
      </c>
      <c r="D529">
        <f>'REGIÃO 12'!D58</f>
        <v/>
      </c>
      <c r="E529">
        <f>'REGIÃO 12'!E58</f>
        <v/>
      </c>
      <c r="F529">
        <f>'REGIÃO 12'!F58</f>
        <v/>
      </c>
      <c r="G529">
        <f>'REGIÃO 12'!G58</f>
        <v/>
      </c>
      <c r="H529">
        <f>'REGIÃO 12'!H58</f>
        <v/>
      </c>
      <c r="I529">
        <f>'REGIÃO 12'!I58</f>
        <v/>
      </c>
      <c r="J529">
        <f>'REGIÃO 12'!J58</f>
        <v/>
      </c>
      <c r="K529" s="36">
        <f>'REGIÃO 12'!K58</f>
        <v/>
      </c>
      <c r="L529" t="inlineStr">
        <is>
          <t>REGIÃO 12</t>
        </is>
      </c>
    </row>
    <row r="530">
      <c r="A530">
        <f>'REGIÃO 12'!A59</f>
        <v/>
      </c>
      <c r="B530">
        <f>'REGIÃO 12'!B59</f>
        <v/>
      </c>
      <c r="C530">
        <f>'REGIÃO 12'!C59</f>
        <v/>
      </c>
      <c r="D530">
        <f>'REGIÃO 12'!D59</f>
        <v/>
      </c>
      <c r="E530">
        <f>'REGIÃO 12'!E59</f>
        <v/>
      </c>
      <c r="F530">
        <f>'REGIÃO 12'!F59</f>
        <v/>
      </c>
      <c r="G530">
        <f>'REGIÃO 12'!G59</f>
        <v/>
      </c>
      <c r="H530">
        <f>'REGIÃO 12'!H59</f>
        <v/>
      </c>
      <c r="I530">
        <f>'REGIÃO 12'!I59</f>
        <v/>
      </c>
      <c r="J530">
        <f>'REGIÃO 12'!J59</f>
        <v/>
      </c>
      <c r="K530" s="36">
        <f>'REGIÃO 12'!K59</f>
        <v/>
      </c>
      <c r="L530" t="inlineStr">
        <is>
          <t>REGIÃO 12</t>
        </is>
      </c>
    </row>
    <row r="531">
      <c r="A531">
        <f>'REGIÃO 12'!A60</f>
        <v/>
      </c>
      <c r="B531">
        <f>'REGIÃO 12'!B60</f>
        <v/>
      </c>
      <c r="C531">
        <f>'REGIÃO 12'!C60</f>
        <v/>
      </c>
      <c r="D531">
        <f>'REGIÃO 12'!D60</f>
        <v/>
      </c>
      <c r="E531">
        <f>'REGIÃO 12'!E60</f>
        <v/>
      </c>
      <c r="F531">
        <f>'REGIÃO 12'!F60</f>
        <v/>
      </c>
      <c r="G531">
        <f>'REGIÃO 12'!G60</f>
        <v/>
      </c>
      <c r="H531">
        <f>'REGIÃO 12'!H60</f>
        <v/>
      </c>
      <c r="I531">
        <f>'REGIÃO 12'!I60</f>
        <v/>
      </c>
      <c r="J531">
        <f>'REGIÃO 12'!J60</f>
        <v/>
      </c>
      <c r="K531" s="36">
        <f>'REGIÃO 12'!K60</f>
        <v/>
      </c>
      <c r="L531" t="inlineStr">
        <is>
          <t>REGIÃO 12</t>
        </is>
      </c>
    </row>
    <row r="532">
      <c r="A532">
        <f>'REGIÃO 12'!A61</f>
        <v/>
      </c>
      <c r="B532">
        <f>'REGIÃO 12'!B61</f>
        <v/>
      </c>
      <c r="C532">
        <f>'REGIÃO 12'!C61</f>
        <v/>
      </c>
      <c r="D532">
        <f>'REGIÃO 12'!D61</f>
        <v/>
      </c>
      <c r="E532">
        <f>'REGIÃO 12'!E61</f>
        <v/>
      </c>
      <c r="F532">
        <f>'REGIÃO 12'!F61</f>
        <v/>
      </c>
      <c r="G532">
        <f>'REGIÃO 12'!G61</f>
        <v/>
      </c>
      <c r="H532">
        <f>'REGIÃO 12'!H61</f>
        <v/>
      </c>
      <c r="I532">
        <f>'REGIÃO 12'!I61</f>
        <v/>
      </c>
      <c r="J532">
        <f>'REGIÃO 12'!J61</f>
        <v/>
      </c>
      <c r="K532" s="36">
        <f>'REGIÃO 12'!K61</f>
        <v/>
      </c>
      <c r="L532" t="inlineStr">
        <is>
          <t>REGIÃO 12</t>
        </is>
      </c>
    </row>
    <row r="533">
      <c r="A533">
        <f>'REGIÃO 12'!A62</f>
        <v/>
      </c>
      <c r="B533">
        <f>'REGIÃO 12'!B62</f>
        <v/>
      </c>
      <c r="C533">
        <f>'REGIÃO 12'!C62</f>
        <v/>
      </c>
      <c r="D533">
        <f>'REGIÃO 12'!D62</f>
        <v/>
      </c>
      <c r="E533">
        <f>'REGIÃO 12'!E62</f>
        <v/>
      </c>
      <c r="F533">
        <f>'REGIÃO 12'!F62</f>
        <v/>
      </c>
      <c r="G533">
        <f>'REGIÃO 12'!G62</f>
        <v/>
      </c>
      <c r="H533">
        <f>'REGIÃO 12'!H62</f>
        <v/>
      </c>
      <c r="I533">
        <f>'REGIÃO 12'!I62</f>
        <v/>
      </c>
      <c r="J533">
        <f>'REGIÃO 12'!J62</f>
        <v/>
      </c>
      <c r="K533" s="36">
        <f>'REGIÃO 12'!K62</f>
        <v/>
      </c>
      <c r="L533" t="inlineStr">
        <is>
          <t>REGIÃO 12</t>
        </is>
      </c>
    </row>
    <row r="534">
      <c r="A534">
        <f>'REGIÃO 12'!A63</f>
        <v/>
      </c>
      <c r="B534">
        <f>'REGIÃO 12'!B63</f>
        <v/>
      </c>
      <c r="C534">
        <f>'REGIÃO 12'!C63</f>
        <v/>
      </c>
      <c r="D534">
        <f>'REGIÃO 12'!D63</f>
        <v/>
      </c>
      <c r="E534">
        <f>'REGIÃO 12'!E63</f>
        <v/>
      </c>
      <c r="F534">
        <f>'REGIÃO 12'!F63</f>
        <v/>
      </c>
      <c r="G534">
        <f>'REGIÃO 12'!G63</f>
        <v/>
      </c>
      <c r="H534">
        <f>'REGIÃO 12'!H63</f>
        <v/>
      </c>
      <c r="I534">
        <f>'REGIÃO 12'!I63</f>
        <v/>
      </c>
      <c r="J534">
        <f>'REGIÃO 12'!J63</f>
        <v/>
      </c>
      <c r="K534" s="36">
        <f>'REGIÃO 12'!K63</f>
        <v/>
      </c>
      <c r="L534" t="inlineStr">
        <is>
          <t>REGIÃO 12</t>
        </is>
      </c>
    </row>
    <row r="535">
      <c r="A535">
        <f>'REGIÃO 12'!A64</f>
        <v/>
      </c>
      <c r="B535">
        <f>'REGIÃO 12'!B64</f>
        <v/>
      </c>
      <c r="C535">
        <f>'REGIÃO 12'!C64</f>
        <v/>
      </c>
      <c r="D535">
        <f>'REGIÃO 12'!D64</f>
        <v/>
      </c>
      <c r="E535">
        <f>'REGIÃO 12'!E64</f>
        <v/>
      </c>
      <c r="F535">
        <f>'REGIÃO 12'!F64</f>
        <v/>
      </c>
      <c r="G535">
        <f>'REGIÃO 12'!G64</f>
        <v/>
      </c>
      <c r="H535">
        <f>'REGIÃO 12'!H64</f>
        <v/>
      </c>
      <c r="I535">
        <f>'REGIÃO 12'!I64</f>
        <v/>
      </c>
      <c r="J535">
        <f>'REGIÃO 12'!J64</f>
        <v/>
      </c>
      <c r="K535" s="36">
        <f>'REGIÃO 12'!K64</f>
        <v/>
      </c>
      <c r="L535" t="inlineStr">
        <is>
          <t>REGIÃO 12</t>
        </is>
      </c>
    </row>
    <row r="536">
      <c r="A536">
        <f>'REGIÃO 12'!A65</f>
        <v/>
      </c>
      <c r="B536">
        <f>'REGIÃO 12'!B65</f>
        <v/>
      </c>
      <c r="C536">
        <f>'REGIÃO 12'!C65</f>
        <v/>
      </c>
      <c r="D536">
        <f>'REGIÃO 12'!D65</f>
        <v/>
      </c>
      <c r="E536">
        <f>'REGIÃO 12'!E65</f>
        <v/>
      </c>
      <c r="F536">
        <f>'REGIÃO 12'!F65</f>
        <v/>
      </c>
      <c r="G536">
        <f>'REGIÃO 12'!G65</f>
        <v/>
      </c>
      <c r="H536">
        <f>'REGIÃO 12'!H65</f>
        <v/>
      </c>
      <c r="I536">
        <f>'REGIÃO 12'!I65</f>
        <v/>
      </c>
      <c r="J536">
        <f>'REGIÃO 12'!J65</f>
        <v/>
      </c>
      <c r="K536" s="36">
        <f>'REGIÃO 12'!K65</f>
        <v/>
      </c>
      <c r="L536" t="inlineStr">
        <is>
          <t>REGIÃO 12</t>
        </is>
      </c>
    </row>
    <row r="537">
      <c r="A537">
        <f>'REGIÃO 12'!A66</f>
        <v/>
      </c>
      <c r="B537">
        <f>'REGIÃO 12'!B66</f>
        <v/>
      </c>
      <c r="C537">
        <f>'REGIÃO 12'!C66</f>
        <v/>
      </c>
      <c r="D537">
        <f>'REGIÃO 12'!D66</f>
        <v/>
      </c>
      <c r="E537">
        <f>'REGIÃO 12'!E66</f>
        <v/>
      </c>
      <c r="F537">
        <f>'REGIÃO 12'!F66</f>
        <v/>
      </c>
      <c r="G537">
        <f>'REGIÃO 12'!G66</f>
        <v/>
      </c>
      <c r="H537">
        <f>'REGIÃO 12'!H66</f>
        <v/>
      </c>
      <c r="I537">
        <f>'REGIÃO 12'!I66</f>
        <v/>
      </c>
      <c r="J537">
        <f>'REGIÃO 12'!J66</f>
        <v/>
      </c>
      <c r="K537" s="36">
        <f>'REGIÃO 12'!K66</f>
        <v/>
      </c>
      <c r="L537" t="inlineStr">
        <is>
          <t>REGIÃO 12</t>
        </is>
      </c>
    </row>
    <row r="538">
      <c r="A538">
        <f>'REGIÃO 12'!A67</f>
        <v/>
      </c>
      <c r="B538">
        <f>'REGIÃO 12'!B67</f>
        <v/>
      </c>
      <c r="C538">
        <f>'REGIÃO 12'!C67</f>
        <v/>
      </c>
      <c r="D538">
        <f>'REGIÃO 12'!D67</f>
        <v/>
      </c>
      <c r="E538">
        <f>'REGIÃO 12'!E67</f>
        <v/>
      </c>
      <c r="F538">
        <f>'REGIÃO 12'!F67</f>
        <v/>
      </c>
      <c r="G538">
        <f>'REGIÃO 12'!G67</f>
        <v/>
      </c>
      <c r="H538">
        <f>'REGIÃO 12'!H67</f>
        <v/>
      </c>
      <c r="I538">
        <f>'REGIÃO 12'!I67</f>
        <v/>
      </c>
      <c r="J538">
        <f>'REGIÃO 12'!J67</f>
        <v/>
      </c>
      <c r="K538" s="36">
        <f>'REGIÃO 12'!K67</f>
        <v/>
      </c>
      <c r="L538" t="inlineStr">
        <is>
          <t>REGIÃO 12</t>
        </is>
      </c>
    </row>
    <row r="539">
      <c r="A539">
        <f>'REGIÃO 12'!A68</f>
        <v/>
      </c>
      <c r="B539">
        <f>'REGIÃO 12'!B68</f>
        <v/>
      </c>
      <c r="C539">
        <f>'REGIÃO 12'!C68</f>
        <v/>
      </c>
      <c r="D539">
        <f>'REGIÃO 12'!D68</f>
        <v/>
      </c>
      <c r="E539">
        <f>'REGIÃO 12'!E68</f>
        <v/>
      </c>
      <c r="F539">
        <f>'REGIÃO 12'!F68</f>
        <v/>
      </c>
      <c r="G539">
        <f>'REGIÃO 12'!G68</f>
        <v/>
      </c>
      <c r="H539">
        <f>'REGIÃO 12'!H68</f>
        <v/>
      </c>
      <c r="I539">
        <f>'REGIÃO 12'!I68</f>
        <v/>
      </c>
      <c r="J539">
        <f>'REGIÃO 12'!J68</f>
        <v/>
      </c>
      <c r="K539" s="36">
        <f>'REGIÃO 12'!K68</f>
        <v/>
      </c>
      <c r="L539" t="inlineStr">
        <is>
          <t>REGIÃO 12</t>
        </is>
      </c>
    </row>
    <row r="540">
      <c r="A540">
        <f>'REGIÃO 12'!A69</f>
        <v/>
      </c>
      <c r="B540">
        <f>'REGIÃO 12'!B69</f>
        <v/>
      </c>
      <c r="C540">
        <f>'REGIÃO 12'!C69</f>
        <v/>
      </c>
      <c r="D540">
        <f>'REGIÃO 12'!D69</f>
        <v/>
      </c>
      <c r="E540">
        <f>'REGIÃO 12'!E69</f>
        <v/>
      </c>
      <c r="F540">
        <f>'REGIÃO 12'!F69</f>
        <v/>
      </c>
      <c r="G540">
        <f>'REGIÃO 12'!G69</f>
        <v/>
      </c>
      <c r="H540">
        <f>'REGIÃO 12'!H69</f>
        <v/>
      </c>
      <c r="I540">
        <f>'REGIÃO 12'!I69</f>
        <v/>
      </c>
      <c r="J540">
        <f>'REGIÃO 12'!J69</f>
        <v/>
      </c>
      <c r="K540" s="36">
        <f>'REGIÃO 12'!K69</f>
        <v/>
      </c>
      <c r="L540" t="inlineStr">
        <is>
          <t>REGIÃO 12</t>
        </is>
      </c>
    </row>
    <row r="541">
      <c r="A541">
        <f>'REGIÃO 12'!A70</f>
        <v/>
      </c>
      <c r="B541">
        <f>'REGIÃO 12'!B70</f>
        <v/>
      </c>
      <c r="C541">
        <f>'REGIÃO 12'!C70</f>
        <v/>
      </c>
      <c r="D541">
        <f>'REGIÃO 12'!D70</f>
        <v/>
      </c>
      <c r="E541">
        <f>'REGIÃO 12'!E70</f>
        <v/>
      </c>
      <c r="F541">
        <f>'REGIÃO 12'!F70</f>
        <v/>
      </c>
      <c r="G541">
        <f>'REGIÃO 12'!G70</f>
        <v/>
      </c>
      <c r="H541">
        <f>'REGIÃO 12'!H70</f>
        <v/>
      </c>
      <c r="I541">
        <f>'REGIÃO 12'!I70</f>
        <v/>
      </c>
      <c r="J541">
        <f>'REGIÃO 12'!J70</f>
        <v/>
      </c>
      <c r="K541" s="36">
        <f>'REGIÃO 12'!K70</f>
        <v/>
      </c>
      <c r="L541" t="inlineStr">
        <is>
          <t>REGIÃO 12</t>
        </is>
      </c>
    </row>
    <row r="542">
      <c r="A542">
        <f>'REGIÃO 12'!A71</f>
        <v/>
      </c>
      <c r="B542">
        <f>'REGIÃO 12'!B71</f>
        <v/>
      </c>
      <c r="C542">
        <f>'REGIÃO 12'!C71</f>
        <v/>
      </c>
      <c r="D542">
        <f>'REGIÃO 12'!D71</f>
        <v/>
      </c>
      <c r="E542">
        <f>'REGIÃO 12'!E71</f>
        <v/>
      </c>
      <c r="F542">
        <f>'REGIÃO 12'!F71</f>
        <v/>
      </c>
      <c r="G542">
        <f>'REGIÃO 12'!G71</f>
        <v/>
      </c>
      <c r="H542">
        <f>'REGIÃO 12'!H71</f>
        <v/>
      </c>
      <c r="I542">
        <f>'REGIÃO 12'!I71</f>
        <v/>
      </c>
      <c r="J542">
        <f>'REGIÃO 12'!J71</f>
        <v/>
      </c>
      <c r="K542" s="36">
        <f>'REGIÃO 12'!K71</f>
        <v/>
      </c>
      <c r="L542" t="inlineStr">
        <is>
          <t>REGIÃO 12</t>
        </is>
      </c>
    </row>
    <row r="543">
      <c r="A543">
        <f>'REGIÃO 12'!A72</f>
        <v/>
      </c>
      <c r="B543">
        <f>'REGIÃO 12'!B72</f>
        <v/>
      </c>
      <c r="C543">
        <f>'REGIÃO 12'!C72</f>
        <v/>
      </c>
      <c r="D543">
        <f>'REGIÃO 12'!D72</f>
        <v/>
      </c>
      <c r="E543">
        <f>'REGIÃO 12'!E72</f>
        <v/>
      </c>
      <c r="F543">
        <f>'REGIÃO 12'!F72</f>
        <v/>
      </c>
      <c r="G543">
        <f>'REGIÃO 12'!G72</f>
        <v/>
      </c>
      <c r="H543">
        <f>'REGIÃO 12'!H72</f>
        <v/>
      </c>
      <c r="I543">
        <f>'REGIÃO 12'!I72</f>
        <v/>
      </c>
      <c r="J543">
        <f>'REGIÃO 12'!J72</f>
        <v/>
      </c>
      <c r="K543" s="36">
        <f>'REGIÃO 12'!K72</f>
        <v/>
      </c>
      <c r="L543" t="inlineStr">
        <is>
          <t>REGIÃO 12</t>
        </is>
      </c>
    </row>
    <row r="544">
      <c r="A544">
        <f>'REGIÃO 12'!A73</f>
        <v/>
      </c>
      <c r="B544">
        <f>'REGIÃO 12'!B73</f>
        <v/>
      </c>
      <c r="C544">
        <f>'REGIÃO 12'!C73</f>
        <v/>
      </c>
      <c r="D544">
        <f>'REGIÃO 12'!D73</f>
        <v/>
      </c>
      <c r="E544">
        <f>'REGIÃO 12'!E73</f>
        <v/>
      </c>
      <c r="F544">
        <f>'REGIÃO 12'!F73</f>
        <v/>
      </c>
      <c r="G544">
        <f>'REGIÃO 12'!G73</f>
        <v/>
      </c>
      <c r="H544">
        <f>'REGIÃO 12'!H73</f>
        <v/>
      </c>
      <c r="I544">
        <f>'REGIÃO 12'!I73</f>
        <v/>
      </c>
      <c r="J544">
        <f>'REGIÃO 12'!J73</f>
        <v/>
      </c>
      <c r="K544" s="36">
        <f>'REGIÃO 12'!K73</f>
        <v/>
      </c>
      <c r="L544" t="inlineStr">
        <is>
          <t>REGIÃO 12</t>
        </is>
      </c>
    </row>
    <row r="545">
      <c r="A545" s="35">
        <f>'REGIÃO 13'!A2</f>
        <v/>
      </c>
      <c r="B545">
        <f>'REGIÃO 13'!B2</f>
        <v/>
      </c>
      <c r="C545" s="35">
        <f>'REGIÃO 13'!C2</f>
        <v/>
      </c>
      <c r="D545">
        <f>'REGIÃO 13'!D2</f>
        <v/>
      </c>
      <c r="E545">
        <f>'REGIÃO 13'!E2</f>
        <v/>
      </c>
      <c r="F545">
        <f>'REGIÃO 13'!F2</f>
        <v/>
      </c>
      <c r="G545">
        <f>'REGIÃO 13'!G2</f>
        <v/>
      </c>
      <c r="H545">
        <f>'REGIÃO 13'!H2</f>
        <v/>
      </c>
      <c r="I545">
        <f>'REGIÃO 13'!I2</f>
        <v/>
      </c>
      <c r="J545">
        <f>'REGIÃO 13'!J2</f>
        <v/>
      </c>
      <c r="K545" s="36">
        <f>'REGIÃO 13'!K2</f>
        <v/>
      </c>
      <c r="L545" t="inlineStr">
        <is>
          <t>REGIÃO 13</t>
        </is>
      </c>
    </row>
    <row r="546">
      <c r="A546">
        <f>'REGIÃO 13'!A3</f>
        <v/>
      </c>
      <c r="B546">
        <f>'REGIÃO 13'!B3</f>
        <v/>
      </c>
      <c r="C546">
        <f>'REGIÃO 13'!C3</f>
        <v/>
      </c>
      <c r="D546">
        <f>'REGIÃO 13'!D3</f>
        <v/>
      </c>
      <c r="E546">
        <f>'REGIÃO 13'!E3</f>
        <v/>
      </c>
      <c r="F546">
        <f>'REGIÃO 13'!F3</f>
        <v/>
      </c>
      <c r="G546">
        <f>'REGIÃO 13'!G3</f>
        <v/>
      </c>
      <c r="H546">
        <f>'REGIÃO 13'!H3</f>
        <v/>
      </c>
      <c r="I546">
        <f>'REGIÃO 13'!I3</f>
        <v/>
      </c>
      <c r="J546">
        <f>'REGIÃO 13'!J3</f>
        <v/>
      </c>
      <c r="K546" s="36">
        <f>'REGIÃO 13'!K3</f>
        <v/>
      </c>
      <c r="L546" t="inlineStr">
        <is>
          <t>REGIÃO 13</t>
        </is>
      </c>
    </row>
    <row r="547">
      <c r="A547">
        <f>'REGIÃO 13'!A4</f>
        <v/>
      </c>
      <c r="B547">
        <f>'REGIÃO 13'!B4</f>
        <v/>
      </c>
      <c r="C547">
        <f>'REGIÃO 13'!C4</f>
        <v/>
      </c>
      <c r="D547">
        <f>'REGIÃO 13'!D4</f>
        <v/>
      </c>
      <c r="E547">
        <f>'REGIÃO 13'!E4</f>
        <v/>
      </c>
      <c r="F547">
        <f>'REGIÃO 13'!F4</f>
        <v/>
      </c>
      <c r="G547">
        <f>'REGIÃO 13'!G4</f>
        <v/>
      </c>
      <c r="H547">
        <f>'REGIÃO 13'!H4</f>
        <v/>
      </c>
      <c r="I547">
        <f>'REGIÃO 13'!I4</f>
        <v/>
      </c>
      <c r="J547">
        <f>'REGIÃO 13'!J4</f>
        <v/>
      </c>
      <c r="K547" s="36">
        <f>'REGIÃO 13'!K4</f>
        <v/>
      </c>
      <c r="L547" t="inlineStr">
        <is>
          <t>REGIÃO 13</t>
        </is>
      </c>
    </row>
    <row r="548">
      <c r="A548">
        <f>'REGIÃO 13'!A5</f>
        <v/>
      </c>
      <c r="B548">
        <f>'REGIÃO 13'!B5</f>
        <v/>
      </c>
      <c r="C548">
        <f>'REGIÃO 13'!C5</f>
        <v/>
      </c>
      <c r="D548">
        <f>'REGIÃO 13'!D5</f>
        <v/>
      </c>
      <c r="E548">
        <f>'REGIÃO 13'!E5</f>
        <v/>
      </c>
      <c r="F548">
        <f>'REGIÃO 13'!F5</f>
        <v/>
      </c>
      <c r="G548">
        <f>'REGIÃO 13'!G5</f>
        <v/>
      </c>
      <c r="H548">
        <f>'REGIÃO 13'!H5</f>
        <v/>
      </c>
      <c r="I548">
        <f>'REGIÃO 13'!I5</f>
        <v/>
      </c>
      <c r="J548">
        <f>'REGIÃO 13'!J5</f>
        <v/>
      </c>
      <c r="K548" s="36">
        <f>'REGIÃO 13'!K5</f>
        <v/>
      </c>
      <c r="L548" t="inlineStr">
        <is>
          <t>REGIÃO 13</t>
        </is>
      </c>
    </row>
    <row r="549">
      <c r="A549">
        <f>'REGIÃO 13'!A6</f>
        <v/>
      </c>
      <c r="B549">
        <f>'REGIÃO 13'!B6</f>
        <v/>
      </c>
      <c r="C549">
        <f>'REGIÃO 13'!C6</f>
        <v/>
      </c>
      <c r="D549">
        <f>'REGIÃO 13'!D6</f>
        <v/>
      </c>
      <c r="E549">
        <f>'REGIÃO 13'!E6</f>
        <v/>
      </c>
      <c r="F549">
        <f>'REGIÃO 13'!F6</f>
        <v/>
      </c>
      <c r="G549">
        <f>'REGIÃO 13'!G6</f>
        <v/>
      </c>
      <c r="H549">
        <f>'REGIÃO 13'!H6</f>
        <v/>
      </c>
      <c r="I549">
        <f>'REGIÃO 13'!I6</f>
        <v/>
      </c>
      <c r="J549">
        <f>'REGIÃO 13'!J6</f>
        <v/>
      </c>
      <c r="K549" s="36">
        <f>'REGIÃO 13'!K6</f>
        <v/>
      </c>
      <c r="L549" t="inlineStr">
        <is>
          <t>REGIÃO 13</t>
        </is>
      </c>
    </row>
    <row r="550">
      <c r="A550">
        <f>'REGIÃO 13'!A7</f>
        <v/>
      </c>
      <c r="B550">
        <f>'REGIÃO 13'!B7</f>
        <v/>
      </c>
      <c r="C550">
        <f>'REGIÃO 13'!C7</f>
        <v/>
      </c>
      <c r="D550">
        <f>'REGIÃO 13'!D7</f>
        <v/>
      </c>
      <c r="E550">
        <f>'REGIÃO 13'!E7</f>
        <v/>
      </c>
      <c r="F550">
        <f>'REGIÃO 13'!F7</f>
        <v/>
      </c>
      <c r="G550">
        <f>'REGIÃO 13'!G7</f>
        <v/>
      </c>
      <c r="H550">
        <f>'REGIÃO 13'!H7</f>
        <v/>
      </c>
      <c r="I550">
        <f>'REGIÃO 13'!I7</f>
        <v/>
      </c>
      <c r="J550">
        <f>'REGIÃO 13'!J7</f>
        <v/>
      </c>
      <c r="K550" s="36">
        <f>'REGIÃO 13'!K7</f>
        <v/>
      </c>
      <c r="L550" t="inlineStr">
        <is>
          <t>REGIÃO 13</t>
        </is>
      </c>
    </row>
    <row r="551">
      <c r="A551">
        <f>'REGIÃO 13'!A8</f>
        <v/>
      </c>
      <c r="B551">
        <f>'REGIÃO 13'!B8</f>
        <v/>
      </c>
      <c r="C551">
        <f>'REGIÃO 13'!C8</f>
        <v/>
      </c>
      <c r="D551">
        <f>'REGIÃO 13'!D8</f>
        <v/>
      </c>
      <c r="E551">
        <f>'REGIÃO 13'!E8</f>
        <v/>
      </c>
      <c r="F551">
        <f>'REGIÃO 13'!F8</f>
        <v/>
      </c>
      <c r="G551">
        <f>'REGIÃO 13'!G8</f>
        <v/>
      </c>
      <c r="H551">
        <f>'REGIÃO 13'!H8</f>
        <v/>
      </c>
      <c r="I551">
        <f>'REGIÃO 13'!I8</f>
        <v/>
      </c>
      <c r="J551">
        <f>'REGIÃO 13'!J8</f>
        <v/>
      </c>
      <c r="K551" s="36">
        <f>'REGIÃO 13'!K8</f>
        <v/>
      </c>
      <c r="L551" t="inlineStr">
        <is>
          <t>REGIÃO 13</t>
        </is>
      </c>
    </row>
    <row r="552">
      <c r="A552">
        <f>'REGIÃO 13'!A9</f>
        <v/>
      </c>
      <c r="B552">
        <f>'REGIÃO 13'!B9</f>
        <v/>
      </c>
      <c r="C552">
        <f>'REGIÃO 13'!C9</f>
        <v/>
      </c>
      <c r="D552">
        <f>'REGIÃO 13'!D9</f>
        <v/>
      </c>
      <c r="E552">
        <f>'REGIÃO 13'!E9</f>
        <v/>
      </c>
      <c r="F552">
        <f>'REGIÃO 13'!F9</f>
        <v/>
      </c>
      <c r="G552">
        <f>'REGIÃO 13'!G9</f>
        <v/>
      </c>
      <c r="H552">
        <f>'REGIÃO 13'!H9</f>
        <v/>
      </c>
      <c r="I552">
        <f>'REGIÃO 13'!I9</f>
        <v/>
      </c>
      <c r="J552">
        <f>'REGIÃO 13'!J9</f>
        <v/>
      </c>
      <c r="K552" s="36">
        <f>'REGIÃO 13'!K9</f>
        <v/>
      </c>
      <c r="L552" t="inlineStr">
        <is>
          <t>REGIÃO 13</t>
        </is>
      </c>
    </row>
    <row r="553">
      <c r="A553">
        <f>'REGIÃO 13'!A10</f>
        <v/>
      </c>
      <c r="B553">
        <f>'REGIÃO 13'!B10</f>
        <v/>
      </c>
      <c r="C553">
        <f>'REGIÃO 13'!C10</f>
        <v/>
      </c>
      <c r="D553">
        <f>'REGIÃO 13'!D10</f>
        <v/>
      </c>
      <c r="E553">
        <f>'REGIÃO 13'!E10</f>
        <v/>
      </c>
      <c r="F553">
        <f>'REGIÃO 13'!F10</f>
        <v/>
      </c>
      <c r="G553">
        <f>'REGIÃO 13'!G10</f>
        <v/>
      </c>
      <c r="H553">
        <f>'REGIÃO 13'!H10</f>
        <v/>
      </c>
      <c r="I553">
        <f>'REGIÃO 13'!I10</f>
        <v/>
      </c>
      <c r="J553">
        <f>'REGIÃO 13'!J10</f>
        <v/>
      </c>
      <c r="K553" s="36">
        <f>'REGIÃO 13'!K10</f>
        <v/>
      </c>
      <c r="L553" t="inlineStr">
        <is>
          <t>REGIÃO 13</t>
        </is>
      </c>
    </row>
    <row r="554">
      <c r="A554">
        <f>'REGIÃO 13'!A11</f>
        <v/>
      </c>
      <c r="B554">
        <f>'REGIÃO 13'!B11</f>
        <v/>
      </c>
      <c r="C554">
        <f>'REGIÃO 13'!C11</f>
        <v/>
      </c>
      <c r="D554">
        <f>'REGIÃO 13'!D11</f>
        <v/>
      </c>
      <c r="E554">
        <f>'REGIÃO 13'!E11</f>
        <v/>
      </c>
      <c r="F554">
        <f>'REGIÃO 13'!F11</f>
        <v/>
      </c>
      <c r="G554">
        <f>'REGIÃO 13'!G11</f>
        <v/>
      </c>
      <c r="H554">
        <f>'REGIÃO 13'!H11</f>
        <v/>
      </c>
      <c r="I554">
        <f>'REGIÃO 13'!I11</f>
        <v/>
      </c>
      <c r="J554">
        <f>'REGIÃO 13'!J11</f>
        <v/>
      </c>
      <c r="K554" s="36">
        <f>'REGIÃO 13'!K11</f>
        <v/>
      </c>
      <c r="L554" t="inlineStr">
        <is>
          <t>REGIÃO 13</t>
        </is>
      </c>
    </row>
    <row r="555">
      <c r="A555">
        <f>'REGIÃO 13'!A12</f>
        <v/>
      </c>
      <c r="B555">
        <f>'REGIÃO 13'!B12</f>
        <v/>
      </c>
      <c r="C555">
        <f>'REGIÃO 13'!C12</f>
        <v/>
      </c>
      <c r="D555">
        <f>'REGIÃO 13'!D12</f>
        <v/>
      </c>
      <c r="E555">
        <f>'REGIÃO 13'!E12</f>
        <v/>
      </c>
      <c r="F555">
        <f>'REGIÃO 13'!F12</f>
        <v/>
      </c>
      <c r="G555">
        <f>'REGIÃO 13'!G12</f>
        <v/>
      </c>
      <c r="H555">
        <f>'REGIÃO 13'!H12</f>
        <v/>
      </c>
      <c r="I555">
        <f>'REGIÃO 13'!I12</f>
        <v/>
      </c>
      <c r="J555">
        <f>'REGIÃO 13'!J12</f>
        <v/>
      </c>
      <c r="K555" s="36">
        <f>'REGIÃO 13'!K12</f>
        <v/>
      </c>
      <c r="L555" t="inlineStr">
        <is>
          <t>REGIÃO 13</t>
        </is>
      </c>
    </row>
    <row r="556">
      <c r="A556">
        <f>'REGIÃO 13'!A13</f>
        <v/>
      </c>
      <c r="B556">
        <f>'REGIÃO 13'!B13</f>
        <v/>
      </c>
      <c r="C556">
        <f>'REGIÃO 13'!C13</f>
        <v/>
      </c>
      <c r="D556">
        <f>'REGIÃO 13'!D13</f>
        <v/>
      </c>
      <c r="E556">
        <f>'REGIÃO 13'!E13</f>
        <v/>
      </c>
      <c r="F556">
        <f>'REGIÃO 13'!F13</f>
        <v/>
      </c>
      <c r="G556">
        <f>'REGIÃO 13'!G13</f>
        <v/>
      </c>
      <c r="H556">
        <f>'REGIÃO 13'!H13</f>
        <v/>
      </c>
      <c r="I556">
        <f>'REGIÃO 13'!I13</f>
        <v/>
      </c>
      <c r="J556">
        <f>'REGIÃO 13'!J13</f>
        <v/>
      </c>
      <c r="K556" s="36">
        <f>'REGIÃO 13'!K13</f>
        <v/>
      </c>
      <c r="L556" t="inlineStr">
        <is>
          <t>REGIÃO 13</t>
        </is>
      </c>
    </row>
    <row r="557">
      <c r="A557">
        <f>'REGIÃO 13'!A14</f>
        <v/>
      </c>
      <c r="B557">
        <f>'REGIÃO 13'!B14</f>
        <v/>
      </c>
      <c r="C557">
        <f>'REGIÃO 13'!C14</f>
        <v/>
      </c>
      <c r="D557">
        <f>'REGIÃO 13'!D14</f>
        <v/>
      </c>
      <c r="E557">
        <f>'REGIÃO 13'!E14</f>
        <v/>
      </c>
      <c r="F557">
        <f>'REGIÃO 13'!F14</f>
        <v/>
      </c>
      <c r="G557">
        <f>'REGIÃO 13'!G14</f>
        <v/>
      </c>
      <c r="H557">
        <f>'REGIÃO 13'!H14</f>
        <v/>
      </c>
      <c r="I557">
        <f>'REGIÃO 13'!I14</f>
        <v/>
      </c>
      <c r="J557">
        <f>'REGIÃO 13'!J14</f>
        <v/>
      </c>
      <c r="K557" s="36">
        <f>'REGIÃO 13'!K14</f>
        <v/>
      </c>
      <c r="L557" t="inlineStr">
        <is>
          <t>REGIÃO 13</t>
        </is>
      </c>
    </row>
    <row r="558">
      <c r="A558">
        <f>'REGIÃO 13'!A15</f>
        <v/>
      </c>
      <c r="B558">
        <f>'REGIÃO 13'!B15</f>
        <v/>
      </c>
      <c r="C558">
        <f>'REGIÃO 13'!C15</f>
        <v/>
      </c>
      <c r="D558">
        <f>'REGIÃO 13'!D15</f>
        <v/>
      </c>
      <c r="E558">
        <f>'REGIÃO 13'!E15</f>
        <v/>
      </c>
      <c r="F558">
        <f>'REGIÃO 13'!F15</f>
        <v/>
      </c>
      <c r="G558">
        <f>'REGIÃO 13'!G15</f>
        <v/>
      </c>
      <c r="H558">
        <f>'REGIÃO 13'!H15</f>
        <v/>
      </c>
      <c r="I558">
        <f>'REGIÃO 13'!I15</f>
        <v/>
      </c>
      <c r="J558">
        <f>'REGIÃO 13'!J15</f>
        <v/>
      </c>
      <c r="K558" s="36">
        <f>'REGIÃO 13'!K15</f>
        <v/>
      </c>
      <c r="L558" t="inlineStr">
        <is>
          <t>REGIÃO 13</t>
        </is>
      </c>
    </row>
    <row r="559">
      <c r="A559">
        <f>'REGIÃO 13'!A16</f>
        <v/>
      </c>
      <c r="B559">
        <f>'REGIÃO 13'!B16</f>
        <v/>
      </c>
      <c r="C559">
        <f>'REGIÃO 13'!C16</f>
        <v/>
      </c>
      <c r="D559">
        <f>'REGIÃO 13'!D16</f>
        <v/>
      </c>
      <c r="E559">
        <f>'REGIÃO 13'!E16</f>
        <v/>
      </c>
      <c r="F559">
        <f>'REGIÃO 13'!F16</f>
        <v/>
      </c>
      <c r="G559">
        <f>'REGIÃO 13'!G16</f>
        <v/>
      </c>
      <c r="H559">
        <f>'REGIÃO 13'!H16</f>
        <v/>
      </c>
      <c r="I559">
        <f>'REGIÃO 13'!I16</f>
        <v/>
      </c>
      <c r="J559">
        <f>'REGIÃO 13'!J16</f>
        <v/>
      </c>
      <c r="K559" s="36">
        <f>'REGIÃO 13'!K16</f>
        <v/>
      </c>
      <c r="L559" t="inlineStr">
        <is>
          <t>REGIÃO 13</t>
        </is>
      </c>
    </row>
    <row r="560">
      <c r="A560">
        <f>'REGIÃO 13'!A17</f>
        <v/>
      </c>
      <c r="B560">
        <f>'REGIÃO 13'!B17</f>
        <v/>
      </c>
      <c r="C560">
        <f>'REGIÃO 13'!C17</f>
        <v/>
      </c>
      <c r="D560">
        <f>'REGIÃO 13'!D17</f>
        <v/>
      </c>
      <c r="E560">
        <f>'REGIÃO 13'!E17</f>
        <v/>
      </c>
      <c r="F560">
        <f>'REGIÃO 13'!F17</f>
        <v/>
      </c>
      <c r="G560">
        <f>'REGIÃO 13'!G17</f>
        <v/>
      </c>
      <c r="H560">
        <f>'REGIÃO 13'!H17</f>
        <v/>
      </c>
      <c r="I560">
        <f>'REGIÃO 13'!I17</f>
        <v/>
      </c>
      <c r="J560">
        <f>'REGIÃO 13'!J17</f>
        <v/>
      </c>
      <c r="K560" s="36">
        <f>'REGIÃO 13'!K17</f>
        <v/>
      </c>
      <c r="L560" t="inlineStr">
        <is>
          <t>REGIÃO 13</t>
        </is>
      </c>
    </row>
    <row r="561">
      <c r="A561">
        <f>'REGIÃO 13'!A18</f>
        <v/>
      </c>
      <c r="B561">
        <f>'REGIÃO 13'!B18</f>
        <v/>
      </c>
      <c r="C561">
        <f>'REGIÃO 13'!C18</f>
        <v/>
      </c>
      <c r="D561">
        <f>'REGIÃO 13'!D18</f>
        <v/>
      </c>
      <c r="E561">
        <f>'REGIÃO 13'!E18</f>
        <v/>
      </c>
      <c r="F561">
        <f>'REGIÃO 13'!F18</f>
        <v/>
      </c>
      <c r="G561">
        <f>'REGIÃO 13'!G18</f>
        <v/>
      </c>
      <c r="H561">
        <f>'REGIÃO 13'!H18</f>
        <v/>
      </c>
      <c r="I561">
        <f>'REGIÃO 13'!I18</f>
        <v/>
      </c>
      <c r="J561">
        <f>'REGIÃO 13'!J18</f>
        <v/>
      </c>
      <c r="K561" s="36">
        <f>'REGIÃO 13'!K18</f>
        <v/>
      </c>
      <c r="L561" t="inlineStr">
        <is>
          <t>REGIÃO 13</t>
        </is>
      </c>
    </row>
    <row r="562">
      <c r="A562">
        <f>'REGIÃO 13'!A19</f>
        <v/>
      </c>
      <c r="B562">
        <f>'REGIÃO 13'!B19</f>
        <v/>
      </c>
      <c r="C562">
        <f>'REGIÃO 13'!C19</f>
        <v/>
      </c>
      <c r="D562">
        <f>'REGIÃO 13'!D19</f>
        <v/>
      </c>
      <c r="E562">
        <f>'REGIÃO 13'!E19</f>
        <v/>
      </c>
      <c r="F562">
        <f>'REGIÃO 13'!F19</f>
        <v/>
      </c>
      <c r="G562">
        <f>'REGIÃO 13'!G19</f>
        <v/>
      </c>
      <c r="H562">
        <f>'REGIÃO 13'!H19</f>
        <v/>
      </c>
      <c r="I562">
        <f>'REGIÃO 13'!I19</f>
        <v/>
      </c>
      <c r="J562">
        <f>'REGIÃO 13'!J19</f>
        <v/>
      </c>
      <c r="K562" s="36">
        <f>'REGIÃO 13'!K19</f>
        <v/>
      </c>
      <c r="L562" t="inlineStr">
        <is>
          <t>REGIÃO 13</t>
        </is>
      </c>
    </row>
    <row r="563">
      <c r="A563">
        <f>'REGIÃO 13'!A20</f>
        <v/>
      </c>
      <c r="B563">
        <f>'REGIÃO 13'!B20</f>
        <v/>
      </c>
      <c r="C563">
        <f>'REGIÃO 13'!C20</f>
        <v/>
      </c>
      <c r="D563">
        <f>'REGIÃO 13'!D20</f>
        <v/>
      </c>
      <c r="E563">
        <f>'REGIÃO 13'!E20</f>
        <v/>
      </c>
      <c r="F563">
        <f>'REGIÃO 13'!F20</f>
        <v/>
      </c>
      <c r="G563">
        <f>'REGIÃO 13'!G20</f>
        <v/>
      </c>
      <c r="H563">
        <f>'REGIÃO 13'!H20</f>
        <v/>
      </c>
      <c r="I563">
        <f>'REGIÃO 13'!I20</f>
        <v/>
      </c>
      <c r="J563">
        <f>'REGIÃO 13'!J20</f>
        <v/>
      </c>
      <c r="K563" s="36">
        <f>'REGIÃO 13'!K20</f>
        <v/>
      </c>
      <c r="L563" t="inlineStr">
        <is>
          <t>REGIÃO 13</t>
        </is>
      </c>
    </row>
    <row r="564">
      <c r="A564">
        <f>'REGIÃO 13'!A21</f>
        <v/>
      </c>
      <c r="B564">
        <f>'REGIÃO 13'!B21</f>
        <v/>
      </c>
      <c r="C564">
        <f>'REGIÃO 13'!C21</f>
        <v/>
      </c>
      <c r="D564">
        <f>'REGIÃO 13'!D21</f>
        <v/>
      </c>
      <c r="E564">
        <f>'REGIÃO 13'!E21</f>
        <v/>
      </c>
      <c r="F564">
        <f>'REGIÃO 13'!F21</f>
        <v/>
      </c>
      <c r="G564">
        <f>'REGIÃO 13'!G21</f>
        <v/>
      </c>
      <c r="H564">
        <f>'REGIÃO 13'!H21</f>
        <v/>
      </c>
      <c r="I564">
        <f>'REGIÃO 13'!I21</f>
        <v/>
      </c>
      <c r="J564">
        <f>'REGIÃO 13'!J21</f>
        <v/>
      </c>
      <c r="K564" s="36">
        <f>'REGIÃO 13'!K21</f>
        <v/>
      </c>
      <c r="L564" t="inlineStr">
        <is>
          <t>REGIÃO 13</t>
        </is>
      </c>
    </row>
    <row r="565">
      <c r="A565">
        <f>'REGIÃO 13'!A22</f>
        <v/>
      </c>
      <c r="B565">
        <f>'REGIÃO 13'!B22</f>
        <v/>
      </c>
      <c r="C565">
        <f>'REGIÃO 13'!C22</f>
        <v/>
      </c>
      <c r="D565">
        <f>'REGIÃO 13'!D22</f>
        <v/>
      </c>
      <c r="E565">
        <f>'REGIÃO 13'!E22</f>
        <v/>
      </c>
      <c r="F565">
        <f>'REGIÃO 13'!F22</f>
        <v/>
      </c>
      <c r="G565">
        <f>'REGIÃO 13'!G22</f>
        <v/>
      </c>
      <c r="H565">
        <f>'REGIÃO 13'!H22</f>
        <v/>
      </c>
      <c r="I565">
        <f>'REGIÃO 13'!I22</f>
        <v/>
      </c>
      <c r="J565">
        <f>'REGIÃO 13'!J22</f>
        <v/>
      </c>
      <c r="K565" s="36">
        <f>'REGIÃO 13'!K22</f>
        <v/>
      </c>
      <c r="L565" t="inlineStr">
        <is>
          <t>REGIÃO 13</t>
        </is>
      </c>
    </row>
    <row r="566">
      <c r="A566">
        <f>'REGIÃO 13'!A23</f>
        <v/>
      </c>
      <c r="B566">
        <f>'REGIÃO 13'!B23</f>
        <v/>
      </c>
      <c r="C566">
        <f>'REGIÃO 13'!C23</f>
        <v/>
      </c>
      <c r="D566">
        <f>'REGIÃO 13'!D23</f>
        <v/>
      </c>
      <c r="E566">
        <f>'REGIÃO 13'!E23</f>
        <v/>
      </c>
      <c r="F566">
        <f>'REGIÃO 13'!F23</f>
        <v/>
      </c>
      <c r="G566">
        <f>'REGIÃO 13'!G23</f>
        <v/>
      </c>
      <c r="H566">
        <f>'REGIÃO 13'!H23</f>
        <v/>
      </c>
      <c r="I566">
        <f>'REGIÃO 13'!I23</f>
        <v/>
      </c>
      <c r="J566">
        <f>'REGIÃO 13'!J23</f>
        <v/>
      </c>
      <c r="K566" s="36">
        <f>'REGIÃO 13'!K23</f>
        <v/>
      </c>
      <c r="L566" t="inlineStr">
        <is>
          <t>REGIÃO 13</t>
        </is>
      </c>
    </row>
    <row r="567">
      <c r="A567">
        <f>'REGIÃO 13'!A24</f>
        <v/>
      </c>
      <c r="B567">
        <f>'REGIÃO 13'!B24</f>
        <v/>
      </c>
      <c r="C567">
        <f>'REGIÃO 13'!C24</f>
        <v/>
      </c>
      <c r="D567">
        <f>'REGIÃO 13'!D24</f>
        <v/>
      </c>
      <c r="E567">
        <f>'REGIÃO 13'!E24</f>
        <v/>
      </c>
      <c r="F567">
        <f>'REGIÃO 13'!F24</f>
        <v/>
      </c>
      <c r="G567">
        <f>'REGIÃO 13'!G24</f>
        <v/>
      </c>
      <c r="H567">
        <f>'REGIÃO 13'!H24</f>
        <v/>
      </c>
      <c r="I567">
        <f>'REGIÃO 13'!I24</f>
        <v/>
      </c>
      <c r="J567">
        <f>'REGIÃO 13'!J24</f>
        <v/>
      </c>
      <c r="K567" s="36">
        <f>'REGIÃO 13'!K24</f>
        <v/>
      </c>
      <c r="L567" t="inlineStr">
        <is>
          <t>REGIÃO 13</t>
        </is>
      </c>
    </row>
    <row r="568">
      <c r="A568">
        <f>'REGIÃO 13'!A25</f>
        <v/>
      </c>
      <c r="B568">
        <f>'REGIÃO 13'!B25</f>
        <v/>
      </c>
      <c r="C568">
        <f>'REGIÃO 13'!C25</f>
        <v/>
      </c>
      <c r="D568">
        <f>'REGIÃO 13'!D25</f>
        <v/>
      </c>
      <c r="E568">
        <f>'REGIÃO 13'!E25</f>
        <v/>
      </c>
      <c r="F568">
        <f>'REGIÃO 13'!F25</f>
        <v/>
      </c>
      <c r="G568">
        <f>'REGIÃO 13'!G25</f>
        <v/>
      </c>
      <c r="H568">
        <f>'REGIÃO 13'!H25</f>
        <v/>
      </c>
      <c r="I568">
        <f>'REGIÃO 13'!I25</f>
        <v/>
      </c>
      <c r="J568">
        <f>'REGIÃO 13'!J25</f>
        <v/>
      </c>
      <c r="K568" s="36">
        <f>'REGIÃO 13'!K25</f>
        <v/>
      </c>
      <c r="L568" t="inlineStr">
        <is>
          <t>REGIÃO 13</t>
        </is>
      </c>
    </row>
    <row r="569">
      <c r="A569">
        <f>'REGIÃO 13'!A26</f>
        <v/>
      </c>
      <c r="B569">
        <f>'REGIÃO 13'!B26</f>
        <v/>
      </c>
      <c r="C569">
        <f>'REGIÃO 13'!C26</f>
        <v/>
      </c>
      <c r="D569">
        <f>'REGIÃO 13'!D26</f>
        <v/>
      </c>
      <c r="E569">
        <f>'REGIÃO 13'!E26</f>
        <v/>
      </c>
      <c r="F569">
        <f>'REGIÃO 13'!F26</f>
        <v/>
      </c>
      <c r="G569">
        <f>'REGIÃO 13'!G26</f>
        <v/>
      </c>
      <c r="H569">
        <f>'REGIÃO 13'!H26</f>
        <v/>
      </c>
      <c r="I569">
        <f>'REGIÃO 13'!I26</f>
        <v/>
      </c>
      <c r="J569">
        <f>'REGIÃO 13'!J26</f>
        <v/>
      </c>
      <c r="K569" s="36">
        <f>'REGIÃO 13'!K26</f>
        <v/>
      </c>
      <c r="L569" t="inlineStr">
        <is>
          <t>REGIÃO 13</t>
        </is>
      </c>
    </row>
    <row r="570">
      <c r="A570">
        <f>'REGIÃO 13'!A27</f>
        <v/>
      </c>
      <c r="B570">
        <f>'REGIÃO 13'!B27</f>
        <v/>
      </c>
      <c r="C570">
        <f>'REGIÃO 13'!C27</f>
        <v/>
      </c>
      <c r="D570">
        <f>'REGIÃO 13'!D27</f>
        <v/>
      </c>
      <c r="E570">
        <f>'REGIÃO 13'!E27</f>
        <v/>
      </c>
      <c r="F570">
        <f>'REGIÃO 13'!F27</f>
        <v/>
      </c>
      <c r="G570">
        <f>'REGIÃO 13'!G27</f>
        <v/>
      </c>
      <c r="H570">
        <f>'REGIÃO 13'!H27</f>
        <v/>
      </c>
      <c r="I570">
        <f>'REGIÃO 13'!I27</f>
        <v/>
      </c>
      <c r="J570">
        <f>'REGIÃO 13'!J27</f>
        <v/>
      </c>
      <c r="K570" s="36">
        <f>'REGIÃO 13'!K27</f>
        <v/>
      </c>
      <c r="L570" t="inlineStr">
        <is>
          <t>REGIÃO 13</t>
        </is>
      </c>
    </row>
    <row r="571">
      <c r="A571">
        <f>'REGIÃO 13'!A28</f>
        <v/>
      </c>
      <c r="B571">
        <f>'REGIÃO 13'!B28</f>
        <v/>
      </c>
      <c r="C571">
        <f>'REGIÃO 13'!C28</f>
        <v/>
      </c>
      <c r="D571">
        <f>'REGIÃO 13'!D28</f>
        <v/>
      </c>
      <c r="E571">
        <f>'REGIÃO 13'!E28</f>
        <v/>
      </c>
      <c r="F571">
        <f>'REGIÃO 13'!F28</f>
        <v/>
      </c>
      <c r="G571">
        <f>'REGIÃO 13'!G28</f>
        <v/>
      </c>
      <c r="H571">
        <f>'REGIÃO 13'!H28</f>
        <v/>
      </c>
      <c r="I571">
        <f>'REGIÃO 13'!I28</f>
        <v/>
      </c>
      <c r="J571">
        <f>'REGIÃO 13'!J28</f>
        <v/>
      </c>
      <c r="K571" s="36">
        <f>'REGIÃO 13'!K28</f>
        <v/>
      </c>
      <c r="L571" t="inlineStr">
        <is>
          <t>REGIÃO 13</t>
        </is>
      </c>
    </row>
    <row r="572">
      <c r="A572">
        <f>'REGIÃO 13'!A29</f>
        <v/>
      </c>
      <c r="B572">
        <f>'REGIÃO 13'!B29</f>
        <v/>
      </c>
      <c r="C572">
        <f>'REGIÃO 13'!C29</f>
        <v/>
      </c>
      <c r="D572">
        <f>'REGIÃO 13'!D29</f>
        <v/>
      </c>
      <c r="E572">
        <f>'REGIÃO 13'!E29</f>
        <v/>
      </c>
      <c r="F572">
        <f>'REGIÃO 13'!F29</f>
        <v/>
      </c>
      <c r="G572">
        <f>'REGIÃO 13'!G29</f>
        <v/>
      </c>
      <c r="H572">
        <f>'REGIÃO 13'!H29</f>
        <v/>
      </c>
      <c r="I572">
        <f>'REGIÃO 13'!I29</f>
        <v/>
      </c>
      <c r="J572">
        <f>'REGIÃO 13'!J29</f>
        <v/>
      </c>
      <c r="K572" s="36">
        <f>'REGIÃO 13'!K29</f>
        <v/>
      </c>
      <c r="L572" t="inlineStr">
        <is>
          <t>REGIÃO 13</t>
        </is>
      </c>
    </row>
    <row r="573">
      <c r="A573">
        <f>'REGIÃO 13'!A30</f>
        <v/>
      </c>
      <c r="B573">
        <f>'REGIÃO 13'!B30</f>
        <v/>
      </c>
      <c r="C573">
        <f>'REGIÃO 13'!C30</f>
        <v/>
      </c>
      <c r="D573">
        <f>'REGIÃO 13'!D30</f>
        <v/>
      </c>
      <c r="E573">
        <f>'REGIÃO 13'!E30</f>
        <v/>
      </c>
      <c r="F573">
        <f>'REGIÃO 13'!F30</f>
        <v/>
      </c>
      <c r="G573">
        <f>'REGIÃO 13'!G30</f>
        <v/>
      </c>
      <c r="H573">
        <f>'REGIÃO 13'!H30</f>
        <v/>
      </c>
      <c r="I573">
        <f>'REGIÃO 13'!I30</f>
        <v/>
      </c>
      <c r="J573">
        <f>'REGIÃO 13'!J30</f>
        <v/>
      </c>
      <c r="K573" s="36">
        <f>'REGIÃO 13'!K30</f>
        <v/>
      </c>
      <c r="L573" t="inlineStr">
        <is>
          <t>REGIÃO 13</t>
        </is>
      </c>
    </row>
    <row r="574">
      <c r="A574">
        <f>'REGIÃO 13'!A31</f>
        <v/>
      </c>
      <c r="B574">
        <f>'REGIÃO 13'!B31</f>
        <v/>
      </c>
      <c r="C574">
        <f>'REGIÃO 13'!C31</f>
        <v/>
      </c>
      <c r="D574">
        <f>'REGIÃO 13'!D31</f>
        <v/>
      </c>
      <c r="E574">
        <f>'REGIÃO 13'!E31</f>
        <v/>
      </c>
      <c r="F574">
        <f>'REGIÃO 13'!F31</f>
        <v/>
      </c>
      <c r="G574">
        <f>'REGIÃO 13'!G31</f>
        <v/>
      </c>
      <c r="H574">
        <f>'REGIÃO 13'!H31</f>
        <v/>
      </c>
      <c r="I574">
        <f>'REGIÃO 13'!I31</f>
        <v/>
      </c>
      <c r="J574">
        <f>'REGIÃO 13'!J31</f>
        <v/>
      </c>
      <c r="K574" s="36">
        <f>'REGIÃO 13'!K31</f>
        <v/>
      </c>
      <c r="L574" t="inlineStr">
        <is>
          <t>REGIÃO 13</t>
        </is>
      </c>
    </row>
    <row r="575">
      <c r="A575">
        <f>'REGIÃO 13'!A32</f>
        <v/>
      </c>
      <c r="B575">
        <f>'REGIÃO 13'!B32</f>
        <v/>
      </c>
      <c r="C575">
        <f>'REGIÃO 13'!C32</f>
        <v/>
      </c>
      <c r="D575">
        <f>'REGIÃO 13'!D32</f>
        <v/>
      </c>
      <c r="E575">
        <f>'REGIÃO 13'!E32</f>
        <v/>
      </c>
      <c r="F575">
        <f>'REGIÃO 13'!F32</f>
        <v/>
      </c>
      <c r="G575">
        <f>'REGIÃO 13'!G32</f>
        <v/>
      </c>
      <c r="H575">
        <f>'REGIÃO 13'!H32</f>
        <v/>
      </c>
      <c r="I575">
        <f>'REGIÃO 13'!I32</f>
        <v/>
      </c>
      <c r="J575">
        <f>'REGIÃO 13'!J32</f>
        <v/>
      </c>
      <c r="K575" s="36">
        <f>'REGIÃO 13'!K32</f>
        <v/>
      </c>
      <c r="L575" t="inlineStr">
        <is>
          <t>REGIÃO 13</t>
        </is>
      </c>
    </row>
    <row r="576">
      <c r="A576">
        <f>'REGIÃO 13'!A33</f>
        <v/>
      </c>
      <c r="B576">
        <f>'REGIÃO 13'!B33</f>
        <v/>
      </c>
      <c r="C576">
        <f>'REGIÃO 13'!C33</f>
        <v/>
      </c>
      <c r="D576">
        <f>'REGIÃO 13'!D33</f>
        <v/>
      </c>
      <c r="E576">
        <f>'REGIÃO 13'!E33</f>
        <v/>
      </c>
      <c r="F576">
        <f>'REGIÃO 13'!F33</f>
        <v/>
      </c>
      <c r="G576">
        <f>'REGIÃO 13'!G33</f>
        <v/>
      </c>
      <c r="H576">
        <f>'REGIÃO 13'!H33</f>
        <v/>
      </c>
      <c r="I576">
        <f>'REGIÃO 13'!I33</f>
        <v/>
      </c>
      <c r="J576">
        <f>'REGIÃO 13'!J33</f>
        <v/>
      </c>
      <c r="K576" s="36">
        <f>'REGIÃO 13'!K33</f>
        <v/>
      </c>
      <c r="L576" t="inlineStr">
        <is>
          <t>REGIÃO 13</t>
        </is>
      </c>
    </row>
    <row r="577">
      <c r="A577">
        <f>'REGIÃO 13'!A34</f>
        <v/>
      </c>
      <c r="B577">
        <f>'REGIÃO 13'!B34</f>
        <v/>
      </c>
      <c r="C577">
        <f>'REGIÃO 13'!C34</f>
        <v/>
      </c>
      <c r="D577">
        <f>'REGIÃO 13'!D34</f>
        <v/>
      </c>
      <c r="E577">
        <f>'REGIÃO 13'!E34</f>
        <v/>
      </c>
      <c r="F577">
        <f>'REGIÃO 13'!F34</f>
        <v/>
      </c>
      <c r="G577">
        <f>'REGIÃO 13'!G34</f>
        <v/>
      </c>
      <c r="H577">
        <f>'REGIÃO 13'!H34</f>
        <v/>
      </c>
      <c r="I577">
        <f>'REGIÃO 13'!I34</f>
        <v/>
      </c>
      <c r="J577">
        <f>'REGIÃO 13'!J34</f>
        <v/>
      </c>
      <c r="K577" s="36">
        <f>'REGIÃO 13'!K34</f>
        <v/>
      </c>
      <c r="L577" t="inlineStr">
        <is>
          <t>REGIÃO 13</t>
        </is>
      </c>
    </row>
    <row r="578">
      <c r="A578">
        <f>'REGIÃO 13'!A35</f>
        <v/>
      </c>
      <c r="B578">
        <f>'REGIÃO 13'!B35</f>
        <v/>
      </c>
      <c r="C578">
        <f>'REGIÃO 13'!C35</f>
        <v/>
      </c>
      <c r="D578">
        <f>'REGIÃO 13'!D35</f>
        <v/>
      </c>
      <c r="E578">
        <f>'REGIÃO 13'!E35</f>
        <v/>
      </c>
      <c r="F578">
        <f>'REGIÃO 13'!F35</f>
        <v/>
      </c>
      <c r="G578">
        <f>'REGIÃO 13'!G35</f>
        <v/>
      </c>
      <c r="H578">
        <f>'REGIÃO 13'!H35</f>
        <v/>
      </c>
      <c r="I578">
        <f>'REGIÃO 13'!I35</f>
        <v/>
      </c>
      <c r="J578">
        <f>'REGIÃO 13'!J35</f>
        <v/>
      </c>
      <c r="K578" s="36">
        <f>'REGIÃO 13'!K35</f>
        <v/>
      </c>
      <c r="L578" t="inlineStr">
        <is>
          <t>REGIÃO 13</t>
        </is>
      </c>
    </row>
    <row r="579">
      <c r="A579">
        <f>'REGIÃO 13'!A36</f>
        <v/>
      </c>
      <c r="B579">
        <f>'REGIÃO 13'!B36</f>
        <v/>
      </c>
      <c r="C579">
        <f>'REGIÃO 13'!C36</f>
        <v/>
      </c>
      <c r="D579">
        <f>'REGIÃO 13'!D36</f>
        <v/>
      </c>
      <c r="E579">
        <f>'REGIÃO 13'!E36</f>
        <v/>
      </c>
      <c r="F579">
        <f>'REGIÃO 13'!F36</f>
        <v/>
      </c>
      <c r="G579">
        <f>'REGIÃO 13'!G36</f>
        <v/>
      </c>
      <c r="H579">
        <f>'REGIÃO 13'!H36</f>
        <v/>
      </c>
      <c r="I579">
        <f>'REGIÃO 13'!I36</f>
        <v/>
      </c>
      <c r="J579">
        <f>'REGIÃO 13'!J36</f>
        <v/>
      </c>
      <c r="K579" s="36">
        <f>'REGIÃO 13'!K36</f>
        <v/>
      </c>
      <c r="L579" t="inlineStr">
        <is>
          <t>REGIÃO 13</t>
        </is>
      </c>
    </row>
    <row r="580">
      <c r="A580">
        <f>'REGIÃO 13'!A37</f>
        <v/>
      </c>
      <c r="B580">
        <f>'REGIÃO 13'!B37</f>
        <v/>
      </c>
      <c r="C580">
        <f>'REGIÃO 13'!C37</f>
        <v/>
      </c>
      <c r="D580">
        <f>'REGIÃO 13'!D37</f>
        <v/>
      </c>
      <c r="E580">
        <f>'REGIÃO 13'!E37</f>
        <v/>
      </c>
      <c r="F580">
        <f>'REGIÃO 13'!F37</f>
        <v/>
      </c>
      <c r="G580">
        <f>'REGIÃO 13'!G37</f>
        <v/>
      </c>
      <c r="H580">
        <f>'REGIÃO 13'!H37</f>
        <v/>
      </c>
      <c r="I580">
        <f>'REGIÃO 13'!I37</f>
        <v/>
      </c>
      <c r="J580">
        <f>'REGIÃO 13'!J37</f>
        <v/>
      </c>
      <c r="K580" s="36">
        <f>'REGIÃO 13'!K37</f>
        <v/>
      </c>
      <c r="L580" t="inlineStr">
        <is>
          <t>REGIÃO 13</t>
        </is>
      </c>
    </row>
    <row r="581">
      <c r="A581">
        <f>'REGIÃO 13'!A38</f>
        <v/>
      </c>
      <c r="B581">
        <f>'REGIÃO 13'!B38</f>
        <v/>
      </c>
      <c r="C581">
        <f>'REGIÃO 13'!C38</f>
        <v/>
      </c>
      <c r="D581">
        <f>'REGIÃO 13'!D38</f>
        <v/>
      </c>
      <c r="E581">
        <f>'REGIÃO 13'!E38</f>
        <v/>
      </c>
      <c r="F581">
        <f>'REGIÃO 13'!F38</f>
        <v/>
      </c>
      <c r="G581">
        <f>'REGIÃO 13'!G38</f>
        <v/>
      </c>
      <c r="H581">
        <f>'REGIÃO 13'!H38</f>
        <v/>
      </c>
      <c r="I581">
        <f>'REGIÃO 13'!I38</f>
        <v/>
      </c>
      <c r="J581">
        <f>'REGIÃO 13'!J38</f>
        <v/>
      </c>
      <c r="K581" s="36">
        <f>'REGIÃO 13'!K38</f>
        <v/>
      </c>
      <c r="L581" t="inlineStr">
        <is>
          <t>REGIÃO 13</t>
        </is>
      </c>
    </row>
    <row r="582">
      <c r="A582">
        <f>'REGIÃO 13'!A39</f>
        <v/>
      </c>
      <c r="B582">
        <f>'REGIÃO 13'!B39</f>
        <v/>
      </c>
      <c r="C582">
        <f>'REGIÃO 13'!C39</f>
        <v/>
      </c>
      <c r="D582">
        <f>'REGIÃO 13'!D39</f>
        <v/>
      </c>
      <c r="E582">
        <f>'REGIÃO 13'!E39</f>
        <v/>
      </c>
      <c r="F582">
        <f>'REGIÃO 13'!F39</f>
        <v/>
      </c>
      <c r="G582">
        <f>'REGIÃO 13'!G39</f>
        <v/>
      </c>
      <c r="H582">
        <f>'REGIÃO 13'!H39</f>
        <v/>
      </c>
      <c r="I582">
        <f>'REGIÃO 13'!I39</f>
        <v/>
      </c>
      <c r="J582">
        <f>'REGIÃO 13'!J39</f>
        <v/>
      </c>
      <c r="K582" s="36">
        <f>'REGIÃO 13'!K39</f>
        <v/>
      </c>
      <c r="L582" t="inlineStr">
        <is>
          <t>REGIÃO 13</t>
        </is>
      </c>
    </row>
    <row r="583">
      <c r="A583">
        <f>'REGIÃO 13'!A40</f>
        <v/>
      </c>
      <c r="B583">
        <f>'REGIÃO 13'!B40</f>
        <v/>
      </c>
      <c r="C583">
        <f>'REGIÃO 13'!C40</f>
        <v/>
      </c>
      <c r="D583">
        <f>'REGIÃO 13'!D40</f>
        <v/>
      </c>
      <c r="E583">
        <f>'REGIÃO 13'!E40</f>
        <v/>
      </c>
      <c r="F583">
        <f>'REGIÃO 13'!F40</f>
        <v/>
      </c>
      <c r="G583">
        <f>'REGIÃO 13'!G40</f>
        <v/>
      </c>
      <c r="H583">
        <f>'REGIÃO 13'!H40</f>
        <v/>
      </c>
      <c r="I583">
        <f>'REGIÃO 13'!I40</f>
        <v/>
      </c>
      <c r="J583">
        <f>'REGIÃO 13'!J40</f>
        <v/>
      </c>
      <c r="K583" s="36">
        <f>'REGIÃO 13'!K40</f>
        <v/>
      </c>
      <c r="L583" t="inlineStr">
        <is>
          <t>REGIÃO 13</t>
        </is>
      </c>
    </row>
    <row r="584">
      <c r="A584">
        <f>'REGIÃO 13'!A41</f>
        <v/>
      </c>
      <c r="B584">
        <f>'REGIÃO 13'!B41</f>
        <v/>
      </c>
      <c r="C584">
        <f>'REGIÃO 13'!C41</f>
        <v/>
      </c>
      <c r="D584">
        <f>'REGIÃO 13'!D41</f>
        <v/>
      </c>
      <c r="E584">
        <f>'REGIÃO 13'!E41</f>
        <v/>
      </c>
      <c r="F584">
        <f>'REGIÃO 13'!F41</f>
        <v/>
      </c>
      <c r="G584">
        <f>'REGIÃO 13'!G41</f>
        <v/>
      </c>
      <c r="H584">
        <f>'REGIÃO 13'!H41</f>
        <v/>
      </c>
      <c r="I584">
        <f>'REGIÃO 13'!I41</f>
        <v/>
      </c>
      <c r="J584">
        <f>'REGIÃO 13'!J41</f>
        <v/>
      </c>
      <c r="K584" s="36">
        <f>'REGIÃO 13'!K41</f>
        <v/>
      </c>
      <c r="L584" t="inlineStr">
        <is>
          <t>REGIÃO 13</t>
        </is>
      </c>
    </row>
    <row r="585">
      <c r="A585">
        <f>'REGIÃO 13'!A42</f>
        <v/>
      </c>
      <c r="B585">
        <f>'REGIÃO 13'!B42</f>
        <v/>
      </c>
      <c r="C585">
        <f>'REGIÃO 13'!C42</f>
        <v/>
      </c>
      <c r="D585">
        <f>'REGIÃO 13'!D42</f>
        <v/>
      </c>
      <c r="E585">
        <f>'REGIÃO 13'!E42</f>
        <v/>
      </c>
      <c r="F585">
        <f>'REGIÃO 13'!F42</f>
        <v/>
      </c>
      <c r="G585">
        <f>'REGIÃO 13'!G42</f>
        <v/>
      </c>
      <c r="H585">
        <f>'REGIÃO 13'!H42</f>
        <v/>
      </c>
      <c r="I585">
        <f>'REGIÃO 13'!I42</f>
        <v/>
      </c>
      <c r="J585">
        <f>'REGIÃO 13'!J42</f>
        <v/>
      </c>
      <c r="K585" s="36">
        <f>'REGIÃO 13'!K42</f>
        <v/>
      </c>
      <c r="L585" t="inlineStr">
        <is>
          <t>REGIÃO 13</t>
        </is>
      </c>
    </row>
    <row r="586">
      <c r="A586">
        <f>'REGIÃO 13'!A43</f>
        <v/>
      </c>
      <c r="B586">
        <f>'REGIÃO 13'!B43</f>
        <v/>
      </c>
      <c r="C586">
        <f>'REGIÃO 13'!C43</f>
        <v/>
      </c>
      <c r="D586">
        <f>'REGIÃO 13'!D43</f>
        <v/>
      </c>
      <c r="E586">
        <f>'REGIÃO 13'!E43</f>
        <v/>
      </c>
      <c r="F586">
        <f>'REGIÃO 13'!F43</f>
        <v/>
      </c>
      <c r="G586">
        <f>'REGIÃO 13'!G43</f>
        <v/>
      </c>
      <c r="H586">
        <f>'REGIÃO 13'!H43</f>
        <v/>
      </c>
      <c r="I586">
        <f>'REGIÃO 13'!I43</f>
        <v/>
      </c>
      <c r="J586">
        <f>'REGIÃO 13'!J43</f>
        <v/>
      </c>
      <c r="K586" s="36">
        <f>'REGIÃO 13'!K43</f>
        <v/>
      </c>
      <c r="L586" t="inlineStr">
        <is>
          <t>REGIÃO 13</t>
        </is>
      </c>
    </row>
    <row r="587">
      <c r="A587">
        <f>'REGIÃO 13'!A44</f>
        <v/>
      </c>
      <c r="B587">
        <f>'REGIÃO 13'!B44</f>
        <v/>
      </c>
      <c r="C587">
        <f>'REGIÃO 13'!C44</f>
        <v/>
      </c>
      <c r="D587">
        <f>'REGIÃO 13'!D44</f>
        <v/>
      </c>
      <c r="E587">
        <f>'REGIÃO 13'!E44</f>
        <v/>
      </c>
      <c r="F587">
        <f>'REGIÃO 13'!F44</f>
        <v/>
      </c>
      <c r="G587">
        <f>'REGIÃO 13'!G44</f>
        <v/>
      </c>
      <c r="H587">
        <f>'REGIÃO 13'!H44</f>
        <v/>
      </c>
      <c r="I587">
        <f>'REGIÃO 13'!I44</f>
        <v/>
      </c>
      <c r="J587">
        <f>'REGIÃO 13'!J44</f>
        <v/>
      </c>
      <c r="K587" s="36">
        <f>'REGIÃO 13'!K44</f>
        <v/>
      </c>
      <c r="L587" t="inlineStr">
        <is>
          <t>REGIÃO 13</t>
        </is>
      </c>
    </row>
    <row r="588">
      <c r="A588">
        <f>'REGIÃO 13'!A45</f>
        <v/>
      </c>
      <c r="B588">
        <f>'REGIÃO 13'!B45</f>
        <v/>
      </c>
      <c r="C588">
        <f>'REGIÃO 13'!C45</f>
        <v/>
      </c>
      <c r="D588">
        <f>'REGIÃO 13'!D45</f>
        <v/>
      </c>
      <c r="E588">
        <f>'REGIÃO 13'!E45</f>
        <v/>
      </c>
      <c r="F588">
        <f>'REGIÃO 13'!F45</f>
        <v/>
      </c>
      <c r="G588">
        <f>'REGIÃO 13'!G45</f>
        <v/>
      </c>
      <c r="H588">
        <f>'REGIÃO 13'!H45</f>
        <v/>
      </c>
      <c r="I588">
        <f>'REGIÃO 13'!I45</f>
        <v/>
      </c>
      <c r="J588">
        <f>'REGIÃO 13'!J45</f>
        <v/>
      </c>
      <c r="K588" s="36">
        <f>'REGIÃO 13'!K45</f>
        <v/>
      </c>
      <c r="L588" t="inlineStr">
        <is>
          <t>REGIÃO 13</t>
        </is>
      </c>
    </row>
    <row r="589">
      <c r="A589">
        <f>'REGIÃO 13'!A46</f>
        <v/>
      </c>
      <c r="B589">
        <f>'REGIÃO 13'!B46</f>
        <v/>
      </c>
      <c r="C589">
        <f>'REGIÃO 13'!C46</f>
        <v/>
      </c>
      <c r="D589">
        <f>'REGIÃO 13'!D46</f>
        <v/>
      </c>
      <c r="E589">
        <f>'REGIÃO 13'!E46</f>
        <v/>
      </c>
      <c r="F589">
        <f>'REGIÃO 13'!F46</f>
        <v/>
      </c>
      <c r="G589">
        <f>'REGIÃO 13'!G46</f>
        <v/>
      </c>
      <c r="H589">
        <f>'REGIÃO 13'!H46</f>
        <v/>
      </c>
      <c r="I589">
        <f>'REGIÃO 13'!I46</f>
        <v/>
      </c>
      <c r="J589">
        <f>'REGIÃO 13'!J46</f>
        <v/>
      </c>
      <c r="K589" s="36">
        <f>'REGIÃO 13'!K46</f>
        <v/>
      </c>
      <c r="L589" t="inlineStr">
        <is>
          <t>REGIÃO 13</t>
        </is>
      </c>
    </row>
    <row r="590">
      <c r="A590">
        <f>'REGIÃO 13'!A47</f>
        <v/>
      </c>
      <c r="B590">
        <f>'REGIÃO 13'!B47</f>
        <v/>
      </c>
      <c r="C590">
        <f>'REGIÃO 13'!C47</f>
        <v/>
      </c>
      <c r="D590">
        <f>'REGIÃO 13'!D47</f>
        <v/>
      </c>
      <c r="E590">
        <f>'REGIÃO 13'!E47</f>
        <v/>
      </c>
      <c r="F590">
        <f>'REGIÃO 13'!F47</f>
        <v/>
      </c>
      <c r="G590">
        <f>'REGIÃO 13'!G47</f>
        <v/>
      </c>
      <c r="H590">
        <f>'REGIÃO 13'!H47</f>
        <v/>
      </c>
      <c r="I590">
        <f>'REGIÃO 13'!I47</f>
        <v/>
      </c>
      <c r="J590">
        <f>'REGIÃO 13'!J47</f>
        <v/>
      </c>
      <c r="K590" s="36">
        <f>'REGIÃO 13'!K47</f>
        <v/>
      </c>
      <c r="L590" t="inlineStr">
        <is>
          <t>REGIÃO 13</t>
        </is>
      </c>
    </row>
    <row r="591">
      <c r="A591">
        <f>'REGIÃO 13'!A48</f>
        <v/>
      </c>
      <c r="B591">
        <f>'REGIÃO 13'!B48</f>
        <v/>
      </c>
      <c r="C591">
        <f>'REGIÃO 13'!C48</f>
        <v/>
      </c>
      <c r="D591">
        <f>'REGIÃO 13'!D48</f>
        <v/>
      </c>
      <c r="E591">
        <f>'REGIÃO 13'!E48</f>
        <v/>
      </c>
      <c r="F591">
        <f>'REGIÃO 13'!F48</f>
        <v/>
      </c>
      <c r="G591">
        <f>'REGIÃO 13'!G48</f>
        <v/>
      </c>
      <c r="H591">
        <f>'REGIÃO 13'!H48</f>
        <v/>
      </c>
      <c r="I591">
        <f>'REGIÃO 13'!I48</f>
        <v/>
      </c>
      <c r="J591">
        <f>'REGIÃO 13'!J48</f>
        <v/>
      </c>
      <c r="K591" s="36">
        <f>'REGIÃO 13'!K48</f>
        <v/>
      </c>
      <c r="L591" t="inlineStr">
        <is>
          <t>REGIÃO 13</t>
        </is>
      </c>
    </row>
    <row r="592">
      <c r="A592">
        <f>'REGIÃO 13'!A49</f>
        <v/>
      </c>
      <c r="B592">
        <f>'REGIÃO 13'!B49</f>
        <v/>
      </c>
      <c r="C592">
        <f>'REGIÃO 13'!C49</f>
        <v/>
      </c>
      <c r="D592">
        <f>'REGIÃO 13'!D49</f>
        <v/>
      </c>
      <c r="E592">
        <f>'REGIÃO 13'!E49</f>
        <v/>
      </c>
      <c r="F592">
        <f>'REGIÃO 13'!F49</f>
        <v/>
      </c>
      <c r="G592">
        <f>'REGIÃO 13'!G49</f>
        <v/>
      </c>
      <c r="H592">
        <f>'REGIÃO 13'!H49</f>
        <v/>
      </c>
      <c r="I592">
        <f>'REGIÃO 13'!I49</f>
        <v/>
      </c>
      <c r="J592">
        <f>'REGIÃO 13'!J49</f>
        <v/>
      </c>
      <c r="K592" s="36">
        <f>'REGIÃO 13'!K49</f>
        <v/>
      </c>
      <c r="L592" t="inlineStr">
        <is>
          <t>REGIÃO 13</t>
        </is>
      </c>
    </row>
    <row r="593">
      <c r="A593">
        <f>'REGIÃO 13'!A50</f>
        <v/>
      </c>
      <c r="B593">
        <f>'REGIÃO 13'!B50</f>
        <v/>
      </c>
      <c r="C593">
        <f>'REGIÃO 13'!C50</f>
        <v/>
      </c>
      <c r="D593">
        <f>'REGIÃO 13'!D50</f>
        <v/>
      </c>
      <c r="E593">
        <f>'REGIÃO 13'!E50</f>
        <v/>
      </c>
      <c r="F593">
        <f>'REGIÃO 13'!F50</f>
        <v/>
      </c>
      <c r="G593">
        <f>'REGIÃO 13'!G50</f>
        <v/>
      </c>
      <c r="H593">
        <f>'REGIÃO 13'!H50</f>
        <v/>
      </c>
      <c r="I593">
        <f>'REGIÃO 13'!I50</f>
        <v/>
      </c>
      <c r="J593">
        <f>'REGIÃO 13'!J50</f>
        <v/>
      </c>
      <c r="K593" s="36">
        <f>'REGIÃO 13'!K50</f>
        <v/>
      </c>
      <c r="L593" t="inlineStr">
        <is>
          <t>REGIÃO 13</t>
        </is>
      </c>
    </row>
    <row r="594">
      <c r="A594">
        <f>'REGIÃO 13'!A51</f>
        <v/>
      </c>
      <c r="B594">
        <f>'REGIÃO 13'!B51</f>
        <v/>
      </c>
      <c r="C594">
        <f>'REGIÃO 13'!C51</f>
        <v/>
      </c>
      <c r="D594">
        <f>'REGIÃO 13'!D51</f>
        <v/>
      </c>
      <c r="E594">
        <f>'REGIÃO 13'!E51</f>
        <v/>
      </c>
      <c r="F594">
        <f>'REGIÃO 13'!F51</f>
        <v/>
      </c>
      <c r="G594">
        <f>'REGIÃO 13'!G51</f>
        <v/>
      </c>
      <c r="H594">
        <f>'REGIÃO 13'!H51</f>
        <v/>
      </c>
      <c r="I594">
        <f>'REGIÃO 13'!I51</f>
        <v/>
      </c>
      <c r="J594">
        <f>'REGIÃO 13'!J51</f>
        <v/>
      </c>
      <c r="K594" s="36">
        <f>'REGIÃO 13'!K51</f>
        <v/>
      </c>
      <c r="L594" t="inlineStr">
        <is>
          <t>REGIÃO 13</t>
        </is>
      </c>
    </row>
    <row r="595">
      <c r="A595">
        <f>'REGIÃO 13'!A52</f>
        <v/>
      </c>
      <c r="B595">
        <f>'REGIÃO 13'!B52</f>
        <v/>
      </c>
      <c r="C595">
        <f>'REGIÃO 13'!C52</f>
        <v/>
      </c>
      <c r="D595">
        <f>'REGIÃO 13'!D52</f>
        <v/>
      </c>
      <c r="E595">
        <f>'REGIÃO 13'!E52</f>
        <v/>
      </c>
      <c r="F595">
        <f>'REGIÃO 13'!F52</f>
        <v/>
      </c>
      <c r="G595">
        <f>'REGIÃO 13'!G52</f>
        <v/>
      </c>
      <c r="H595">
        <f>'REGIÃO 13'!H52</f>
        <v/>
      </c>
      <c r="I595">
        <f>'REGIÃO 13'!I52</f>
        <v/>
      </c>
      <c r="J595">
        <f>'REGIÃO 13'!J52</f>
        <v/>
      </c>
      <c r="K595" s="36">
        <f>'REGIÃO 13'!K52</f>
        <v/>
      </c>
      <c r="L595" t="inlineStr">
        <is>
          <t>REGIÃO 13</t>
        </is>
      </c>
    </row>
    <row r="596">
      <c r="A596">
        <f>'REGIÃO 13'!A53</f>
        <v/>
      </c>
      <c r="B596">
        <f>'REGIÃO 13'!B53</f>
        <v/>
      </c>
      <c r="C596">
        <f>'REGIÃO 13'!C53</f>
        <v/>
      </c>
      <c r="D596">
        <f>'REGIÃO 13'!D53</f>
        <v/>
      </c>
      <c r="E596">
        <f>'REGIÃO 13'!E53</f>
        <v/>
      </c>
      <c r="F596">
        <f>'REGIÃO 13'!F53</f>
        <v/>
      </c>
      <c r="G596">
        <f>'REGIÃO 13'!G53</f>
        <v/>
      </c>
      <c r="H596">
        <f>'REGIÃO 13'!H53</f>
        <v/>
      </c>
      <c r="I596">
        <f>'REGIÃO 13'!I53</f>
        <v/>
      </c>
      <c r="J596">
        <f>'REGIÃO 13'!J53</f>
        <v/>
      </c>
      <c r="K596" s="36">
        <f>'REGIÃO 13'!K53</f>
        <v/>
      </c>
      <c r="L596" t="inlineStr">
        <is>
          <t>REGIÃO 13</t>
        </is>
      </c>
    </row>
    <row r="597">
      <c r="A597">
        <f>'REGIÃO 13'!A54</f>
        <v/>
      </c>
      <c r="B597">
        <f>'REGIÃO 13'!B54</f>
        <v/>
      </c>
      <c r="C597">
        <f>'REGIÃO 13'!C54</f>
        <v/>
      </c>
      <c r="D597">
        <f>'REGIÃO 13'!D54</f>
        <v/>
      </c>
      <c r="E597">
        <f>'REGIÃO 13'!E54</f>
        <v/>
      </c>
      <c r="F597">
        <f>'REGIÃO 13'!F54</f>
        <v/>
      </c>
      <c r="G597">
        <f>'REGIÃO 13'!G54</f>
        <v/>
      </c>
      <c r="H597">
        <f>'REGIÃO 13'!H54</f>
        <v/>
      </c>
      <c r="I597">
        <f>'REGIÃO 13'!I54</f>
        <v/>
      </c>
      <c r="J597">
        <f>'REGIÃO 13'!J54</f>
        <v/>
      </c>
      <c r="K597" s="36">
        <f>'REGIÃO 13'!K54</f>
        <v/>
      </c>
      <c r="L597" t="inlineStr">
        <is>
          <t>REGIÃO 13</t>
        </is>
      </c>
    </row>
    <row r="598">
      <c r="A598">
        <f>'REGIÃO 13'!A55</f>
        <v/>
      </c>
      <c r="B598">
        <f>'REGIÃO 13'!B55</f>
        <v/>
      </c>
      <c r="C598">
        <f>'REGIÃO 13'!C55</f>
        <v/>
      </c>
      <c r="D598">
        <f>'REGIÃO 13'!D55</f>
        <v/>
      </c>
      <c r="E598">
        <f>'REGIÃO 13'!E55</f>
        <v/>
      </c>
      <c r="F598">
        <f>'REGIÃO 13'!F55</f>
        <v/>
      </c>
      <c r="G598">
        <f>'REGIÃO 13'!G55</f>
        <v/>
      </c>
      <c r="H598">
        <f>'REGIÃO 13'!H55</f>
        <v/>
      </c>
      <c r="I598">
        <f>'REGIÃO 13'!I55</f>
        <v/>
      </c>
      <c r="J598">
        <f>'REGIÃO 13'!J55</f>
        <v/>
      </c>
      <c r="K598" s="36">
        <f>'REGIÃO 13'!K55</f>
        <v/>
      </c>
      <c r="L598" t="inlineStr">
        <is>
          <t>REGIÃO 13</t>
        </is>
      </c>
    </row>
    <row r="599">
      <c r="A599">
        <f>'REGIÃO 13'!A56</f>
        <v/>
      </c>
      <c r="B599">
        <f>'REGIÃO 13'!B56</f>
        <v/>
      </c>
      <c r="C599">
        <f>'REGIÃO 13'!C56</f>
        <v/>
      </c>
      <c r="D599">
        <f>'REGIÃO 13'!D56</f>
        <v/>
      </c>
      <c r="E599">
        <f>'REGIÃO 13'!E56</f>
        <v/>
      </c>
      <c r="F599">
        <f>'REGIÃO 13'!F56</f>
        <v/>
      </c>
      <c r="G599">
        <f>'REGIÃO 13'!G56</f>
        <v/>
      </c>
      <c r="H599">
        <f>'REGIÃO 13'!H56</f>
        <v/>
      </c>
      <c r="I599">
        <f>'REGIÃO 13'!I56</f>
        <v/>
      </c>
      <c r="J599">
        <f>'REGIÃO 13'!J56</f>
        <v/>
      </c>
      <c r="K599" s="36">
        <f>'REGIÃO 13'!K56</f>
        <v/>
      </c>
      <c r="L599" t="inlineStr">
        <is>
          <t>REGIÃO 13</t>
        </is>
      </c>
    </row>
    <row r="600">
      <c r="A600">
        <f>'REGIÃO 13'!A57</f>
        <v/>
      </c>
      <c r="B600">
        <f>'REGIÃO 13'!B57</f>
        <v/>
      </c>
      <c r="C600">
        <f>'REGIÃO 13'!C57</f>
        <v/>
      </c>
      <c r="D600">
        <f>'REGIÃO 13'!D57</f>
        <v/>
      </c>
      <c r="E600">
        <f>'REGIÃO 13'!E57</f>
        <v/>
      </c>
      <c r="F600">
        <f>'REGIÃO 13'!F57</f>
        <v/>
      </c>
      <c r="G600">
        <f>'REGIÃO 13'!G57</f>
        <v/>
      </c>
      <c r="H600">
        <f>'REGIÃO 13'!H57</f>
        <v/>
      </c>
      <c r="I600">
        <f>'REGIÃO 13'!I57</f>
        <v/>
      </c>
      <c r="J600">
        <f>'REGIÃO 13'!J57</f>
        <v/>
      </c>
      <c r="K600" s="36">
        <f>'REGIÃO 13'!K57</f>
        <v/>
      </c>
      <c r="L600" t="inlineStr">
        <is>
          <t>REGIÃO 13</t>
        </is>
      </c>
    </row>
    <row r="601">
      <c r="A601">
        <f>'REGIÃO 13'!A58</f>
        <v/>
      </c>
      <c r="B601">
        <f>'REGIÃO 13'!B58</f>
        <v/>
      </c>
      <c r="C601">
        <f>'REGIÃO 13'!C58</f>
        <v/>
      </c>
      <c r="D601">
        <f>'REGIÃO 13'!D58</f>
        <v/>
      </c>
      <c r="E601">
        <f>'REGIÃO 13'!E58</f>
        <v/>
      </c>
      <c r="F601">
        <f>'REGIÃO 13'!F58</f>
        <v/>
      </c>
      <c r="G601">
        <f>'REGIÃO 13'!G58</f>
        <v/>
      </c>
      <c r="H601">
        <f>'REGIÃO 13'!H58</f>
        <v/>
      </c>
      <c r="I601">
        <f>'REGIÃO 13'!I58</f>
        <v/>
      </c>
      <c r="J601">
        <f>'REGIÃO 13'!J58</f>
        <v/>
      </c>
      <c r="K601" s="36">
        <f>'REGIÃO 13'!K58</f>
        <v/>
      </c>
      <c r="L601" t="inlineStr">
        <is>
          <t>REGIÃO 13</t>
        </is>
      </c>
    </row>
    <row r="602">
      <c r="A602">
        <f>'REGIÃO 13'!A59</f>
        <v/>
      </c>
      <c r="B602">
        <f>'REGIÃO 13'!B59</f>
        <v/>
      </c>
      <c r="C602">
        <f>'REGIÃO 13'!C59</f>
        <v/>
      </c>
      <c r="D602">
        <f>'REGIÃO 13'!D59</f>
        <v/>
      </c>
      <c r="E602">
        <f>'REGIÃO 13'!E59</f>
        <v/>
      </c>
      <c r="F602">
        <f>'REGIÃO 13'!F59</f>
        <v/>
      </c>
      <c r="G602">
        <f>'REGIÃO 13'!G59</f>
        <v/>
      </c>
      <c r="H602">
        <f>'REGIÃO 13'!H59</f>
        <v/>
      </c>
      <c r="I602">
        <f>'REGIÃO 13'!I59</f>
        <v/>
      </c>
      <c r="J602">
        <f>'REGIÃO 13'!J59</f>
        <v/>
      </c>
      <c r="K602" s="36">
        <f>'REGIÃO 13'!K59</f>
        <v/>
      </c>
      <c r="L602" t="inlineStr">
        <is>
          <t>REGIÃO 13</t>
        </is>
      </c>
    </row>
    <row r="603">
      <c r="A603">
        <f>'REGIÃO 13'!A60</f>
        <v/>
      </c>
      <c r="B603">
        <f>'REGIÃO 13'!B60</f>
        <v/>
      </c>
      <c r="C603">
        <f>'REGIÃO 13'!C60</f>
        <v/>
      </c>
      <c r="D603">
        <f>'REGIÃO 13'!D60</f>
        <v/>
      </c>
      <c r="E603">
        <f>'REGIÃO 13'!E60</f>
        <v/>
      </c>
      <c r="F603">
        <f>'REGIÃO 13'!F60</f>
        <v/>
      </c>
      <c r="G603">
        <f>'REGIÃO 13'!G60</f>
        <v/>
      </c>
      <c r="H603">
        <f>'REGIÃO 13'!H60</f>
        <v/>
      </c>
      <c r="I603">
        <f>'REGIÃO 13'!I60</f>
        <v/>
      </c>
      <c r="J603">
        <f>'REGIÃO 13'!J60</f>
        <v/>
      </c>
      <c r="K603" s="36">
        <f>'REGIÃO 13'!K60</f>
        <v/>
      </c>
      <c r="L603" t="inlineStr">
        <is>
          <t>REGIÃO 13</t>
        </is>
      </c>
    </row>
    <row r="604">
      <c r="A604">
        <f>'REGIÃO 13'!A61</f>
        <v/>
      </c>
      <c r="B604">
        <f>'REGIÃO 13'!B61</f>
        <v/>
      </c>
      <c r="C604">
        <f>'REGIÃO 13'!C61</f>
        <v/>
      </c>
      <c r="D604">
        <f>'REGIÃO 13'!D61</f>
        <v/>
      </c>
      <c r="E604">
        <f>'REGIÃO 13'!E61</f>
        <v/>
      </c>
      <c r="F604">
        <f>'REGIÃO 13'!F61</f>
        <v/>
      </c>
      <c r="G604">
        <f>'REGIÃO 13'!G61</f>
        <v/>
      </c>
      <c r="H604">
        <f>'REGIÃO 13'!H61</f>
        <v/>
      </c>
      <c r="I604">
        <f>'REGIÃO 13'!I61</f>
        <v/>
      </c>
      <c r="J604">
        <f>'REGIÃO 13'!J61</f>
        <v/>
      </c>
      <c r="K604" s="36">
        <f>'REGIÃO 13'!K61</f>
        <v/>
      </c>
      <c r="L604" t="inlineStr">
        <is>
          <t>REGIÃO 13</t>
        </is>
      </c>
    </row>
    <row r="605">
      <c r="A605">
        <f>'REGIÃO 13'!A62</f>
        <v/>
      </c>
      <c r="B605">
        <f>'REGIÃO 13'!B62</f>
        <v/>
      </c>
      <c r="C605">
        <f>'REGIÃO 13'!C62</f>
        <v/>
      </c>
      <c r="D605">
        <f>'REGIÃO 13'!D62</f>
        <v/>
      </c>
      <c r="E605">
        <f>'REGIÃO 13'!E62</f>
        <v/>
      </c>
      <c r="F605">
        <f>'REGIÃO 13'!F62</f>
        <v/>
      </c>
      <c r="G605">
        <f>'REGIÃO 13'!G62</f>
        <v/>
      </c>
      <c r="H605">
        <f>'REGIÃO 13'!H62</f>
        <v/>
      </c>
      <c r="I605">
        <f>'REGIÃO 13'!I62</f>
        <v/>
      </c>
      <c r="J605">
        <f>'REGIÃO 13'!J62</f>
        <v/>
      </c>
      <c r="K605" s="36">
        <f>'REGIÃO 13'!K62</f>
        <v/>
      </c>
      <c r="L605" t="inlineStr">
        <is>
          <t>REGIÃO 13</t>
        </is>
      </c>
    </row>
    <row r="606">
      <c r="A606">
        <f>'REGIÃO 13'!A63</f>
        <v/>
      </c>
      <c r="B606">
        <f>'REGIÃO 13'!B63</f>
        <v/>
      </c>
      <c r="C606">
        <f>'REGIÃO 13'!C63</f>
        <v/>
      </c>
      <c r="D606">
        <f>'REGIÃO 13'!D63</f>
        <v/>
      </c>
      <c r="E606">
        <f>'REGIÃO 13'!E63</f>
        <v/>
      </c>
      <c r="F606">
        <f>'REGIÃO 13'!F63</f>
        <v/>
      </c>
      <c r="G606">
        <f>'REGIÃO 13'!G63</f>
        <v/>
      </c>
      <c r="H606">
        <f>'REGIÃO 13'!H63</f>
        <v/>
      </c>
      <c r="I606">
        <f>'REGIÃO 13'!I63</f>
        <v/>
      </c>
      <c r="J606">
        <f>'REGIÃO 13'!J63</f>
        <v/>
      </c>
      <c r="K606" s="36">
        <f>'REGIÃO 13'!K63</f>
        <v/>
      </c>
      <c r="L606" t="inlineStr">
        <is>
          <t>REGIÃO 13</t>
        </is>
      </c>
    </row>
    <row r="607">
      <c r="A607">
        <f>'REGIÃO 13'!A64</f>
        <v/>
      </c>
      <c r="B607">
        <f>'REGIÃO 13'!B64</f>
        <v/>
      </c>
      <c r="C607">
        <f>'REGIÃO 13'!C64</f>
        <v/>
      </c>
      <c r="D607">
        <f>'REGIÃO 13'!D64</f>
        <v/>
      </c>
      <c r="E607">
        <f>'REGIÃO 13'!E64</f>
        <v/>
      </c>
      <c r="F607">
        <f>'REGIÃO 13'!F64</f>
        <v/>
      </c>
      <c r="G607">
        <f>'REGIÃO 13'!G64</f>
        <v/>
      </c>
      <c r="H607">
        <f>'REGIÃO 13'!H64</f>
        <v/>
      </c>
      <c r="I607">
        <f>'REGIÃO 13'!I64</f>
        <v/>
      </c>
      <c r="J607">
        <f>'REGIÃO 13'!J64</f>
        <v/>
      </c>
      <c r="K607" s="36">
        <f>'REGIÃO 13'!K64</f>
        <v/>
      </c>
      <c r="L607" t="inlineStr">
        <is>
          <t>REGIÃO 13</t>
        </is>
      </c>
    </row>
    <row r="608">
      <c r="A608">
        <f>'REGIÃO 13'!A65</f>
        <v/>
      </c>
      <c r="B608">
        <f>'REGIÃO 13'!B65</f>
        <v/>
      </c>
      <c r="C608">
        <f>'REGIÃO 13'!C65</f>
        <v/>
      </c>
      <c r="D608">
        <f>'REGIÃO 13'!D65</f>
        <v/>
      </c>
      <c r="E608">
        <f>'REGIÃO 13'!E65</f>
        <v/>
      </c>
      <c r="F608">
        <f>'REGIÃO 13'!F65</f>
        <v/>
      </c>
      <c r="G608">
        <f>'REGIÃO 13'!G65</f>
        <v/>
      </c>
      <c r="H608">
        <f>'REGIÃO 13'!H65</f>
        <v/>
      </c>
      <c r="I608">
        <f>'REGIÃO 13'!I65</f>
        <v/>
      </c>
      <c r="J608">
        <f>'REGIÃO 13'!J65</f>
        <v/>
      </c>
      <c r="K608" s="36">
        <f>'REGIÃO 13'!K65</f>
        <v/>
      </c>
      <c r="L608" t="inlineStr">
        <is>
          <t>REGIÃO 13</t>
        </is>
      </c>
    </row>
    <row r="609">
      <c r="A609">
        <f>'REGIÃO 13'!A66</f>
        <v/>
      </c>
      <c r="B609">
        <f>'REGIÃO 13'!B66</f>
        <v/>
      </c>
      <c r="C609">
        <f>'REGIÃO 13'!C66</f>
        <v/>
      </c>
      <c r="D609">
        <f>'REGIÃO 13'!D66</f>
        <v/>
      </c>
      <c r="E609">
        <f>'REGIÃO 13'!E66</f>
        <v/>
      </c>
      <c r="F609">
        <f>'REGIÃO 13'!F66</f>
        <v/>
      </c>
      <c r="G609">
        <f>'REGIÃO 13'!G66</f>
        <v/>
      </c>
      <c r="H609">
        <f>'REGIÃO 13'!H66</f>
        <v/>
      </c>
      <c r="I609">
        <f>'REGIÃO 13'!I66</f>
        <v/>
      </c>
      <c r="J609">
        <f>'REGIÃO 13'!J66</f>
        <v/>
      </c>
      <c r="K609" s="36">
        <f>'REGIÃO 13'!K66</f>
        <v/>
      </c>
      <c r="L609" t="inlineStr">
        <is>
          <t>REGIÃO 13</t>
        </is>
      </c>
    </row>
    <row r="610">
      <c r="A610">
        <f>'REGIÃO 13'!A67</f>
        <v/>
      </c>
      <c r="B610">
        <f>'REGIÃO 13'!B67</f>
        <v/>
      </c>
      <c r="C610">
        <f>'REGIÃO 13'!C67</f>
        <v/>
      </c>
      <c r="D610">
        <f>'REGIÃO 13'!D67</f>
        <v/>
      </c>
      <c r="E610">
        <f>'REGIÃO 13'!E67</f>
        <v/>
      </c>
      <c r="F610">
        <f>'REGIÃO 13'!F67</f>
        <v/>
      </c>
      <c r="G610">
        <f>'REGIÃO 13'!G67</f>
        <v/>
      </c>
      <c r="H610">
        <f>'REGIÃO 13'!H67</f>
        <v/>
      </c>
      <c r="I610">
        <f>'REGIÃO 13'!I67</f>
        <v/>
      </c>
      <c r="J610">
        <f>'REGIÃO 13'!J67</f>
        <v/>
      </c>
      <c r="K610" s="36">
        <f>'REGIÃO 13'!K67</f>
        <v/>
      </c>
      <c r="L610" t="inlineStr">
        <is>
          <t>REGIÃO 13</t>
        </is>
      </c>
    </row>
    <row r="611">
      <c r="A611">
        <f>'REGIÃO 13'!A68</f>
        <v/>
      </c>
      <c r="B611">
        <f>'REGIÃO 13'!B68</f>
        <v/>
      </c>
      <c r="C611">
        <f>'REGIÃO 13'!C68</f>
        <v/>
      </c>
      <c r="D611">
        <f>'REGIÃO 13'!D68</f>
        <v/>
      </c>
      <c r="E611">
        <f>'REGIÃO 13'!E68</f>
        <v/>
      </c>
      <c r="F611">
        <f>'REGIÃO 13'!F68</f>
        <v/>
      </c>
      <c r="G611">
        <f>'REGIÃO 13'!G68</f>
        <v/>
      </c>
      <c r="H611">
        <f>'REGIÃO 13'!H68</f>
        <v/>
      </c>
      <c r="I611">
        <f>'REGIÃO 13'!I68</f>
        <v/>
      </c>
      <c r="J611">
        <f>'REGIÃO 13'!J68</f>
        <v/>
      </c>
      <c r="K611" s="36">
        <f>'REGIÃO 13'!K68</f>
        <v/>
      </c>
      <c r="L611" t="inlineStr">
        <is>
          <t>REGIÃO 13</t>
        </is>
      </c>
    </row>
    <row r="612">
      <c r="A612">
        <f>'REGIÃO 13'!A69</f>
        <v/>
      </c>
      <c r="B612">
        <f>'REGIÃO 13'!B69</f>
        <v/>
      </c>
      <c r="C612">
        <f>'REGIÃO 13'!C69</f>
        <v/>
      </c>
      <c r="D612">
        <f>'REGIÃO 13'!D69</f>
        <v/>
      </c>
      <c r="E612">
        <f>'REGIÃO 13'!E69</f>
        <v/>
      </c>
      <c r="F612">
        <f>'REGIÃO 13'!F69</f>
        <v/>
      </c>
      <c r="G612">
        <f>'REGIÃO 13'!G69</f>
        <v/>
      </c>
      <c r="H612">
        <f>'REGIÃO 13'!H69</f>
        <v/>
      </c>
      <c r="I612">
        <f>'REGIÃO 13'!I69</f>
        <v/>
      </c>
      <c r="J612">
        <f>'REGIÃO 13'!J69</f>
        <v/>
      </c>
      <c r="K612" s="36">
        <f>'REGIÃO 13'!K69</f>
        <v/>
      </c>
      <c r="L612" t="inlineStr">
        <is>
          <t>REGIÃO 13</t>
        </is>
      </c>
    </row>
    <row r="613">
      <c r="A613">
        <f>'REGIÃO 13'!A70</f>
        <v/>
      </c>
      <c r="B613">
        <f>'REGIÃO 13'!B70</f>
        <v/>
      </c>
      <c r="C613">
        <f>'REGIÃO 13'!C70</f>
        <v/>
      </c>
      <c r="D613">
        <f>'REGIÃO 13'!D70</f>
        <v/>
      </c>
      <c r="E613">
        <f>'REGIÃO 13'!E70</f>
        <v/>
      </c>
      <c r="F613">
        <f>'REGIÃO 13'!F70</f>
        <v/>
      </c>
      <c r="G613">
        <f>'REGIÃO 13'!G70</f>
        <v/>
      </c>
      <c r="H613">
        <f>'REGIÃO 13'!H70</f>
        <v/>
      </c>
      <c r="I613">
        <f>'REGIÃO 13'!I70</f>
        <v/>
      </c>
      <c r="J613">
        <f>'REGIÃO 13'!J70</f>
        <v/>
      </c>
      <c r="K613" s="36">
        <f>'REGIÃO 13'!K70</f>
        <v/>
      </c>
      <c r="L613" t="inlineStr">
        <is>
          <t>REGIÃO 13</t>
        </is>
      </c>
    </row>
    <row r="614">
      <c r="A614">
        <f>'REGIÃO 13'!A71</f>
        <v/>
      </c>
      <c r="B614">
        <f>'REGIÃO 13'!B71</f>
        <v/>
      </c>
      <c r="C614">
        <f>'REGIÃO 13'!C71</f>
        <v/>
      </c>
      <c r="D614">
        <f>'REGIÃO 13'!D71</f>
        <v/>
      </c>
      <c r="E614">
        <f>'REGIÃO 13'!E71</f>
        <v/>
      </c>
      <c r="F614">
        <f>'REGIÃO 13'!F71</f>
        <v/>
      </c>
      <c r="G614">
        <f>'REGIÃO 13'!G71</f>
        <v/>
      </c>
      <c r="H614">
        <f>'REGIÃO 13'!H71</f>
        <v/>
      </c>
      <c r="I614">
        <f>'REGIÃO 13'!I71</f>
        <v/>
      </c>
      <c r="J614">
        <f>'REGIÃO 13'!J71</f>
        <v/>
      </c>
      <c r="K614" s="36">
        <f>'REGIÃO 13'!K71</f>
        <v/>
      </c>
      <c r="L614" t="inlineStr">
        <is>
          <t>REGIÃO 13</t>
        </is>
      </c>
    </row>
    <row r="615">
      <c r="A615">
        <f>'REGIÃO 13'!A72</f>
        <v/>
      </c>
      <c r="B615">
        <f>'REGIÃO 13'!B72</f>
        <v/>
      </c>
      <c r="C615">
        <f>'REGIÃO 13'!C72</f>
        <v/>
      </c>
      <c r="D615">
        <f>'REGIÃO 13'!D72</f>
        <v/>
      </c>
      <c r="E615">
        <f>'REGIÃO 13'!E72</f>
        <v/>
      </c>
      <c r="F615">
        <f>'REGIÃO 13'!F72</f>
        <v/>
      </c>
      <c r="G615">
        <f>'REGIÃO 13'!G72</f>
        <v/>
      </c>
      <c r="H615">
        <f>'REGIÃO 13'!H72</f>
        <v/>
      </c>
      <c r="I615">
        <f>'REGIÃO 13'!I72</f>
        <v/>
      </c>
      <c r="J615">
        <f>'REGIÃO 13'!J72</f>
        <v/>
      </c>
      <c r="K615" s="36">
        <f>'REGIÃO 13'!K72</f>
        <v/>
      </c>
      <c r="L615" t="inlineStr">
        <is>
          <t>REGIÃO 13</t>
        </is>
      </c>
    </row>
    <row r="616">
      <c r="A616">
        <f>'REGIÃO 13'!A73</f>
        <v/>
      </c>
      <c r="B616">
        <f>'REGIÃO 13'!B73</f>
        <v/>
      </c>
      <c r="C616">
        <f>'REGIÃO 13'!C73</f>
        <v/>
      </c>
      <c r="D616">
        <f>'REGIÃO 13'!D73</f>
        <v/>
      </c>
      <c r="E616">
        <f>'REGIÃO 13'!E73</f>
        <v/>
      </c>
      <c r="F616">
        <f>'REGIÃO 13'!F73</f>
        <v/>
      </c>
      <c r="G616">
        <f>'REGIÃO 13'!G73</f>
        <v/>
      </c>
      <c r="H616">
        <f>'REGIÃO 13'!H73</f>
        <v/>
      </c>
      <c r="I616">
        <f>'REGIÃO 13'!I73</f>
        <v/>
      </c>
      <c r="J616">
        <f>'REGIÃO 13'!J73</f>
        <v/>
      </c>
      <c r="K616" s="36">
        <f>'REGIÃO 13'!K73</f>
        <v/>
      </c>
      <c r="L616" t="inlineStr">
        <is>
          <t>REGIÃO 13</t>
        </is>
      </c>
    </row>
    <row r="617">
      <c r="A617">
        <f>'REGIÃO 13'!A74</f>
        <v/>
      </c>
      <c r="B617">
        <f>'REGIÃO 13'!B74</f>
        <v/>
      </c>
      <c r="C617">
        <f>'REGIÃO 13'!C74</f>
        <v/>
      </c>
      <c r="D617">
        <f>'REGIÃO 13'!D74</f>
        <v/>
      </c>
      <c r="E617">
        <f>'REGIÃO 13'!E74</f>
        <v/>
      </c>
      <c r="F617">
        <f>'REGIÃO 13'!F74</f>
        <v/>
      </c>
      <c r="G617">
        <f>'REGIÃO 13'!G74</f>
        <v/>
      </c>
      <c r="H617">
        <f>'REGIÃO 13'!H74</f>
        <v/>
      </c>
      <c r="I617">
        <f>'REGIÃO 13'!I74</f>
        <v/>
      </c>
      <c r="J617">
        <f>'REGIÃO 13'!J74</f>
        <v/>
      </c>
      <c r="K617" s="36">
        <f>'REGIÃO 13'!K74</f>
        <v/>
      </c>
      <c r="L617" t="inlineStr">
        <is>
          <t>REGIÃO 13</t>
        </is>
      </c>
    </row>
    <row r="618">
      <c r="A618">
        <f>'REGIÃO 13'!A75</f>
        <v/>
      </c>
      <c r="B618">
        <f>'REGIÃO 13'!B75</f>
        <v/>
      </c>
      <c r="C618">
        <f>'REGIÃO 13'!C75</f>
        <v/>
      </c>
      <c r="D618">
        <f>'REGIÃO 13'!D75</f>
        <v/>
      </c>
      <c r="E618">
        <f>'REGIÃO 13'!E75</f>
        <v/>
      </c>
      <c r="F618">
        <f>'REGIÃO 13'!F75</f>
        <v/>
      </c>
      <c r="G618">
        <f>'REGIÃO 13'!G75</f>
        <v/>
      </c>
      <c r="H618">
        <f>'REGIÃO 13'!H75</f>
        <v/>
      </c>
      <c r="I618">
        <f>'REGIÃO 13'!I75</f>
        <v/>
      </c>
      <c r="J618">
        <f>'REGIÃO 13'!J75</f>
        <v/>
      </c>
      <c r="K618" s="36">
        <f>'REGIÃO 13'!K75</f>
        <v/>
      </c>
      <c r="L618" t="inlineStr">
        <is>
          <t>REGIÃO 13</t>
        </is>
      </c>
    </row>
    <row r="619">
      <c r="A619">
        <f>'REGIÃO 13'!A76</f>
        <v/>
      </c>
      <c r="B619">
        <f>'REGIÃO 13'!B76</f>
        <v/>
      </c>
      <c r="C619">
        <f>'REGIÃO 13'!C76</f>
        <v/>
      </c>
      <c r="D619">
        <f>'REGIÃO 13'!D76</f>
        <v/>
      </c>
      <c r="E619">
        <f>'REGIÃO 13'!E76</f>
        <v/>
      </c>
      <c r="F619">
        <f>'REGIÃO 13'!F76</f>
        <v/>
      </c>
      <c r="G619">
        <f>'REGIÃO 13'!G76</f>
        <v/>
      </c>
      <c r="H619">
        <f>'REGIÃO 13'!H76</f>
        <v/>
      </c>
      <c r="I619">
        <f>'REGIÃO 13'!I76</f>
        <v/>
      </c>
      <c r="J619">
        <f>'REGIÃO 13'!J76</f>
        <v/>
      </c>
      <c r="K619" s="36">
        <f>'REGIÃO 13'!K76</f>
        <v/>
      </c>
      <c r="L619" t="inlineStr">
        <is>
          <t>REGIÃO 13</t>
        </is>
      </c>
    </row>
    <row r="620">
      <c r="A620">
        <f>'REGIÃO 13'!A77</f>
        <v/>
      </c>
      <c r="B620">
        <f>'REGIÃO 13'!B77</f>
        <v/>
      </c>
      <c r="C620">
        <f>'REGIÃO 13'!C77</f>
        <v/>
      </c>
      <c r="D620">
        <f>'REGIÃO 13'!D77</f>
        <v/>
      </c>
      <c r="E620">
        <f>'REGIÃO 13'!E77</f>
        <v/>
      </c>
      <c r="F620">
        <f>'REGIÃO 13'!F77</f>
        <v/>
      </c>
      <c r="G620">
        <f>'REGIÃO 13'!G77</f>
        <v/>
      </c>
      <c r="H620">
        <f>'REGIÃO 13'!H77</f>
        <v/>
      </c>
      <c r="I620">
        <f>'REGIÃO 13'!I77</f>
        <v/>
      </c>
      <c r="J620">
        <f>'REGIÃO 13'!J77</f>
        <v/>
      </c>
      <c r="K620" s="36">
        <f>'REGIÃO 13'!K77</f>
        <v/>
      </c>
      <c r="L620" t="inlineStr">
        <is>
          <t>REGIÃO 13</t>
        </is>
      </c>
    </row>
    <row r="621">
      <c r="A621">
        <f>'REGIÃO 13'!A78</f>
        <v/>
      </c>
      <c r="B621">
        <f>'REGIÃO 13'!B78</f>
        <v/>
      </c>
      <c r="C621">
        <f>'REGIÃO 13'!C78</f>
        <v/>
      </c>
      <c r="D621">
        <f>'REGIÃO 13'!D78</f>
        <v/>
      </c>
      <c r="E621">
        <f>'REGIÃO 13'!E78</f>
        <v/>
      </c>
      <c r="F621">
        <f>'REGIÃO 13'!F78</f>
        <v/>
      </c>
      <c r="G621">
        <f>'REGIÃO 13'!G78</f>
        <v/>
      </c>
      <c r="H621">
        <f>'REGIÃO 13'!H78</f>
        <v/>
      </c>
      <c r="I621">
        <f>'REGIÃO 13'!I78</f>
        <v/>
      </c>
      <c r="J621">
        <f>'REGIÃO 13'!J78</f>
        <v/>
      </c>
      <c r="K621" s="36">
        <f>'REGIÃO 13'!K78</f>
        <v/>
      </c>
      <c r="L621" t="inlineStr">
        <is>
          <t>REGIÃO 13</t>
        </is>
      </c>
    </row>
    <row r="622">
      <c r="A622">
        <f>'REGIÃO 13'!A79</f>
        <v/>
      </c>
      <c r="B622">
        <f>'REGIÃO 13'!B79</f>
        <v/>
      </c>
      <c r="C622">
        <f>'REGIÃO 13'!C79</f>
        <v/>
      </c>
      <c r="D622">
        <f>'REGIÃO 13'!D79</f>
        <v/>
      </c>
      <c r="E622">
        <f>'REGIÃO 13'!E79</f>
        <v/>
      </c>
      <c r="F622">
        <f>'REGIÃO 13'!F79</f>
        <v/>
      </c>
      <c r="G622">
        <f>'REGIÃO 13'!G79</f>
        <v/>
      </c>
      <c r="H622">
        <f>'REGIÃO 13'!H79</f>
        <v/>
      </c>
      <c r="I622">
        <f>'REGIÃO 13'!I79</f>
        <v/>
      </c>
      <c r="J622">
        <f>'REGIÃO 13'!J79</f>
        <v/>
      </c>
      <c r="K622" s="36">
        <f>'REGIÃO 13'!K79</f>
        <v/>
      </c>
      <c r="L622" t="inlineStr">
        <is>
          <t>REGIÃO 13</t>
        </is>
      </c>
    </row>
    <row r="623">
      <c r="A623">
        <f>'REGIÃO 13'!A80</f>
        <v/>
      </c>
      <c r="B623">
        <f>'REGIÃO 13'!B80</f>
        <v/>
      </c>
      <c r="C623">
        <f>'REGIÃO 13'!C80</f>
        <v/>
      </c>
      <c r="D623">
        <f>'REGIÃO 13'!D80</f>
        <v/>
      </c>
      <c r="E623">
        <f>'REGIÃO 13'!E80</f>
        <v/>
      </c>
      <c r="F623">
        <f>'REGIÃO 13'!F80</f>
        <v/>
      </c>
      <c r="G623">
        <f>'REGIÃO 13'!G80</f>
        <v/>
      </c>
      <c r="H623">
        <f>'REGIÃO 13'!H80</f>
        <v/>
      </c>
      <c r="I623">
        <f>'REGIÃO 13'!I80</f>
        <v/>
      </c>
      <c r="J623">
        <f>'REGIÃO 13'!J80</f>
        <v/>
      </c>
      <c r="K623" s="36">
        <f>'REGIÃO 13'!K80</f>
        <v/>
      </c>
      <c r="L623" t="inlineStr">
        <is>
          <t>REGIÃO 13</t>
        </is>
      </c>
    </row>
    <row r="624">
      <c r="A624">
        <f>'REGIÃO 13'!A81</f>
        <v/>
      </c>
      <c r="B624">
        <f>'REGIÃO 13'!B81</f>
        <v/>
      </c>
      <c r="C624">
        <f>'REGIÃO 13'!C81</f>
        <v/>
      </c>
      <c r="D624">
        <f>'REGIÃO 13'!D81</f>
        <v/>
      </c>
      <c r="E624">
        <f>'REGIÃO 13'!E81</f>
        <v/>
      </c>
      <c r="F624">
        <f>'REGIÃO 13'!F81</f>
        <v/>
      </c>
      <c r="G624">
        <f>'REGIÃO 13'!G81</f>
        <v/>
      </c>
      <c r="H624">
        <f>'REGIÃO 13'!H81</f>
        <v/>
      </c>
      <c r="I624">
        <f>'REGIÃO 13'!I81</f>
        <v/>
      </c>
      <c r="J624">
        <f>'REGIÃO 13'!J81</f>
        <v/>
      </c>
      <c r="K624" s="36">
        <f>'REGIÃO 13'!K81</f>
        <v/>
      </c>
      <c r="L624" t="inlineStr">
        <is>
          <t>REGIÃO 13</t>
        </is>
      </c>
    </row>
    <row r="625">
      <c r="A625">
        <f>'REGIÃO 13'!A82</f>
        <v/>
      </c>
      <c r="B625">
        <f>'REGIÃO 13'!B82</f>
        <v/>
      </c>
      <c r="C625">
        <f>'REGIÃO 13'!C82</f>
        <v/>
      </c>
      <c r="D625">
        <f>'REGIÃO 13'!D82</f>
        <v/>
      </c>
      <c r="E625">
        <f>'REGIÃO 13'!E82</f>
        <v/>
      </c>
      <c r="F625">
        <f>'REGIÃO 13'!F82</f>
        <v/>
      </c>
      <c r="G625">
        <f>'REGIÃO 13'!G82</f>
        <v/>
      </c>
      <c r="H625">
        <f>'REGIÃO 13'!H82</f>
        <v/>
      </c>
      <c r="I625">
        <f>'REGIÃO 13'!I82</f>
        <v/>
      </c>
      <c r="J625">
        <f>'REGIÃO 13'!J82</f>
        <v/>
      </c>
      <c r="K625" s="36">
        <f>'REGIÃO 13'!K82</f>
        <v/>
      </c>
      <c r="L625" t="inlineStr">
        <is>
          <t>REGIÃO 13</t>
        </is>
      </c>
    </row>
    <row r="626">
      <c r="A626">
        <f>'REGIÃO 13'!A83</f>
        <v/>
      </c>
      <c r="B626">
        <f>'REGIÃO 13'!B83</f>
        <v/>
      </c>
      <c r="C626">
        <f>'REGIÃO 13'!C83</f>
        <v/>
      </c>
      <c r="D626">
        <f>'REGIÃO 13'!D83</f>
        <v/>
      </c>
      <c r="E626">
        <f>'REGIÃO 13'!E83</f>
        <v/>
      </c>
      <c r="F626">
        <f>'REGIÃO 13'!F83</f>
        <v/>
      </c>
      <c r="G626">
        <f>'REGIÃO 13'!G83</f>
        <v/>
      </c>
      <c r="H626">
        <f>'REGIÃO 13'!H83</f>
        <v/>
      </c>
      <c r="I626">
        <f>'REGIÃO 13'!I83</f>
        <v/>
      </c>
      <c r="J626">
        <f>'REGIÃO 13'!J83</f>
        <v/>
      </c>
      <c r="K626" s="36">
        <f>'REGIÃO 13'!K83</f>
        <v/>
      </c>
      <c r="L626" t="inlineStr">
        <is>
          <t>REGIÃO 13</t>
        </is>
      </c>
    </row>
    <row r="627">
      <c r="A627">
        <f>'REGIÃO 13'!A84</f>
        <v/>
      </c>
      <c r="B627">
        <f>'REGIÃO 13'!B84</f>
        <v/>
      </c>
      <c r="C627">
        <f>'REGIÃO 13'!C84</f>
        <v/>
      </c>
      <c r="D627">
        <f>'REGIÃO 13'!D84</f>
        <v/>
      </c>
      <c r="E627">
        <f>'REGIÃO 13'!E84</f>
        <v/>
      </c>
      <c r="F627">
        <f>'REGIÃO 13'!F84</f>
        <v/>
      </c>
      <c r="G627">
        <f>'REGIÃO 13'!G84</f>
        <v/>
      </c>
      <c r="H627">
        <f>'REGIÃO 13'!H84</f>
        <v/>
      </c>
      <c r="I627">
        <f>'REGIÃO 13'!I84</f>
        <v/>
      </c>
      <c r="J627">
        <f>'REGIÃO 13'!J84</f>
        <v/>
      </c>
      <c r="K627" s="36">
        <f>'REGIÃO 13'!K84</f>
        <v/>
      </c>
      <c r="L627" t="inlineStr">
        <is>
          <t>REGIÃO 13</t>
        </is>
      </c>
    </row>
    <row r="628">
      <c r="A628">
        <f>'REGIÃO 13'!A85</f>
        <v/>
      </c>
      <c r="B628">
        <f>'REGIÃO 13'!B85</f>
        <v/>
      </c>
      <c r="C628">
        <f>'REGIÃO 13'!C85</f>
        <v/>
      </c>
      <c r="D628">
        <f>'REGIÃO 13'!D85</f>
        <v/>
      </c>
      <c r="E628">
        <f>'REGIÃO 13'!E85</f>
        <v/>
      </c>
      <c r="F628">
        <f>'REGIÃO 13'!F85</f>
        <v/>
      </c>
      <c r="G628">
        <f>'REGIÃO 13'!G85</f>
        <v/>
      </c>
      <c r="H628">
        <f>'REGIÃO 13'!H85</f>
        <v/>
      </c>
      <c r="I628">
        <f>'REGIÃO 13'!I85</f>
        <v/>
      </c>
      <c r="J628">
        <f>'REGIÃO 13'!J85</f>
        <v/>
      </c>
      <c r="K628" s="36">
        <f>'REGIÃO 13'!K85</f>
        <v/>
      </c>
      <c r="L628" t="inlineStr">
        <is>
          <t>REGIÃO 13</t>
        </is>
      </c>
    </row>
    <row r="629">
      <c r="A629">
        <f>'REGIÃO 13'!A86</f>
        <v/>
      </c>
      <c r="B629">
        <f>'REGIÃO 13'!B86</f>
        <v/>
      </c>
      <c r="C629">
        <f>'REGIÃO 13'!C86</f>
        <v/>
      </c>
      <c r="D629">
        <f>'REGIÃO 13'!D86</f>
        <v/>
      </c>
      <c r="E629">
        <f>'REGIÃO 13'!E86</f>
        <v/>
      </c>
      <c r="F629">
        <f>'REGIÃO 13'!F86</f>
        <v/>
      </c>
      <c r="G629">
        <f>'REGIÃO 13'!G86</f>
        <v/>
      </c>
      <c r="H629">
        <f>'REGIÃO 13'!H86</f>
        <v/>
      </c>
      <c r="I629">
        <f>'REGIÃO 13'!I86</f>
        <v/>
      </c>
      <c r="J629">
        <f>'REGIÃO 13'!J86</f>
        <v/>
      </c>
      <c r="K629" s="36">
        <f>'REGIÃO 13'!K86</f>
        <v/>
      </c>
      <c r="L629" t="inlineStr">
        <is>
          <t>REGIÃO 13</t>
        </is>
      </c>
    </row>
    <row r="630">
      <c r="A630">
        <f>'REGIÃO 13'!A87</f>
        <v/>
      </c>
      <c r="B630">
        <f>'REGIÃO 13'!B87</f>
        <v/>
      </c>
      <c r="C630">
        <f>'REGIÃO 13'!C87</f>
        <v/>
      </c>
      <c r="D630">
        <f>'REGIÃO 13'!D87</f>
        <v/>
      </c>
      <c r="E630">
        <f>'REGIÃO 13'!E87</f>
        <v/>
      </c>
      <c r="F630">
        <f>'REGIÃO 13'!F87</f>
        <v/>
      </c>
      <c r="G630">
        <f>'REGIÃO 13'!G87</f>
        <v/>
      </c>
      <c r="H630">
        <f>'REGIÃO 13'!H87</f>
        <v/>
      </c>
      <c r="I630">
        <f>'REGIÃO 13'!I87</f>
        <v/>
      </c>
      <c r="J630">
        <f>'REGIÃO 13'!J87</f>
        <v/>
      </c>
      <c r="K630" s="36">
        <f>'REGIÃO 13'!K87</f>
        <v/>
      </c>
      <c r="L630" t="inlineStr">
        <is>
          <t>REGIÃO 13</t>
        </is>
      </c>
    </row>
    <row r="631">
      <c r="A631">
        <f>'REGIÃO 13'!A88</f>
        <v/>
      </c>
      <c r="B631">
        <f>'REGIÃO 13'!B88</f>
        <v/>
      </c>
      <c r="C631">
        <f>'REGIÃO 13'!C88</f>
        <v/>
      </c>
      <c r="D631">
        <f>'REGIÃO 13'!D88</f>
        <v/>
      </c>
      <c r="E631">
        <f>'REGIÃO 13'!E88</f>
        <v/>
      </c>
      <c r="F631">
        <f>'REGIÃO 13'!F88</f>
        <v/>
      </c>
      <c r="G631">
        <f>'REGIÃO 13'!G88</f>
        <v/>
      </c>
      <c r="H631">
        <f>'REGIÃO 13'!H88</f>
        <v/>
      </c>
      <c r="I631">
        <f>'REGIÃO 13'!I88</f>
        <v/>
      </c>
      <c r="J631">
        <f>'REGIÃO 13'!J88</f>
        <v/>
      </c>
      <c r="K631" s="36">
        <f>'REGIÃO 13'!K88</f>
        <v/>
      </c>
      <c r="L631" t="inlineStr">
        <is>
          <t>REGIÃO 13</t>
        </is>
      </c>
    </row>
    <row r="632">
      <c r="A632">
        <f>'REGIÃO 13'!A89</f>
        <v/>
      </c>
      <c r="B632">
        <f>'REGIÃO 13'!B89</f>
        <v/>
      </c>
      <c r="C632">
        <f>'REGIÃO 13'!C89</f>
        <v/>
      </c>
      <c r="D632">
        <f>'REGIÃO 13'!D89</f>
        <v/>
      </c>
      <c r="E632">
        <f>'REGIÃO 13'!E89</f>
        <v/>
      </c>
      <c r="F632">
        <f>'REGIÃO 13'!F89</f>
        <v/>
      </c>
      <c r="G632">
        <f>'REGIÃO 13'!G89</f>
        <v/>
      </c>
      <c r="H632">
        <f>'REGIÃO 13'!H89</f>
        <v/>
      </c>
      <c r="I632">
        <f>'REGIÃO 13'!I89</f>
        <v/>
      </c>
      <c r="J632">
        <f>'REGIÃO 13'!J89</f>
        <v/>
      </c>
      <c r="K632" s="36">
        <f>'REGIÃO 13'!K89</f>
        <v/>
      </c>
      <c r="L632" t="inlineStr">
        <is>
          <t>REGIÃO 13</t>
        </is>
      </c>
    </row>
    <row r="633">
      <c r="A633">
        <f>'REGIÃO 13'!A90</f>
        <v/>
      </c>
      <c r="B633">
        <f>'REGIÃO 13'!B90</f>
        <v/>
      </c>
      <c r="C633">
        <f>'REGIÃO 13'!C90</f>
        <v/>
      </c>
      <c r="D633">
        <f>'REGIÃO 13'!D90</f>
        <v/>
      </c>
      <c r="E633">
        <f>'REGIÃO 13'!E90</f>
        <v/>
      </c>
      <c r="F633">
        <f>'REGIÃO 13'!F90</f>
        <v/>
      </c>
      <c r="G633">
        <f>'REGIÃO 13'!G90</f>
        <v/>
      </c>
      <c r="H633">
        <f>'REGIÃO 13'!H90</f>
        <v/>
      </c>
      <c r="I633">
        <f>'REGIÃO 13'!I90</f>
        <v/>
      </c>
      <c r="J633">
        <f>'REGIÃO 13'!J90</f>
        <v/>
      </c>
      <c r="K633" s="36">
        <f>'REGIÃO 13'!K90</f>
        <v/>
      </c>
      <c r="L633" t="inlineStr">
        <is>
          <t>REGIÃO 13</t>
        </is>
      </c>
    </row>
    <row r="634">
      <c r="A634">
        <f>'REGIÃO 13'!A91</f>
        <v/>
      </c>
      <c r="B634">
        <f>'REGIÃO 13'!B91</f>
        <v/>
      </c>
      <c r="C634">
        <f>'REGIÃO 13'!C91</f>
        <v/>
      </c>
      <c r="D634">
        <f>'REGIÃO 13'!D91</f>
        <v/>
      </c>
      <c r="E634">
        <f>'REGIÃO 13'!E91</f>
        <v/>
      </c>
      <c r="F634">
        <f>'REGIÃO 13'!F91</f>
        <v/>
      </c>
      <c r="G634">
        <f>'REGIÃO 13'!G91</f>
        <v/>
      </c>
      <c r="H634">
        <f>'REGIÃO 13'!H91</f>
        <v/>
      </c>
      <c r="I634">
        <f>'REGIÃO 13'!I91</f>
        <v/>
      </c>
      <c r="J634">
        <f>'REGIÃO 13'!J91</f>
        <v/>
      </c>
      <c r="K634" s="36">
        <f>'REGIÃO 13'!K91</f>
        <v/>
      </c>
      <c r="L634" t="inlineStr">
        <is>
          <t>REGIÃO 13</t>
        </is>
      </c>
    </row>
    <row r="635">
      <c r="A635">
        <f>'REGIÃO 13'!A92</f>
        <v/>
      </c>
      <c r="B635">
        <f>'REGIÃO 13'!B92</f>
        <v/>
      </c>
      <c r="C635">
        <f>'REGIÃO 13'!C92</f>
        <v/>
      </c>
      <c r="D635">
        <f>'REGIÃO 13'!D92</f>
        <v/>
      </c>
      <c r="E635">
        <f>'REGIÃO 13'!E92</f>
        <v/>
      </c>
      <c r="F635">
        <f>'REGIÃO 13'!F92</f>
        <v/>
      </c>
      <c r="G635">
        <f>'REGIÃO 13'!G92</f>
        <v/>
      </c>
      <c r="H635">
        <f>'REGIÃO 13'!H92</f>
        <v/>
      </c>
      <c r="I635">
        <f>'REGIÃO 13'!I92</f>
        <v/>
      </c>
      <c r="J635">
        <f>'REGIÃO 13'!J92</f>
        <v/>
      </c>
      <c r="K635" s="36">
        <f>'REGIÃO 13'!K92</f>
        <v/>
      </c>
      <c r="L635" t="inlineStr">
        <is>
          <t>REGIÃO 13</t>
        </is>
      </c>
    </row>
    <row r="636">
      <c r="A636">
        <f>'REGIÃO 13'!A93</f>
        <v/>
      </c>
      <c r="B636">
        <f>'REGIÃO 13'!B93</f>
        <v/>
      </c>
      <c r="C636">
        <f>'REGIÃO 13'!C93</f>
        <v/>
      </c>
      <c r="D636">
        <f>'REGIÃO 13'!D93</f>
        <v/>
      </c>
      <c r="E636">
        <f>'REGIÃO 13'!E93</f>
        <v/>
      </c>
      <c r="F636">
        <f>'REGIÃO 13'!F93</f>
        <v/>
      </c>
      <c r="G636">
        <f>'REGIÃO 13'!G93</f>
        <v/>
      </c>
      <c r="H636">
        <f>'REGIÃO 13'!H93</f>
        <v/>
      </c>
      <c r="I636">
        <f>'REGIÃO 13'!I93</f>
        <v/>
      </c>
      <c r="J636">
        <f>'REGIÃO 13'!J93</f>
        <v/>
      </c>
      <c r="K636" s="36">
        <f>'REGIÃO 13'!K93</f>
        <v/>
      </c>
      <c r="L636" t="inlineStr">
        <is>
          <t>REGIÃO 13</t>
        </is>
      </c>
    </row>
    <row r="637">
      <c r="A637">
        <f>'REGIÃO 13'!A94</f>
        <v/>
      </c>
      <c r="B637">
        <f>'REGIÃO 13'!B94</f>
        <v/>
      </c>
      <c r="C637">
        <f>'REGIÃO 13'!C94</f>
        <v/>
      </c>
      <c r="D637">
        <f>'REGIÃO 13'!D94</f>
        <v/>
      </c>
      <c r="E637">
        <f>'REGIÃO 13'!E94</f>
        <v/>
      </c>
      <c r="F637">
        <f>'REGIÃO 13'!F94</f>
        <v/>
      </c>
      <c r="G637">
        <f>'REGIÃO 13'!G94</f>
        <v/>
      </c>
      <c r="H637">
        <f>'REGIÃO 13'!H94</f>
        <v/>
      </c>
      <c r="I637">
        <f>'REGIÃO 13'!I94</f>
        <v/>
      </c>
      <c r="J637">
        <f>'REGIÃO 13'!J94</f>
        <v/>
      </c>
      <c r="K637" s="36">
        <f>'REGIÃO 13'!K94</f>
        <v/>
      </c>
      <c r="L637" t="inlineStr">
        <is>
          <t>REGIÃO 13</t>
        </is>
      </c>
    </row>
    <row r="638">
      <c r="A638">
        <f>'REGIÃO 13'!A95</f>
        <v/>
      </c>
      <c r="B638">
        <f>'REGIÃO 13'!B95</f>
        <v/>
      </c>
      <c r="C638">
        <f>'REGIÃO 13'!C95</f>
        <v/>
      </c>
      <c r="D638">
        <f>'REGIÃO 13'!D95</f>
        <v/>
      </c>
      <c r="E638">
        <f>'REGIÃO 13'!E95</f>
        <v/>
      </c>
      <c r="F638">
        <f>'REGIÃO 13'!F95</f>
        <v/>
      </c>
      <c r="G638">
        <f>'REGIÃO 13'!G95</f>
        <v/>
      </c>
      <c r="H638">
        <f>'REGIÃO 13'!H95</f>
        <v/>
      </c>
      <c r="I638">
        <f>'REGIÃO 13'!I95</f>
        <v/>
      </c>
      <c r="J638">
        <f>'REGIÃO 13'!J95</f>
        <v/>
      </c>
      <c r="K638" s="36">
        <f>'REGIÃO 13'!K95</f>
        <v/>
      </c>
      <c r="L638" t="inlineStr">
        <is>
          <t>REGIÃO 13</t>
        </is>
      </c>
    </row>
    <row r="639">
      <c r="A639">
        <f>'REGIÃO 13'!A96</f>
        <v/>
      </c>
      <c r="B639">
        <f>'REGIÃO 13'!B96</f>
        <v/>
      </c>
      <c r="C639">
        <f>'REGIÃO 13'!C96</f>
        <v/>
      </c>
      <c r="D639">
        <f>'REGIÃO 13'!D96</f>
        <v/>
      </c>
      <c r="E639">
        <f>'REGIÃO 13'!E96</f>
        <v/>
      </c>
      <c r="F639">
        <f>'REGIÃO 13'!F96</f>
        <v/>
      </c>
      <c r="G639">
        <f>'REGIÃO 13'!G96</f>
        <v/>
      </c>
      <c r="H639">
        <f>'REGIÃO 13'!H96</f>
        <v/>
      </c>
      <c r="I639">
        <f>'REGIÃO 13'!I96</f>
        <v/>
      </c>
      <c r="J639">
        <f>'REGIÃO 13'!J96</f>
        <v/>
      </c>
      <c r="K639" s="36">
        <f>'REGIÃO 13'!K96</f>
        <v/>
      </c>
      <c r="L639" t="inlineStr">
        <is>
          <t>REGIÃO 13</t>
        </is>
      </c>
    </row>
    <row r="640">
      <c r="A640">
        <f>'REGIÃO 13'!A97</f>
        <v/>
      </c>
      <c r="B640">
        <f>'REGIÃO 13'!B97</f>
        <v/>
      </c>
      <c r="C640">
        <f>'REGIÃO 13'!C97</f>
        <v/>
      </c>
      <c r="D640">
        <f>'REGIÃO 13'!D97</f>
        <v/>
      </c>
      <c r="E640">
        <f>'REGIÃO 13'!E97</f>
        <v/>
      </c>
      <c r="F640">
        <f>'REGIÃO 13'!F97</f>
        <v/>
      </c>
      <c r="G640">
        <f>'REGIÃO 13'!G97</f>
        <v/>
      </c>
      <c r="H640">
        <f>'REGIÃO 13'!H97</f>
        <v/>
      </c>
      <c r="I640">
        <f>'REGIÃO 13'!I97</f>
        <v/>
      </c>
      <c r="J640">
        <f>'REGIÃO 13'!J97</f>
        <v/>
      </c>
      <c r="K640" s="36">
        <f>'REGIÃO 13'!K97</f>
        <v/>
      </c>
      <c r="L640" t="inlineStr">
        <is>
          <t>REGIÃO 13</t>
        </is>
      </c>
    </row>
    <row r="641">
      <c r="A641">
        <f>'REGIÃO 13'!A98</f>
        <v/>
      </c>
      <c r="B641">
        <f>'REGIÃO 13'!B98</f>
        <v/>
      </c>
      <c r="C641">
        <f>'REGIÃO 13'!C98</f>
        <v/>
      </c>
      <c r="D641">
        <f>'REGIÃO 13'!D98</f>
        <v/>
      </c>
      <c r="E641">
        <f>'REGIÃO 13'!E98</f>
        <v/>
      </c>
      <c r="F641">
        <f>'REGIÃO 13'!F98</f>
        <v/>
      </c>
      <c r="G641">
        <f>'REGIÃO 13'!G98</f>
        <v/>
      </c>
      <c r="H641">
        <f>'REGIÃO 13'!H98</f>
        <v/>
      </c>
      <c r="I641">
        <f>'REGIÃO 13'!I98</f>
        <v/>
      </c>
      <c r="J641">
        <f>'REGIÃO 13'!J98</f>
        <v/>
      </c>
      <c r="K641" s="36">
        <f>'REGIÃO 13'!K98</f>
        <v/>
      </c>
      <c r="L641" t="inlineStr">
        <is>
          <t>REGIÃO 13</t>
        </is>
      </c>
    </row>
    <row r="642">
      <c r="A642">
        <f>'REGIÃO 13'!A99</f>
        <v/>
      </c>
      <c r="B642">
        <f>'REGIÃO 13'!B99</f>
        <v/>
      </c>
      <c r="C642">
        <f>'REGIÃO 13'!C99</f>
        <v/>
      </c>
      <c r="D642">
        <f>'REGIÃO 13'!D99</f>
        <v/>
      </c>
      <c r="E642">
        <f>'REGIÃO 13'!E99</f>
        <v/>
      </c>
      <c r="F642">
        <f>'REGIÃO 13'!F99</f>
        <v/>
      </c>
      <c r="G642">
        <f>'REGIÃO 13'!G99</f>
        <v/>
      </c>
      <c r="H642">
        <f>'REGIÃO 13'!H99</f>
        <v/>
      </c>
      <c r="I642">
        <f>'REGIÃO 13'!I99</f>
        <v/>
      </c>
      <c r="J642">
        <f>'REGIÃO 13'!J99</f>
        <v/>
      </c>
      <c r="K642" s="36">
        <f>'REGIÃO 13'!K99</f>
        <v/>
      </c>
      <c r="L642" t="inlineStr">
        <is>
          <t>REGIÃO 13</t>
        </is>
      </c>
    </row>
    <row r="643">
      <c r="A643">
        <f>'REGIÃO 13'!A100</f>
        <v/>
      </c>
      <c r="B643">
        <f>'REGIÃO 13'!B100</f>
        <v/>
      </c>
      <c r="C643">
        <f>'REGIÃO 13'!C100</f>
        <v/>
      </c>
      <c r="D643">
        <f>'REGIÃO 13'!D100</f>
        <v/>
      </c>
      <c r="E643">
        <f>'REGIÃO 13'!E100</f>
        <v/>
      </c>
      <c r="F643">
        <f>'REGIÃO 13'!F100</f>
        <v/>
      </c>
      <c r="G643">
        <f>'REGIÃO 13'!G100</f>
        <v/>
      </c>
      <c r="H643">
        <f>'REGIÃO 13'!H100</f>
        <v/>
      </c>
      <c r="I643">
        <f>'REGIÃO 13'!I100</f>
        <v/>
      </c>
      <c r="J643">
        <f>'REGIÃO 13'!J100</f>
        <v/>
      </c>
      <c r="K643" s="36">
        <f>'REGIÃO 13'!K100</f>
        <v/>
      </c>
      <c r="L643" t="inlineStr">
        <is>
          <t>REGIÃO 13</t>
        </is>
      </c>
    </row>
    <row r="644">
      <c r="A644">
        <f>'REGIÃO 13'!A101</f>
        <v/>
      </c>
      <c r="B644">
        <f>'REGIÃO 13'!B101</f>
        <v/>
      </c>
      <c r="C644">
        <f>'REGIÃO 13'!C101</f>
        <v/>
      </c>
      <c r="D644">
        <f>'REGIÃO 13'!D101</f>
        <v/>
      </c>
      <c r="E644">
        <f>'REGIÃO 13'!E101</f>
        <v/>
      </c>
      <c r="F644">
        <f>'REGIÃO 13'!F101</f>
        <v/>
      </c>
      <c r="G644">
        <f>'REGIÃO 13'!G101</f>
        <v/>
      </c>
      <c r="H644">
        <f>'REGIÃO 13'!H101</f>
        <v/>
      </c>
      <c r="I644">
        <f>'REGIÃO 13'!I101</f>
        <v/>
      </c>
      <c r="J644">
        <f>'REGIÃO 13'!J101</f>
        <v/>
      </c>
      <c r="K644" s="36">
        <f>'REGIÃO 13'!K101</f>
        <v/>
      </c>
      <c r="L644" t="inlineStr">
        <is>
          <t>REGIÃO 13</t>
        </is>
      </c>
    </row>
    <row r="645">
      <c r="A645">
        <f>'REGIÃO 13'!A102</f>
        <v/>
      </c>
      <c r="B645">
        <f>'REGIÃO 13'!B102</f>
        <v/>
      </c>
      <c r="C645">
        <f>'REGIÃO 13'!C102</f>
        <v/>
      </c>
      <c r="D645">
        <f>'REGIÃO 13'!D102</f>
        <v/>
      </c>
      <c r="E645">
        <f>'REGIÃO 13'!E102</f>
        <v/>
      </c>
      <c r="F645">
        <f>'REGIÃO 13'!F102</f>
        <v/>
      </c>
      <c r="G645">
        <f>'REGIÃO 13'!G102</f>
        <v/>
      </c>
      <c r="H645">
        <f>'REGIÃO 13'!H102</f>
        <v/>
      </c>
      <c r="I645">
        <f>'REGIÃO 13'!I102</f>
        <v/>
      </c>
      <c r="J645">
        <f>'REGIÃO 13'!J102</f>
        <v/>
      </c>
      <c r="K645" s="36">
        <f>'REGIÃO 13'!K102</f>
        <v/>
      </c>
      <c r="L645" t="inlineStr">
        <is>
          <t>REGIÃO 13</t>
        </is>
      </c>
    </row>
    <row r="646">
      <c r="A646">
        <f>'REGIÃO 13'!A103</f>
        <v/>
      </c>
      <c r="B646">
        <f>'REGIÃO 13'!B103</f>
        <v/>
      </c>
      <c r="C646">
        <f>'REGIÃO 13'!C103</f>
        <v/>
      </c>
      <c r="D646">
        <f>'REGIÃO 13'!D103</f>
        <v/>
      </c>
      <c r="E646">
        <f>'REGIÃO 13'!E103</f>
        <v/>
      </c>
      <c r="F646">
        <f>'REGIÃO 13'!F103</f>
        <v/>
      </c>
      <c r="G646">
        <f>'REGIÃO 13'!G103</f>
        <v/>
      </c>
      <c r="H646">
        <f>'REGIÃO 13'!H103</f>
        <v/>
      </c>
      <c r="I646">
        <f>'REGIÃO 13'!I103</f>
        <v/>
      </c>
      <c r="J646">
        <f>'REGIÃO 13'!J103</f>
        <v/>
      </c>
      <c r="K646" s="36">
        <f>'REGIÃO 13'!K103</f>
        <v/>
      </c>
      <c r="L646" t="inlineStr">
        <is>
          <t>REGIÃO 13</t>
        </is>
      </c>
    </row>
    <row r="647">
      <c r="A647">
        <f>'REGIÃO 13'!A104</f>
        <v/>
      </c>
      <c r="B647">
        <f>'REGIÃO 13'!B104</f>
        <v/>
      </c>
      <c r="C647">
        <f>'REGIÃO 13'!C104</f>
        <v/>
      </c>
      <c r="D647">
        <f>'REGIÃO 13'!D104</f>
        <v/>
      </c>
      <c r="E647">
        <f>'REGIÃO 13'!E104</f>
        <v/>
      </c>
      <c r="F647">
        <f>'REGIÃO 13'!F104</f>
        <v/>
      </c>
      <c r="G647">
        <f>'REGIÃO 13'!G104</f>
        <v/>
      </c>
      <c r="H647">
        <f>'REGIÃO 13'!H104</f>
        <v/>
      </c>
      <c r="I647">
        <f>'REGIÃO 13'!I104</f>
        <v/>
      </c>
      <c r="J647">
        <f>'REGIÃO 13'!J104</f>
        <v/>
      </c>
      <c r="K647" s="36">
        <f>'REGIÃO 13'!K104</f>
        <v/>
      </c>
      <c r="L647" t="inlineStr">
        <is>
          <t>REGIÃO 13</t>
        </is>
      </c>
    </row>
    <row r="648">
      <c r="A648">
        <f>'REGIÃO 13'!A105</f>
        <v/>
      </c>
      <c r="B648">
        <f>'REGIÃO 13'!B105</f>
        <v/>
      </c>
      <c r="C648">
        <f>'REGIÃO 13'!C105</f>
        <v/>
      </c>
      <c r="D648">
        <f>'REGIÃO 13'!D105</f>
        <v/>
      </c>
      <c r="E648">
        <f>'REGIÃO 13'!E105</f>
        <v/>
      </c>
      <c r="F648">
        <f>'REGIÃO 13'!F105</f>
        <v/>
      </c>
      <c r="G648">
        <f>'REGIÃO 13'!G105</f>
        <v/>
      </c>
      <c r="H648">
        <f>'REGIÃO 13'!H105</f>
        <v/>
      </c>
      <c r="I648">
        <f>'REGIÃO 13'!I105</f>
        <v/>
      </c>
      <c r="J648">
        <f>'REGIÃO 13'!J105</f>
        <v/>
      </c>
      <c r="K648" s="36">
        <f>'REGIÃO 13'!K105</f>
        <v/>
      </c>
      <c r="L648" t="inlineStr">
        <is>
          <t>REGIÃO 13</t>
        </is>
      </c>
    </row>
    <row r="649">
      <c r="A649">
        <f>'REGIÃO 13'!A106</f>
        <v/>
      </c>
      <c r="B649">
        <f>'REGIÃO 13'!B106</f>
        <v/>
      </c>
      <c r="C649">
        <f>'REGIÃO 13'!C106</f>
        <v/>
      </c>
      <c r="D649">
        <f>'REGIÃO 13'!D106</f>
        <v/>
      </c>
      <c r="E649">
        <f>'REGIÃO 13'!E106</f>
        <v/>
      </c>
      <c r="F649">
        <f>'REGIÃO 13'!F106</f>
        <v/>
      </c>
      <c r="G649">
        <f>'REGIÃO 13'!G106</f>
        <v/>
      </c>
      <c r="H649">
        <f>'REGIÃO 13'!H106</f>
        <v/>
      </c>
      <c r="I649">
        <f>'REGIÃO 13'!I106</f>
        <v/>
      </c>
      <c r="J649">
        <f>'REGIÃO 13'!J106</f>
        <v/>
      </c>
      <c r="K649" s="36">
        <f>'REGIÃO 13'!K106</f>
        <v/>
      </c>
      <c r="L649" t="inlineStr">
        <is>
          <t>REGIÃO 13</t>
        </is>
      </c>
    </row>
    <row r="650">
      <c r="A650">
        <f>'REGIÃO 13'!A107</f>
        <v/>
      </c>
      <c r="B650">
        <f>'REGIÃO 13'!B107</f>
        <v/>
      </c>
      <c r="C650">
        <f>'REGIÃO 13'!C107</f>
        <v/>
      </c>
      <c r="D650">
        <f>'REGIÃO 13'!D107</f>
        <v/>
      </c>
      <c r="E650">
        <f>'REGIÃO 13'!E107</f>
        <v/>
      </c>
      <c r="F650">
        <f>'REGIÃO 13'!F107</f>
        <v/>
      </c>
      <c r="G650">
        <f>'REGIÃO 13'!G107</f>
        <v/>
      </c>
      <c r="H650">
        <f>'REGIÃO 13'!H107</f>
        <v/>
      </c>
      <c r="I650">
        <f>'REGIÃO 13'!I107</f>
        <v/>
      </c>
      <c r="J650">
        <f>'REGIÃO 13'!J107</f>
        <v/>
      </c>
      <c r="K650" s="36">
        <f>'REGIÃO 13'!K107</f>
        <v/>
      </c>
      <c r="L650" t="inlineStr">
        <is>
          <t>REGIÃO 13</t>
        </is>
      </c>
    </row>
    <row r="651">
      <c r="A651">
        <f>'REGIÃO 13'!A108</f>
        <v/>
      </c>
      <c r="B651">
        <f>'REGIÃO 13'!B108</f>
        <v/>
      </c>
      <c r="C651">
        <f>'REGIÃO 13'!C108</f>
        <v/>
      </c>
      <c r="D651">
        <f>'REGIÃO 13'!D108</f>
        <v/>
      </c>
      <c r="E651">
        <f>'REGIÃO 13'!E108</f>
        <v/>
      </c>
      <c r="F651">
        <f>'REGIÃO 13'!F108</f>
        <v/>
      </c>
      <c r="G651">
        <f>'REGIÃO 13'!G108</f>
        <v/>
      </c>
      <c r="H651">
        <f>'REGIÃO 13'!H108</f>
        <v/>
      </c>
      <c r="I651">
        <f>'REGIÃO 13'!I108</f>
        <v/>
      </c>
      <c r="J651">
        <f>'REGIÃO 13'!J108</f>
        <v/>
      </c>
      <c r="K651" s="36">
        <f>'REGIÃO 13'!K108</f>
        <v/>
      </c>
      <c r="L651" t="inlineStr">
        <is>
          <t>REGIÃO 13</t>
        </is>
      </c>
    </row>
    <row r="652">
      <c r="A652">
        <f>'REGIÃO 13'!A109</f>
        <v/>
      </c>
      <c r="B652">
        <f>'REGIÃO 13'!B109</f>
        <v/>
      </c>
      <c r="C652">
        <f>'REGIÃO 13'!C109</f>
        <v/>
      </c>
      <c r="D652">
        <f>'REGIÃO 13'!D109</f>
        <v/>
      </c>
      <c r="E652">
        <f>'REGIÃO 13'!E109</f>
        <v/>
      </c>
      <c r="F652">
        <f>'REGIÃO 13'!F109</f>
        <v/>
      </c>
      <c r="G652">
        <f>'REGIÃO 13'!G109</f>
        <v/>
      </c>
      <c r="H652">
        <f>'REGIÃO 13'!H109</f>
        <v/>
      </c>
      <c r="I652">
        <f>'REGIÃO 13'!I109</f>
        <v/>
      </c>
      <c r="J652">
        <f>'REGIÃO 13'!J109</f>
        <v/>
      </c>
      <c r="K652" s="36">
        <f>'REGIÃO 13'!K109</f>
        <v/>
      </c>
      <c r="L652" t="inlineStr">
        <is>
          <t>REGIÃO 13</t>
        </is>
      </c>
    </row>
    <row r="653">
      <c r="A653">
        <f>'REGIÃO 13'!A110</f>
        <v/>
      </c>
      <c r="B653">
        <f>'REGIÃO 13'!B110</f>
        <v/>
      </c>
      <c r="C653">
        <f>'REGIÃO 13'!C110</f>
        <v/>
      </c>
      <c r="D653">
        <f>'REGIÃO 13'!D110</f>
        <v/>
      </c>
      <c r="E653">
        <f>'REGIÃO 13'!E110</f>
        <v/>
      </c>
      <c r="F653">
        <f>'REGIÃO 13'!F110</f>
        <v/>
      </c>
      <c r="G653">
        <f>'REGIÃO 13'!G110</f>
        <v/>
      </c>
      <c r="H653">
        <f>'REGIÃO 13'!H110</f>
        <v/>
      </c>
      <c r="I653">
        <f>'REGIÃO 13'!I110</f>
        <v/>
      </c>
      <c r="J653">
        <f>'REGIÃO 13'!J110</f>
        <v/>
      </c>
      <c r="K653" s="36">
        <f>'REGIÃO 13'!K110</f>
        <v/>
      </c>
      <c r="L653" t="inlineStr">
        <is>
          <t>REGIÃO 13</t>
        </is>
      </c>
    </row>
  </sheetData>
  <pageMargins left="0.511811024" right="0.511811024" top="0.787401575" bottom="0.787401575" header="0.31496062" footer="0.31496062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2" topLeftCell="A3" activePane="bottomLeft" state="frozen"/>
      <selection pane="bottomLeft" activeCell="B29" sqref="B29:D29"/>
    </sheetView>
  </sheetViews>
  <sheetFormatPr baseColWidth="8" defaultRowHeight="12.75" outlineLevelRow="1"/>
  <cols>
    <col width="40" customWidth="1" min="1" max="1"/>
    <col width="26.7109375" customWidth="1" min="2" max="2"/>
    <col width="21" customWidth="1" min="3" max="8"/>
    <col width="20.7109375" customWidth="1" min="14" max="14"/>
    <col width="17.7109375" customWidth="1" min="15" max="15"/>
  </cols>
  <sheetData>
    <row r="1" ht="30" customHeight="1">
      <c r="A1" s="78" t="inlineStr">
        <is>
          <t>PAINEL RESUMO — GEOPROCESSAMENTO DE TRECHOS</t>
        </is>
      </c>
    </row>
    <row r="2">
      <c r="A2" s="40" t="n"/>
      <c r="B2" s="40" t="n"/>
      <c r="C2" s="40" t="n"/>
      <c r="D2" s="40" t="n"/>
      <c r="E2" s="40" t="n"/>
      <c r="F2" s="40" t="n"/>
      <c r="G2" s="40" t="n"/>
      <c r="H2" s="40" t="n"/>
    </row>
    <row r="4" ht="20.1" customHeight="1" thickBot="1">
      <c r="A4" s="42" t="inlineStr">
        <is>
          <t>1. VISÃO GERAL</t>
        </is>
      </c>
      <c r="B4" s="43" t="n"/>
      <c r="C4" s="41" t="n"/>
      <c r="D4" s="41" t="n"/>
      <c r="E4" s="41" t="n"/>
      <c r="F4" s="41" t="n"/>
      <c r="G4" s="41" t="n"/>
      <c r="H4" s="41" t="n"/>
    </row>
    <row r="5">
      <c r="A5" s="49" t="inlineStr">
        <is>
          <t>Total de segmentos (SRE)</t>
        </is>
      </c>
      <c r="B5" s="44">
        <f>COUNTA(BASE[SRE])-COUNTBLANK(BASE[SRE])-COUNTIF(BASE[SRE],0)</f>
        <v/>
      </c>
    </row>
    <row r="6">
      <c r="A6" s="49" t="inlineStr">
        <is>
          <t>Extensão total (km)</t>
        </is>
      </c>
      <c r="B6" s="51">
        <f>SUM(BASE[EXTENSÃO REAL (km)])</f>
        <v/>
      </c>
    </row>
    <row r="7">
      <c r="A7" s="49" t="inlineStr">
        <is>
          <t>Extensão média por segmento (km)</t>
        </is>
      </c>
      <c r="B7" s="51">
        <f>AVERAGEIF(BASE[EXTENSÃO REAL (km)],"&gt;0")</f>
        <v/>
      </c>
    </row>
    <row r="8">
      <c r="A8" s="49" t="inlineStr">
        <is>
          <t>Menor extensão (km)</t>
        </is>
      </c>
      <c r="B8" s="51">
        <f>_xlfn.MINIFS(BASE[EXTENSÃO REAL (km)],BASE[EXTENSÃO REAL (km)],"&gt;0")</f>
        <v/>
      </c>
    </row>
    <row r="9">
      <c r="A9" s="49" t="inlineStr">
        <is>
          <t>Maior extensão (km)</t>
        </is>
      </c>
      <c r="B9" s="51">
        <f>MAX(BASE[EXTENSÃO REAL (km)])</f>
        <v/>
      </c>
    </row>
    <row r="10">
      <c r="A10" s="49" t="inlineStr">
        <is>
          <t>Qtd. de rodovias distintas</t>
        </is>
      </c>
      <c r="B10" s="44">
        <f t="array" ref="B10">ROUND(SUMPRODUCT((BASE[RODOVIA]&lt;&gt;0)/COUNTIF(BASE[RODOVIA],BASE[RODOVIA]&amp;"")),0)</f>
        <v/>
      </c>
    </row>
    <row r="11">
      <c r="A11" s="49" t="inlineStr">
        <is>
          <t>Qtd. de trechos (nº) distintos</t>
        </is>
      </c>
      <c r="B11" s="44">
        <f t="array" ref="B11">SUMPRODUCT((BASE[NÚMERO DO TRECHO]&lt;&gt;0)/COUNTIFS(BASE[NÚMERO DO TRECHO],BASE[NÚMERO DO TRECHO]))</f>
        <v/>
      </c>
    </row>
    <row r="13" ht="20.1" customHeight="1" thickBot="1">
      <c r="A13" s="42" t="inlineStr">
        <is>
          <t>2. POR REGIÃO / UNIDADE</t>
        </is>
      </c>
      <c r="B13" s="42" t="n"/>
      <c r="C13" s="42" t="n"/>
      <c r="D13" s="42" t="n"/>
      <c r="E13" s="42" t="n"/>
      <c r="F13" s="42" t="n"/>
      <c r="G13" s="41" t="n"/>
      <c r="H13" s="41" t="n"/>
      <c r="N13" s="37" t="inlineStr">
        <is>
          <t>Dados de apoio dos gráficos</t>
        </is>
      </c>
    </row>
    <row r="14" ht="18" customHeight="1">
      <c r="A14" s="45" t="inlineStr">
        <is>
          <t>REGIÃO</t>
        </is>
      </c>
      <c r="B14" s="45" t="inlineStr">
        <is>
          <t>CIDADE/UNIDADE</t>
        </is>
      </c>
      <c r="C14" s="45" t="inlineStr">
        <is>
          <t>SEGMENTOS</t>
        </is>
      </c>
      <c r="D14" s="45" t="inlineStr">
        <is>
          <t>EXTENSÃO (km)</t>
        </is>
      </c>
      <c r="E14" s="45" t="inlineStr">
        <is>
          <t>% DA REDE</t>
        </is>
      </c>
      <c r="N14" t="inlineStr">
        <is>
          <t>REGIÃO</t>
        </is>
      </c>
      <c r="O14" t="inlineStr">
        <is>
          <t>EXTENSÃO (km)</t>
        </is>
      </c>
    </row>
    <row r="15">
      <c r="A15" s="46" t="n">
        <v>1</v>
      </c>
      <c r="B15" s="49">
        <f>IFERROR(INDEX(BASE[CIDADE],MATCH($A15,BASE[REGIÃO],0)),"")</f>
        <v/>
      </c>
      <c r="C15" s="44">
        <f>COUNTIFS(BASE[REGIÃO],$A15)</f>
        <v/>
      </c>
      <c r="D15" s="51">
        <f>SUMIFS(BASE[EXTENSÃO REAL (km)],BASE[REGIÃO],$A15)</f>
        <v/>
      </c>
      <c r="E15" s="47">
        <f>D15/$B$6</f>
        <v/>
      </c>
      <c r="N15">
        <f>"R"&amp;$A15&amp;" - "&amp;$B15</f>
        <v/>
      </c>
      <c r="O15" s="38">
        <f>$D15</f>
        <v/>
      </c>
    </row>
    <row r="16">
      <c r="A16" s="46" t="n">
        <v>2</v>
      </c>
      <c r="B16" s="49">
        <f>IFERROR(INDEX(BASE[CIDADE],MATCH($A16,BASE[REGIÃO],0)),"")</f>
        <v/>
      </c>
      <c r="C16" s="44">
        <f>COUNTIFS(BASE[REGIÃO],$A16)</f>
        <v/>
      </c>
      <c r="D16" s="51">
        <f>SUMIFS(BASE[EXTENSÃO REAL (km)],BASE[REGIÃO],$A16)</f>
        <v/>
      </c>
      <c r="E16" s="47">
        <f>D16/$B$6</f>
        <v/>
      </c>
      <c r="N16">
        <f>"R"&amp;$A16&amp;" - "&amp;$B16</f>
        <v/>
      </c>
      <c r="O16" s="38">
        <f>$D16</f>
        <v/>
      </c>
    </row>
    <row r="17">
      <c r="A17" s="46" t="n">
        <v>3</v>
      </c>
      <c r="B17" s="49">
        <f>IFERROR(INDEX(BASE[CIDADE],MATCH($A17,BASE[REGIÃO],0)),"")</f>
        <v/>
      </c>
      <c r="C17" s="44">
        <f>COUNTIFS(BASE[REGIÃO],$A17)</f>
        <v/>
      </c>
      <c r="D17" s="51">
        <f>SUMIFS(BASE[EXTENSÃO REAL (km)],BASE[REGIÃO],$A17)</f>
        <v/>
      </c>
      <c r="E17" s="47">
        <f>D17/$B$6</f>
        <v/>
      </c>
      <c r="N17">
        <f>"R"&amp;$A17&amp;" - "&amp;$B17</f>
        <v/>
      </c>
      <c r="O17" s="38">
        <f>$D17</f>
        <v/>
      </c>
    </row>
    <row r="18">
      <c r="A18" s="46" t="n">
        <v>11</v>
      </c>
      <c r="B18" s="49">
        <f>IFERROR(INDEX(BASE[CIDADE],MATCH($A18,BASE[REGIÃO],0)),"")</f>
        <v/>
      </c>
      <c r="C18" s="44">
        <f>COUNTIFS(BASE[REGIÃO],$A18)</f>
        <v/>
      </c>
      <c r="D18" s="51">
        <f>SUMIFS(BASE[EXTENSÃO REAL (km)],BASE[REGIÃO],$A18)</f>
        <v/>
      </c>
      <c r="E18" s="47">
        <f>D18/$B$6</f>
        <v/>
      </c>
      <c r="N18">
        <f>"R"&amp;$A18&amp;" - "&amp;$B18</f>
        <v/>
      </c>
      <c r="O18" s="38">
        <f>$D18</f>
        <v/>
      </c>
    </row>
    <row r="19">
      <c r="A19" s="46" t="n">
        <v>12</v>
      </c>
      <c r="B19" s="49">
        <f>IFERROR(INDEX(BASE[CIDADE],MATCH($A19,BASE[REGIÃO],0)),"")</f>
        <v/>
      </c>
      <c r="C19" s="44">
        <f>COUNTIFS(BASE[REGIÃO],$A19)</f>
        <v/>
      </c>
      <c r="D19" s="51">
        <f>SUMIFS(BASE[EXTENSÃO REAL (km)],BASE[REGIÃO],$A19)</f>
        <v/>
      </c>
      <c r="E19" s="47">
        <f>D19/$B$6</f>
        <v/>
      </c>
      <c r="N19">
        <f>"R"&amp;$A19&amp;" - "&amp;$B19</f>
        <v/>
      </c>
      <c r="O19" s="38">
        <f>$D19</f>
        <v/>
      </c>
    </row>
    <row r="20" ht="13.5" customHeight="1" thickBot="1">
      <c r="A20" s="56" t="n">
        <v>13</v>
      </c>
      <c r="B20" s="57">
        <f>IFERROR(INDEX(BASE[CIDADE],MATCH($A20,BASE[REGIÃO],0)),"")</f>
        <v/>
      </c>
      <c r="C20" s="58">
        <f>COUNTIFS(BASE[REGIÃO],$A20)</f>
        <v/>
      </c>
      <c r="D20" s="59">
        <f>SUMIFS(BASE[EXTENSÃO REAL (km)],BASE[REGIÃO],$A20)</f>
        <v/>
      </c>
      <c r="E20" s="60">
        <f>D20/$B$6</f>
        <v/>
      </c>
      <c r="N20">
        <f>"R"&amp;$A20&amp;" - "&amp;$B20</f>
        <v/>
      </c>
      <c r="O20" s="38">
        <f>$D20</f>
        <v/>
      </c>
    </row>
    <row r="21">
      <c r="A21" s="61" t="inlineStr">
        <is>
          <t>TOTAL</t>
        </is>
      </c>
      <c r="B21" s="62" t="n"/>
      <c r="C21" s="63">
        <f>SUM(C15:C20)</f>
        <v/>
      </c>
      <c r="D21" s="64">
        <f>SUM(D15:D20)</f>
        <v/>
      </c>
      <c r="E21" s="65">
        <f>SUM(E15:E20)</f>
        <v/>
      </c>
    </row>
    <row r="23" ht="20.1" customHeight="1" thickBot="1">
      <c r="A23" s="42" t="inlineStr">
        <is>
          <t>3. POR SITUAÇÃO DO SEGMENTO</t>
        </is>
      </c>
      <c r="B23" s="42" t="n"/>
      <c r="C23" s="42" t="n"/>
      <c r="D23" s="42" t="n"/>
      <c r="E23" s="42" t="n"/>
      <c r="F23" s="41" t="n"/>
      <c r="G23" s="41" t="n"/>
      <c r="H23" s="41" t="n"/>
      <c r="N23" t="inlineStr">
        <is>
          <t>SITUAÇÃO</t>
        </is>
      </c>
      <c r="O23" t="inlineStr">
        <is>
          <t>EXTENSÃO (km)</t>
        </is>
      </c>
    </row>
    <row r="24" ht="18" customHeight="1">
      <c r="A24" s="45" t="inlineStr">
        <is>
          <t>SITUAÇÃO</t>
        </is>
      </c>
      <c r="B24" s="45" t="inlineStr">
        <is>
          <t>SEGMENTOS</t>
        </is>
      </c>
      <c r="C24" s="45" t="inlineStr">
        <is>
          <t>EXTENSÃO (km)</t>
        </is>
      </c>
      <c r="D24" s="45" t="inlineStr">
        <is>
          <t>% DA REDE</t>
        </is>
      </c>
      <c r="N24">
        <f>$A25</f>
        <v/>
      </c>
      <c r="O24" s="38">
        <f>$C25</f>
        <v/>
      </c>
    </row>
    <row r="25">
      <c r="A25" s="50" t="inlineStr">
        <is>
          <t>PPS</t>
        </is>
      </c>
      <c r="B25" s="44">
        <f>COUNTIFS(BASE[SITUAÇÃO],$A25)</f>
        <v/>
      </c>
      <c r="C25" s="51">
        <f>SUMIFS(BASE[EXTENSÃO REAL (km)],BASE[SITUAÇÃO],$A25)</f>
        <v/>
      </c>
      <c r="D25" s="47">
        <f>C25/$B$6</f>
        <v/>
      </c>
      <c r="N25">
        <f>$A26</f>
        <v/>
      </c>
      <c r="O25" s="38">
        <f>$C26</f>
        <v/>
      </c>
    </row>
    <row r="26">
      <c r="A26" s="50" t="inlineStr">
        <is>
          <t>PSU</t>
        </is>
      </c>
      <c r="B26" s="44">
        <f>COUNTIFS(BASE[SITUAÇÃO],$A26)</f>
        <v/>
      </c>
      <c r="C26" s="51">
        <f>SUMIFS(BASE[EXTENSÃO REAL (km)],BASE[SITUAÇÃO],$A26)</f>
        <v/>
      </c>
      <c r="D26" s="47">
        <f>C26/$B$6</f>
        <v/>
      </c>
      <c r="N26">
        <f>$A27</f>
        <v/>
      </c>
      <c r="O26" s="38">
        <f>$C27</f>
        <v/>
      </c>
    </row>
    <row r="27">
      <c r="A27" s="50" t="inlineStr">
        <is>
          <t>PDU</t>
        </is>
      </c>
      <c r="B27" s="44">
        <f>COUNTIFS(BASE[SITUAÇÃO],$A27)</f>
        <v/>
      </c>
      <c r="C27" s="51">
        <f>SUMIFS(BASE[EXTENSÃO REAL (km)],BASE[SITUAÇÃO],$A27)</f>
        <v/>
      </c>
      <c r="D27" s="47">
        <f>C27/$B$6</f>
        <v/>
      </c>
      <c r="N27">
        <f>$A28</f>
        <v/>
      </c>
      <c r="O27" s="38">
        <f>$C28</f>
        <v/>
      </c>
    </row>
    <row r="28">
      <c r="A28" s="50" t="inlineStr">
        <is>
          <t>DUP</t>
        </is>
      </c>
      <c r="B28" s="44">
        <f>COUNTIFS(BASE[SITUAÇÃO],$A28)</f>
        <v/>
      </c>
      <c r="C28" s="51">
        <f>SUMIFS(BASE[EXTENSÃO REAL (km)],BASE[SITUAÇÃO],$A28)</f>
        <v/>
      </c>
      <c r="D28" s="47">
        <f>C28/$B$6</f>
        <v/>
      </c>
      <c r="N28">
        <f>$A29</f>
        <v/>
      </c>
      <c r="O28" s="38">
        <f>$C29</f>
        <v/>
      </c>
    </row>
    <row r="29">
      <c r="A29" s="50" t="inlineStr">
        <is>
          <t>LEN</t>
        </is>
      </c>
      <c r="B29" s="44">
        <f>COUNTIFS(BASE[SITUAÇÃO],$A29)</f>
        <v/>
      </c>
      <c r="C29" s="51">
        <f>SUMIFS(BASE[EXTENSÃO REAL (km)],BASE[SITUAÇÃO],$A29)</f>
        <v/>
      </c>
      <c r="D29" s="47">
        <f>C29/$B$6</f>
        <v/>
      </c>
      <c r="N29">
        <f>$A30</f>
        <v/>
      </c>
      <c r="O29" s="38">
        <f>$C30</f>
        <v/>
      </c>
    </row>
    <row r="30" ht="13.5" customHeight="1" thickBot="1">
      <c r="A30" s="66" t="inlineStr">
        <is>
          <t>EOP</t>
        </is>
      </c>
      <c r="B30" s="58">
        <f>COUNTIFS(BASE[SITUAÇÃO],$A30)</f>
        <v/>
      </c>
      <c r="C30" s="59">
        <f>SUMIFS(BASE[EXTENSÃO REAL (km)],BASE[SITUAÇÃO],$A30)</f>
        <v/>
      </c>
      <c r="D30" s="60">
        <f>C30/$B$6</f>
        <v/>
      </c>
    </row>
    <row r="31">
      <c r="A31" s="67" t="inlineStr">
        <is>
          <t>TOTAL</t>
        </is>
      </c>
      <c r="B31" s="63">
        <f>SUM(B25:B30)</f>
        <v/>
      </c>
      <c r="C31" s="64">
        <f>SUM(C25:C30)</f>
        <v/>
      </c>
      <c r="D31" s="65">
        <f>SUM(D25:D30)</f>
        <v/>
      </c>
    </row>
    <row r="33" ht="20.1" customHeight="1">
      <c r="A33" s="42" t="inlineStr">
        <is>
          <t>4. MATRIZ REGIÃO x SITUAÇÃO — EXTENSÃO (km)</t>
        </is>
      </c>
      <c r="B33" s="42" t="n"/>
      <c r="C33" s="42" t="n"/>
      <c r="D33" s="42" t="n"/>
      <c r="E33" s="42" t="n"/>
      <c r="F33" s="42" t="n"/>
      <c r="G33" s="42" t="n"/>
      <c r="H33" s="42" t="n"/>
    </row>
    <row r="34" ht="18" customHeight="1">
      <c r="A34" s="45" t="inlineStr">
        <is>
          <t>REGIÃO</t>
        </is>
      </c>
      <c r="B34" s="45">
        <f>$A25</f>
        <v/>
      </c>
      <c r="C34" s="45">
        <f>$A26</f>
        <v/>
      </c>
      <c r="D34" s="45">
        <f>$A27</f>
        <v/>
      </c>
      <c r="E34" s="45">
        <f>$A28</f>
        <v/>
      </c>
      <c r="F34" s="45">
        <f>$A29</f>
        <v/>
      </c>
      <c r="G34" s="45">
        <f>$A30</f>
        <v/>
      </c>
      <c r="H34" s="45" t="inlineStr">
        <is>
          <t>TOTAL</t>
        </is>
      </c>
    </row>
    <row r="35">
      <c r="A35" s="46">
        <f>$A15</f>
        <v/>
      </c>
      <c r="B35" s="51">
        <f>SUMIFS(BASE[EXTENSÃO REAL (km)],BASE[REGIÃO],$A35,BASE[SITUAÇÃO],B$34)</f>
        <v/>
      </c>
      <c r="C35" s="51">
        <f>SUMIFS(BASE[EXTENSÃO REAL (km)],BASE[REGIÃO],$A35,BASE[SITUAÇÃO],C$34)</f>
        <v/>
      </c>
      <c r="D35" s="51">
        <f>SUMIFS(BASE[EXTENSÃO REAL (km)],BASE[REGIÃO],$A35,BASE[SITUAÇÃO],D$34)</f>
        <v/>
      </c>
      <c r="E35" s="51">
        <f>SUMIFS(BASE[EXTENSÃO REAL (km)],BASE[REGIÃO],$A35,BASE[SITUAÇÃO],E$34)</f>
        <v/>
      </c>
      <c r="F35" s="51">
        <f>SUMIFS(BASE[EXTENSÃO REAL (km)],BASE[REGIÃO],$A35,BASE[SITUAÇÃO],F$34)</f>
        <v/>
      </c>
      <c r="G35" s="51">
        <f>SUMIFS(BASE[EXTENSÃO REAL (km)],BASE[REGIÃO],$A35,BASE[SITUAÇÃO],G$34)</f>
        <v/>
      </c>
      <c r="H35" s="52">
        <f>SUM(B35:G35)</f>
        <v/>
      </c>
    </row>
    <row r="36">
      <c r="A36" s="46">
        <f>$A16</f>
        <v/>
      </c>
      <c r="B36" s="51">
        <f>SUMIFS(BASE[EXTENSÃO REAL (km)],BASE[REGIÃO],$A36,BASE[SITUAÇÃO],B$34)</f>
        <v/>
      </c>
      <c r="C36" s="51">
        <f>SUMIFS(BASE[EXTENSÃO REAL (km)],BASE[REGIÃO],$A36,BASE[SITUAÇÃO],C$34)</f>
        <v/>
      </c>
      <c r="D36" s="51">
        <f>SUMIFS(BASE[EXTENSÃO REAL (km)],BASE[REGIÃO],$A36,BASE[SITUAÇÃO],D$34)</f>
        <v/>
      </c>
      <c r="E36" s="51">
        <f>SUMIFS(BASE[EXTENSÃO REAL (km)],BASE[REGIÃO],$A36,BASE[SITUAÇÃO],E$34)</f>
        <v/>
      </c>
      <c r="F36" s="51">
        <f>SUMIFS(BASE[EXTENSÃO REAL (km)],BASE[REGIÃO],$A36,BASE[SITUAÇÃO],F$34)</f>
        <v/>
      </c>
      <c r="G36" s="51">
        <f>SUMIFS(BASE[EXTENSÃO REAL (km)],BASE[REGIÃO],$A36,BASE[SITUAÇÃO],G$34)</f>
        <v/>
      </c>
      <c r="H36" s="52">
        <f>SUM(B36:G36)</f>
        <v/>
      </c>
    </row>
    <row r="37">
      <c r="A37" s="46">
        <f>$A17</f>
        <v/>
      </c>
      <c r="B37" s="51">
        <f>SUMIFS(BASE[EXTENSÃO REAL (km)],BASE[REGIÃO],$A37,BASE[SITUAÇÃO],B$34)</f>
        <v/>
      </c>
      <c r="C37" s="51">
        <f>SUMIFS(BASE[EXTENSÃO REAL (km)],BASE[REGIÃO],$A37,BASE[SITUAÇÃO],C$34)</f>
        <v/>
      </c>
      <c r="D37" s="51">
        <f>SUMIFS(BASE[EXTENSÃO REAL (km)],BASE[REGIÃO],$A37,BASE[SITUAÇÃO],D$34)</f>
        <v/>
      </c>
      <c r="E37" s="51">
        <f>SUMIFS(BASE[EXTENSÃO REAL (km)],BASE[REGIÃO],$A37,BASE[SITUAÇÃO],E$34)</f>
        <v/>
      </c>
      <c r="F37" s="51">
        <f>SUMIFS(BASE[EXTENSÃO REAL (km)],BASE[REGIÃO],$A37,BASE[SITUAÇÃO],F$34)</f>
        <v/>
      </c>
      <c r="G37" s="51">
        <f>SUMIFS(BASE[EXTENSÃO REAL (km)],BASE[REGIÃO],$A37,BASE[SITUAÇÃO],G$34)</f>
        <v/>
      </c>
      <c r="H37" s="52">
        <f>SUM(B37:G37)</f>
        <v/>
      </c>
    </row>
    <row r="38">
      <c r="A38" s="46">
        <f>$A18</f>
        <v/>
      </c>
      <c r="B38" s="51">
        <f>SUMIFS(BASE[EXTENSÃO REAL (km)],BASE[REGIÃO],$A38,BASE[SITUAÇÃO],B$34)</f>
        <v/>
      </c>
      <c r="C38" s="51">
        <f>SUMIFS(BASE[EXTENSÃO REAL (km)],BASE[REGIÃO],$A38,BASE[SITUAÇÃO],C$34)</f>
        <v/>
      </c>
      <c r="D38" s="51">
        <f>SUMIFS(BASE[EXTENSÃO REAL (km)],BASE[REGIÃO],$A38,BASE[SITUAÇÃO],D$34)</f>
        <v/>
      </c>
      <c r="E38" s="51">
        <f>SUMIFS(BASE[EXTENSÃO REAL (km)],BASE[REGIÃO],$A38,BASE[SITUAÇÃO],E$34)</f>
        <v/>
      </c>
      <c r="F38" s="51">
        <f>SUMIFS(BASE[EXTENSÃO REAL (km)],BASE[REGIÃO],$A38,BASE[SITUAÇÃO],F$34)</f>
        <v/>
      </c>
      <c r="G38" s="51">
        <f>SUMIFS(BASE[EXTENSÃO REAL (km)],BASE[REGIÃO],$A38,BASE[SITUAÇÃO],G$34)</f>
        <v/>
      </c>
      <c r="H38" s="52">
        <f>SUM(B38:G38)</f>
        <v/>
      </c>
    </row>
    <row r="39">
      <c r="A39" s="46">
        <f>$A19</f>
        <v/>
      </c>
      <c r="B39" s="51">
        <f>SUMIFS(BASE[EXTENSÃO REAL (km)],BASE[REGIÃO],$A39,BASE[SITUAÇÃO],B$34)</f>
        <v/>
      </c>
      <c r="C39" s="51">
        <f>SUMIFS(BASE[EXTENSÃO REAL (km)],BASE[REGIÃO],$A39,BASE[SITUAÇÃO],C$34)</f>
        <v/>
      </c>
      <c r="D39" s="51">
        <f>SUMIFS(BASE[EXTENSÃO REAL (km)],BASE[REGIÃO],$A39,BASE[SITUAÇÃO],D$34)</f>
        <v/>
      </c>
      <c r="E39" s="51">
        <f>SUMIFS(BASE[EXTENSÃO REAL (km)],BASE[REGIÃO],$A39,BASE[SITUAÇÃO],E$34)</f>
        <v/>
      </c>
      <c r="F39" s="51">
        <f>SUMIFS(BASE[EXTENSÃO REAL (km)],BASE[REGIÃO],$A39,BASE[SITUAÇÃO],F$34)</f>
        <v/>
      </c>
      <c r="G39" s="51">
        <f>SUMIFS(BASE[EXTENSÃO REAL (km)],BASE[REGIÃO],$A39,BASE[SITUAÇÃO],G$34)</f>
        <v/>
      </c>
      <c r="H39" s="52">
        <f>SUM(B39:G39)</f>
        <v/>
      </c>
    </row>
    <row r="40" ht="13.5" customHeight="1" thickBot="1">
      <c r="A40" s="56">
        <f>$A20</f>
        <v/>
      </c>
      <c r="B40" s="59">
        <f>SUMIFS(BASE[EXTENSÃO REAL (km)],BASE[REGIÃO],$A40,BASE[SITUAÇÃO],B$34)</f>
        <v/>
      </c>
      <c r="C40" s="59">
        <f>SUMIFS(BASE[EXTENSÃO REAL (km)],BASE[REGIÃO],$A40,BASE[SITUAÇÃO],C$34)</f>
        <v/>
      </c>
      <c r="D40" s="59">
        <f>SUMIFS(BASE[EXTENSÃO REAL (km)],BASE[REGIÃO],$A40,BASE[SITUAÇÃO],D$34)</f>
        <v/>
      </c>
      <c r="E40" s="59">
        <f>SUMIFS(BASE[EXTENSÃO REAL (km)],BASE[REGIÃO],$A40,BASE[SITUAÇÃO],E$34)</f>
        <v/>
      </c>
      <c r="F40" s="59">
        <f>SUMIFS(BASE[EXTENSÃO REAL (km)],BASE[REGIÃO],$A40,BASE[SITUAÇÃO],F$34)</f>
        <v/>
      </c>
      <c r="G40" s="59">
        <f>SUMIFS(BASE[EXTENSÃO REAL (km)],BASE[REGIÃO],$A40,BASE[SITUAÇÃO],G$34)</f>
        <v/>
      </c>
      <c r="H40" s="68">
        <f>SUM(B40:G40)</f>
        <v/>
      </c>
    </row>
    <row r="41">
      <c r="A41" s="61" t="inlineStr">
        <is>
          <t>TOTAL</t>
        </is>
      </c>
      <c r="B41" s="64">
        <f>SUM(B35:B40)</f>
        <v/>
      </c>
      <c r="C41" s="64">
        <f>SUM(C35:C40)</f>
        <v/>
      </c>
      <c r="D41" s="64">
        <f>SUM(D35:D40)</f>
        <v/>
      </c>
      <c r="E41" s="64">
        <f>SUM(E35:E40)</f>
        <v/>
      </c>
      <c r="F41" s="64">
        <f>SUM(F35:F40)</f>
        <v/>
      </c>
      <c r="G41" s="64">
        <f>SUM(G35:G40)</f>
        <v/>
      </c>
      <c r="H41" s="64">
        <f>SUM(H35:H40)</f>
        <v/>
      </c>
    </row>
    <row r="42">
      <c r="B42" s="39" t="n"/>
      <c r="C42" s="39" t="n"/>
      <c r="D42" s="39" t="n"/>
      <c r="E42" s="39" t="n"/>
      <c r="F42" s="39" t="n"/>
      <c r="G42" s="39" t="n"/>
      <c r="H42" s="39" t="n"/>
    </row>
    <row r="43" ht="20.1" customHeight="1" thickBot="1">
      <c r="A43" s="42" t="inlineStr">
        <is>
          <t>5. POR RODOVIA</t>
        </is>
      </c>
      <c r="B43" s="42" t="n"/>
      <c r="C43" s="42" t="n"/>
      <c r="D43" s="42" t="n"/>
      <c r="E43" s="42" t="n"/>
      <c r="F43" s="41" t="n"/>
      <c r="G43" s="41" t="n"/>
      <c r="H43" s="41" t="n"/>
    </row>
    <row r="44" outlineLevel="1" ht="18" customHeight="1">
      <c r="A44" s="45" t="inlineStr">
        <is>
          <t>RODOVIA</t>
        </is>
      </c>
      <c r="B44" s="45" t="inlineStr">
        <is>
          <t>SEGMENTOS</t>
        </is>
      </c>
      <c r="C44" s="45" t="inlineStr">
        <is>
          <t>EXTENSÃO (km)</t>
        </is>
      </c>
      <c r="D44" s="45" t="inlineStr">
        <is>
          <t>% DA REDE</t>
        </is>
      </c>
      <c r="E44" s="45" t="inlineStr">
        <is>
          <t>RANKING (km)</t>
        </is>
      </c>
    </row>
    <row r="45" hidden="1" outlineLevel="1">
      <c r="A45" s="49" t="inlineStr">
        <is>
          <t>ACESSO</t>
        </is>
      </c>
      <c r="B45" s="54">
        <f>COUNTIFS(BASE[RODOVIA],$A45)</f>
        <v/>
      </c>
      <c r="C45" s="53">
        <f>SUMIFS(BASE[EXTENSÃO REAL (km)],BASE[RODOVIA],$A45)</f>
        <v/>
      </c>
      <c r="D45" s="48">
        <f>C45/$B$6</f>
        <v/>
      </c>
      <c r="E45" s="55">
        <f>RANK(C45,$C$45:$C$114)</f>
        <v/>
      </c>
    </row>
    <row r="46" hidden="1" outlineLevel="1">
      <c r="A46" s="49" t="inlineStr">
        <is>
          <t>TO-010</t>
        </is>
      </c>
      <c r="B46" s="54">
        <f>COUNTIFS(BASE[RODOVIA],$A46)</f>
        <v/>
      </c>
      <c r="C46" s="53">
        <f>SUMIFS(BASE[EXTENSÃO REAL (km)],BASE[RODOVIA],$A46)</f>
        <v/>
      </c>
      <c r="D46" s="48">
        <f>C46/$B$6</f>
        <v/>
      </c>
      <c r="E46" s="55">
        <f>RANK(C46,$C$45:$C$114)</f>
        <v/>
      </c>
    </row>
    <row r="47" hidden="1" outlineLevel="1">
      <c r="A47" s="49" t="inlineStr">
        <is>
          <t>TO-020</t>
        </is>
      </c>
      <c r="B47" s="54">
        <f>COUNTIFS(BASE[RODOVIA],$A47)</f>
        <v/>
      </c>
      <c r="C47" s="53">
        <f>SUMIFS(BASE[EXTENSÃO REAL (km)],BASE[RODOVIA],$A47)</f>
        <v/>
      </c>
      <c r="D47" s="48">
        <f>C47/$B$6</f>
        <v/>
      </c>
      <c r="E47" s="55">
        <f>RANK(C47,$C$45:$C$114)</f>
        <v/>
      </c>
    </row>
    <row r="48" hidden="1" outlineLevel="1">
      <c r="A48" s="49" t="inlineStr">
        <is>
          <t>TO-040</t>
        </is>
      </c>
      <c r="B48" s="54">
        <f>COUNTIFS(BASE[RODOVIA],$A48)</f>
        <v/>
      </c>
      <c r="C48" s="53">
        <f>SUMIFS(BASE[EXTENSÃO REAL (km)],BASE[RODOVIA],$A48)</f>
        <v/>
      </c>
      <c r="D48" s="48">
        <f>C48/$B$6</f>
        <v/>
      </c>
      <c r="E48" s="55">
        <f>RANK(C48,$C$45:$C$114)</f>
        <v/>
      </c>
    </row>
    <row r="49" hidden="1" outlineLevel="1">
      <c r="A49" s="49" t="inlineStr">
        <is>
          <t>TO-050</t>
        </is>
      </c>
      <c r="B49" s="54">
        <f>COUNTIFS(BASE[RODOVIA],$A49)</f>
        <v/>
      </c>
      <c r="C49" s="53">
        <f>SUMIFS(BASE[EXTENSÃO REAL (km)],BASE[RODOVIA],$A49)</f>
        <v/>
      </c>
      <c r="D49" s="48">
        <f>C49/$B$6</f>
        <v/>
      </c>
      <c r="E49" s="55">
        <f>RANK(C49,$C$45:$C$114)</f>
        <v/>
      </c>
    </row>
    <row r="50" hidden="1" outlineLevel="1">
      <c r="A50" s="49" t="inlineStr">
        <is>
          <t>TO-070</t>
        </is>
      </c>
      <c r="B50" s="54">
        <f>COUNTIFS(BASE[RODOVIA],$A50)</f>
        <v/>
      </c>
      <c r="C50" s="53">
        <f>SUMIFS(BASE[EXTENSÃO REAL (km)],BASE[RODOVIA],$A50)</f>
        <v/>
      </c>
      <c r="D50" s="48">
        <f>C50/$B$6</f>
        <v/>
      </c>
      <c r="E50" s="55">
        <f>RANK(C50,$C$45:$C$114)</f>
        <v/>
      </c>
    </row>
    <row r="51" hidden="1" outlineLevel="1">
      <c r="A51" s="49" t="inlineStr">
        <is>
          <t>TO-110</t>
        </is>
      </c>
      <c r="B51" s="54">
        <f>COUNTIFS(BASE[RODOVIA],$A51)</f>
        <v/>
      </c>
      <c r="C51" s="53">
        <f>SUMIFS(BASE[EXTENSÃO REAL (km)],BASE[RODOVIA],$A51)</f>
        <v/>
      </c>
      <c r="D51" s="48">
        <f>C51/$B$6</f>
        <v/>
      </c>
      <c r="E51" s="55">
        <f>RANK(C51,$C$45:$C$114)</f>
        <v/>
      </c>
    </row>
    <row r="52" hidden="1" outlineLevel="1">
      <c r="A52" s="49" t="inlineStr">
        <is>
          <t>TO-126</t>
        </is>
      </c>
      <c r="B52" s="54">
        <f>COUNTIFS(BASE[RODOVIA],$A52)</f>
        <v/>
      </c>
      <c r="C52" s="53">
        <f>SUMIFS(BASE[EXTENSÃO REAL (km)],BASE[RODOVIA],$A52)</f>
        <v/>
      </c>
      <c r="D52" s="48">
        <f>C52/$B$6</f>
        <v/>
      </c>
      <c r="E52" s="55">
        <f>RANK(C52,$C$45:$C$114)</f>
        <v/>
      </c>
    </row>
    <row r="53" hidden="1" outlineLevel="1">
      <c r="A53" s="49" t="inlineStr">
        <is>
          <t>TO-130</t>
        </is>
      </c>
      <c r="B53" s="54">
        <f>COUNTIFS(BASE[RODOVIA],$A53)</f>
        <v/>
      </c>
      <c r="C53" s="53">
        <f>SUMIFS(BASE[EXTENSÃO REAL (km)],BASE[RODOVIA],$A53)</f>
        <v/>
      </c>
      <c r="D53" s="48">
        <f>C53/$B$6</f>
        <v/>
      </c>
      <c r="E53" s="55">
        <f>RANK(C53,$C$45:$C$114)</f>
        <v/>
      </c>
    </row>
    <row r="54" hidden="1" outlineLevel="1">
      <c r="A54" s="49" t="inlineStr">
        <is>
          <t>TO-134</t>
        </is>
      </c>
      <c r="B54" s="54">
        <f>COUNTIFS(BASE[RODOVIA],$A54)</f>
        <v/>
      </c>
      <c r="C54" s="53">
        <f>SUMIFS(BASE[EXTENSÃO REAL (km)],BASE[RODOVIA],$A54)</f>
        <v/>
      </c>
      <c r="D54" s="48">
        <f>C54/$B$6</f>
        <v/>
      </c>
      <c r="E54" s="55">
        <f>RANK(C54,$C$45:$C$114)</f>
        <v/>
      </c>
    </row>
    <row r="55" hidden="1" outlineLevel="1">
      <c r="A55" s="49" t="inlineStr">
        <is>
          <t>TO-141</t>
        </is>
      </c>
      <c r="B55" s="54">
        <f>COUNTIFS(BASE[RODOVIA],$A55)</f>
        <v/>
      </c>
      <c r="C55" s="53">
        <f>SUMIFS(BASE[EXTENSÃO REAL (km)],BASE[RODOVIA],$A55)</f>
        <v/>
      </c>
      <c r="D55" s="48">
        <f>C55/$B$6</f>
        <v/>
      </c>
      <c r="E55" s="55">
        <f>RANK(C55,$C$45:$C$114)</f>
        <v/>
      </c>
    </row>
    <row r="56" hidden="1" outlineLevel="1">
      <c r="A56" s="49" t="inlineStr">
        <is>
          <t>TO-164</t>
        </is>
      </c>
      <c r="B56" s="54">
        <f>COUNTIFS(BASE[RODOVIA],$A56)</f>
        <v/>
      </c>
      <c r="C56" s="53">
        <f>SUMIFS(BASE[EXTENSÃO REAL (km)],BASE[RODOVIA],$A56)</f>
        <v/>
      </c>
      <c r="D56" s="48">
        <f>C56/$B$6</f>
        <v/>
      </c>
      <c r="E56" s="55">
        <f>RANK(C56,$C$45:$C$114)</f>
        <v/>
      </c>
    </row>
    <row r="57" hidden="1" outlineLevel="1">
      <c r="A57" s="49" t="inlineStr">
        <is>
          <t>TO-165</t>
        </is>
      </c>
      <c r="B57" s="54">
        <f>COUNTIFS(BASE[RODOVIA],$A57)</f>
        <v/>
      </c>
      <c r="C57" s="53">
        <f>SUMIFS(BASE[EXTENSÃO REAL (km)],BASE[RODOVIA],$A57)</f>
        <v/>
      </c>
      <c r="D57" s="48">
        <f>C57/$B$6</f>
        <v/>
      </c>
      <c r="E57" s="55">
        <f>RANK(C57,$C$45:$C$114)</f>
        <v/>
      </c>
    </row>
    <row r="58" hidden="1" outlineLevel="1">
      <c r="A58" s="49" t="inlineStr">
        <is>
          <t>TO-166</t>
        </is>
      </c>
      <c r="B58" s="54">
        <f>COUNTIFS(BASE[RODOVIA],$A58)</f>
        <v/>
      </c>
      <c r="C58" s="53">
        <f>SUMIFS(BASE[EXTENSÃO REAL (km)],BASE[RODOVIA],$A58)</f>
        <v/>
      </c>
      <c r="D58" s="48">
        <f>C58/$B$6</f>
        <v/>
      </c>
      <c r="E58" s="55">
        <f>RANK(C58,$C$45:$C$114)</f>
        <v/>
      </c>
    </row>
    <row r="59" hidden="1" outlineLevel="1">
      <c r="A59" s="49" t="inlineStr">
        <is>
          <t>TO-181</t>
        </is>
      </c>
      <c r="B59" s="54">
        <f>COUNTIFS(BASE[RODOVIA],$A59)</f>
        <v/>
      </c>
      <c r="C59" s="53">
        <f>SUMIFS(BASE[EXTENSÃO REAL (km)],BASE[RODOVIA],$A59)</f>
        <v/>
      </c>
      <c r="D59" s="48">
        <f>C59/$B$6</f>
        <v/>
      </c>
      <c r="E59" s="55">
        <f>RANK(C59,$C$45:$C$114)</f>
        <v/>
      </c>
    </row>
    <row r="60" hidden="1" outlineLevel="1">
      <c r="A60" s="49" t="inlineStr">
        <is>
          <t>TO-201</t>
        </is>
      </c>
      <c r="B60" s="54">
        <f>COUNTIFS(BASE[RODOVIA],$A60)</f>
        <v/>
      </c>
      <c r="C60" s="53">
        <f>SUMIFS(BASE[EXTENSÃO REAL (km)],BASE[RODOVIA],$A60)</f>
        <v/>
      </c>
      <c r="D60" s="48">
        <f>C60/$B$6</f>
        <v/>
      </c>
      <c r="E60" s="55">
        <f>RANK(C60,$C$45:$C$114)</f>
        <v/>
      </c>
    </row>
    <row r="61" hidden="1" outlineLevel="1">
      <c r="A61" s="49" t="inlineStr">
        <is>
          <t>TO-205</t>
        </is>
      </c>
      <c r="B61" s="54">
        <f>COUNTIFS(BASE[RODOVIA],$A61)</f>
        <v/>
      </c>
      <c r="C61" s="53">
        <f>SUMIFS(BASE[EXTENSÃO REAL (km)],BASE[RODOVIA],$A61)</f>
        <v/>
      </c>
      <c r="D61" s="48">
        <f>C61/$B$6</f>
        <v/>
      </c>
      <c r="E61" s="55">
        <f>RANK(C61,$C$45:$C$114)</f>
        <v/>
      </c>
    </row>
    <row r="62" hidden="1" outlineLevel="1">
      <c r="A62" s="49" t="inlineStr">
        <is>
          <t>TO-210</t>
        </is>
      </c>
      <c r="B62" s="54">
        <f>COUNTIFS(BASE[RODOVIA],$A62)</f>
        <v/>
      </c>
      <c r="C62" s="53">
        <f>SUMIFS(BASE[EXTENSÃO REAL (km)],BASE[RODOVIA],$A62)</f>
        <v/>
      </c>
      <c r="D62" s="48">
        <f>C62/$B$6</f>
        <v/>
      </c>
      <c r="E62" s="55">
        <f>RANK(C62,$C$45:$C$114)</f>
        <v/>
      </c>
    </row>
    <row r="63" hidden="1" outlineLevel="1">
      <c r="A63" s="49" t="inlineStr">
        <is>
          <t>TO-222</t>
        </is>
      </c>
      <c r="B63" s="54">
        <f>COUNTIFS(BASE[RODOVIA],$A63)</f>
        <v/>
      </c>
      <c r="C63" s="53">
        <f>SUMIFS(BASE[EXTENSÃO REAL (km)],BASE[RODOVIA],$A63)</f>
        <v/>
      </c>
      <c r="D63" s="48">
        <f>C63/$B$6</f>
        <v/>
      </c>
      <c r="E63" s="55">
        <f>RANK(C63,$C$45:$C$114)</f>
        <v/>
      </c>
    </row>
    <row r="64" hidden="1" outlineLevel="1">
      <c r="A64" s="49" t="inlineStr">
        <is>
          <t>TO-226</t>
        </is>
      </c>
      <c r="B64" s="54">
        <f>COUNTIFS(BASE[RODOVIA],$A64)</f>
        <v/>
      </c>
      <c r="C64" s="53">
        <f>SUMIFS(BASE[EXTENSÃO REAL (km)],BASE[RODOVIA],$A64)</f>
        <v/>
      </c>
      <c r="D64" s="48">
        <f>C64/$B$6</f>
        <v/>
      </c>
      <c r="E64" s="55">
        <f>RANK(C64,$C$45:$C$114)</f>
        <v/>
      </c>
    </row>
    <row r="65" hidden="1" outlineLevel="1">
      <c r="A65" s="49" t="inlineStr">
        <is>
          <t>TO-230</t>
        </is>
      </c>
      <c r="B65" s="54">
        <f>COUNTIFS(BASE[RODOVIA],$A65)</f>
        <v/>
      </c>
      <c r="C65" s="53">
        <f>SUMIFS(BASE[EXTENSÃO REAL (km)],BASE[RODOVIA],$A65)</f>
        <v/>
      </c>
      <c r="D65" s="48">
        <f>C65/$B$6</f>
        <v/>
      </c>
      <c r="E65" s="55">
        <f>RANK(C65,$C$45:$C$114)</f>
        <v/>
      </c>
    </row>
    <row r="66" hidden="1" outlineLevel="1">
      <c r="A66" s="49" t="inlineStr">
        <is>
          <t>TO-280</t>
        </is>
      </c>
      <c r="B66" s="54">
        <f>COUNTIFS(BASE[RODOVIA],$A66)</f>
        <v/>
      </c>
      <c r="C66" s="53">
        <f>SUMIFS(BASE[EXTENSÃO REAL (km)],BASE[RODOVIA],$A66)</f>
        <v/>
      </c>
      <c r="D66" s="48">
        <f>C66/$B$6</f>
        <v/>
      </c>
      <c r="E66" s="55">
        <f>RANK(C66,$C$45:$C$114)</f>
        <v/>
      </c>
    </row>
    <row r="67" hidden="1" outlineLevel="1">
      <c r="A67" s="49" t="inlineStr">
        <is>
          <t>TO-296</t>
        </is>
      </c>
      <c r="B67" s="54">
        <f>COUNTIFS(BASE[RODOVIA],$A67)</f>
        <v/>
      </c>
      <c r="C67" s="53">
        <f>SUMIFS(BASE[EXTENSÃO REAL (km)],BASE[RODOVIA],$A67)</f>
        <v/>
      </c>
      <c r="D67" s="48">
        <f>C67/$B$6</f>
        <v/>
      </c>
      <c r="E67" s="55">
        <f>RANK(C67,$C$45:$C$114)</f>
        <v/>
      </c>
    </row>
    <row r="68" hidden="1" outlineLevel="1">
      <c r="A68" s="49" t="inlineStr">
        <is>
          <t>TO-362</t>
        </is>
      </c>
      <c r="B68" s="54">
        <f>COUNTIFS(BASE[RODOVIA],$A68)</f>
        <v/>
      </c>
      <c r="C68" s="53">
        <f>SUMIFS(BASE[EXTENSÃO REAL (km)],BASE[RODOVIA],$A68)</f>
        <v/>
      </c>
      <c r="D68" s="48">
        <f>C68/$B$6</f>
        <v/>
      </c>
      <c r="E68" s="55">
        <f>RANK(C68,$C$45:$C$114)</f>
        <v/>
      </c>
    </row>
    <row r="69" hidden="1" outlineLevel="1">
      <c r="A69" s="49" t="inlineStr">
        <is>
          <t>TO-365</t>
        </is>
      </c>
      <c r="B69" s="54">
        <f>COUNTIFS(BASE[RODOVIA],$A69)</f>
        <v/>
      </c>
      <c r="C69" s="53">
        <f>SUMIFS(BASE[EXTENSÃO REAL (km)],BASE[RODOVIA],$A69)</f>
        <v/>
      </c>
      <c r="D69" s="48">
        <f>C69/$B$6</f>
        <v/>
      </c>
      <c r="E69" s="55">
        <f>RANK(C69,$C$45:$C$114)</f>
        <v/>
      </c>
    </row>
    <row r="70" hidden="1" outlineLevel="1">
      <c r="A70" s="49" t="inlineStr">
        <is>
          <t>TO-369</t>
        </is>
      </c>
      <c r="B70" s="54">
        <f>COUNTIFS(BASE[RODOVIA],$A70)</f>
        <v/>
      </c>
      <c r="C70" s="53">
        <f>SUMIFS(BASE[EXTENSÃO REAL (km)],BASE[RODOVIA],$A70)</f>
        <v/>
      </c>
      <c r="D70" s="48">
        <f>C70/$B$6</f>
        <v/>
      </c>
      <c r="E70" s="55">
        <f>RANK(C70,$C$45:$C$114)</f>
        <v/>
      </c>
    </row>
    <row r="71" hidden="1" outlineLevel="1">
      <c r="A71" s="49" t="inlineStr">
        <is>
          <t>TO-373</t>
        </is>
      </c>
      <c r="B71" s="54">
        <f>COUNTIFS(BASE[RODOVIA],$A71)</f>
        <v/>
      </c>
      <c r="C71" s="53">
        <f>SUMIFS(BASE[EXTENSÃO REAL (km)],BASE[RODOVIA],$A71)</f>
        <v/>
      </c>
      <c r="D71" s="48">
        <f>C71/$B$6</f>
        <v/>
      </c>
      <c r="E71" s="55">
        <f>RANK(C71,$C$45:$C$114)</f>
        <v/>
      </c>
    </row>
    <row r="72" hidden="1" outlineLevel="1">
      <c r="A72" s="49" t="inlineStr">
        <is>
          <t>TO-374</t>
        </is>
      </c>
      <c r="B72" s="54">
        <f>COUNTIFS(BASE[RODOVIA],$A72)</f>
        <v/>
      </c>
      <c r="C72" s="53">
        <f>SUMIFS(BASE[EXTENSÃO REAL (km)],BASE[RODOVIA],$A72)</f>
        <v/>
      </c>
      <c r="D72" s="48">
        <f>C72/$B$6</f>
        <v/>
      </c>
      <c r="E72" s="55">
        <f>RANK(C72,$C$45:$C$114)</f>
        <v/>
      </c>
    </row>
    <row r="73" hidden="1" outlineLevel="1">
      <c r="A73" s="49" t="inlineStr">
        <is>
          <t>TO-387</t>
        </is>
      </c>
      <c r="B73" s="54">
        <f>COUNTIFS(BASE[RODOVIA],$A73)</f>
        <v/>
      </c>
      <c r="C73" s="53">
        <f>SUMIFS(BASE[EXTENSÃO REAL (km)],BASE[RODOVIA],$A73)</f>
        <v/>
      </c>
      <c r="D73" s="48">
        <f>C73/$B$6</f>
        <v/>
      </c>
      <c r="E73" s="55">
        <f>RANK(C73,$C$45:$C$114)</f>
        <v/>
      </c>
    </row>
    <row r="74" hidden="1" outlineLevel="1">
      <c r="A74" s="49" t="inlineStr">
        <is>
          <t>TO-402</t>
        </is>
      </c>
      <c r="B74" s="54">
        <f>COUNTIFS(BASE[RODOVIA],$A74)</f>
        <v/>
      </c>
      <c r="C74" s="53">
        <f>SUMIFS(BASE[EXTENSÃO REAL (km)],BASE[RODOVIA],$A74)</f>
        <v/>
      </c>
      <c r="D74" s="48">
        <f>C74/$B$6</f>
        <v/>
      </c>
      <c r="E74" s="55">
        <f>RANK(C74,$C$45:$C$114)</f>
        <v/>
      </c>
    </row>
    <row r="75" hidden="1" outlineLevel="1">
      <c r="A75" s="49" t="inlineStr">
        <is>
          <t>TO-403</t>
        </is>
      </c>
      <c r="B75" s="54">
        <f>COUNTIFS(BASE[RODOVIA],$A75)</f>
        <v/>
      </c>
      <c r="C75" s="53">
        <f>SUMIFS(BASE[EXTENSÃO REAL (km)],BASE[RODOVIA],$A75)</f>
        <v/>
      </c>
      <c r="D75" s="48">
        <f>C75/$B$6</f>
        <v/>
      </c>
      <c r="E75" s="55">
        <f>RANK(C75,$C$45:$C$114)</f>
        <v/>
      </c>
    </row>
    <row r="76" hidden="1" outlineLevel="1">
      <c r="A76" s="49" t="inlineStr">
        <is>
          <t>TO-404</t>
        </is>
      </c>
      <c r="B76" s="54">
        <f>COUNTIFS(BASE[RODOVIA],$A76)</f>
        <v/>
      </c>
      <c r="C76" s="53">
        <f>SUMIFS(BASE[EXTENSÃO REAL (km)],BASE[RODOVIA],$A76)</f>
        <v/>
      </c>
      <c r="D76" s="48">
        <f>C76/$B$6</f>
        <v/>
      </c>
      <c r="E76" s="55">
        <f>RANK(C76,$C$45:$C$114)</f>
        <v/>
      </c>
    </row>
    <row r="77" hidden="1" outlineLevel="1">
      <c r="A77" s="49" t="inlineStr">
        <is>
          <t>TO-405</t>
        </is>
      </c>
      <c r="B77" s="54">
        <f>COUNTIFS(BASE[RODOVIA],$A77)</f>
        <v/>
      </c>
      <c r="C77" s="53">
        <f>SUMIFS(BASE[EXTENSÃO REAL (km)],BASE[RODOVIA],$A77)</f>
        <v/>
      </c>
      <c r="D77" s="48">
        <f>C77/$B$6</f>
        <v/>
      </c>
      <c r="E77" s="55">
        <f>RANK(C77,$C$45:$C$114)</f>
        <v/>
      </c>
    </row>
    <row r="78" hidden="1" outlineLevel="1">
      <c r="A78" s="49" t="inlineStr">
        <is>
          <t>TO-407</t>
        </is>
      </c>
      <c r="B78" s="54">
        <f>COUNTIFS(BASE[RODOVIA],$A78)</f>
        <v/>
      </c>
      <c r="C78" s="53">
        <f>SUMIFS(BASE[EXTENSÃO REAL (km)],BASE[RODOVIA],$A78)</f>
        <v/>
      </c>
      <c r="D78" s="48">
        <f>C78/$B$6</f>
        <v/>
      </c>
      <c r="E78" s="55">
        <f>RANK(C78,$C$45:$C$114)</f>
        <v/>
      </c>
    </row>
    <row r="79" hidden="1" outlineLevel="1">
      <c r="A79" s="49" t="inlineStr">
        <is>
          <t>TO-409</t>
        </is>
      </c>
      <c r="B79" s="54">
        <f>COUNTIFS(BASE[RODOVIA],$A79)</f>
        <v/>
      </c>
      <c r="C79" s="53">
        <f>SUMIFS(BASE[EXTENSÃO REAL (km)],BASE[RODOVIA],$A79)</f>
        <v/>
      </c>
      <c r="D79" s="48">
        <f>C79/$B$6</f>
        <v/>
      </c>
      <c r="E79" s="55">
        <f>RANK(C79,$C$45:$C$114)</f>
        <v/>
      </c>
    </row>
    <row r="80" hidden="1" outlineLevel="1">
      <c r="A80" s="49" t="inlineStr">
        <is>
          <t>TO-414</t>
        </is>
      </c>
      <c r="B80" s="54">
        <f>COUNTIFS(BASE[RODOVIA],$A80)</f>
        <v/>
      </c>
      <c r="C80" s="53">
        <f>SUMIFS(BASE[EXTENSÃO REAL (km)],BASE[RODOVIA],$A80)</f>
        <v/>
      </c>
      <c r="D80" s="48">
        <f>C80/$B$6</f>
        <v/>
      </c>
      <c r="E80" s="55">
        <f>RANK(C80,$C$45:$C$114)</f>
        <v/>
      </c>
    </row>
    <row r="81" hidden="1" outlineLevel="1">
      <c r="A81" s="49" t="inlineStr">
        <is>
          <t>TO-415</t>
        </is>
      </c>
      <c r="B81" s="54">
        <f>COUNTIFS(BASE[RODOVIA],$A81)</f>
        <v/>
      </c>
      <c r="C81" s="53">
        <f>SUMIFS(BASE[EXTENSÃO REAL (km)],BASE[RODOVIA],$A81)</f>
        <v/>
      </c>
      <c r="D81" s="48">
        <f>C81/$B$6</f>
        <v/>
      </c>
      <c r="E81" s="55">
        <f>RANK(C81,$C$45:$C$114)</f>
        <v/>
      </c>
    </row>
    <row r="82" hidden="1" outlineLevel="1">
      <c r="A82" s="49" t="inlineStr">
        <is>
          <t>TO-416</t>
        </is>
      </c>
      <c r="B82" s="54">
        <f>COUNTIFS(BASE[RODOVIA],$A82)</f>
        <v/>
      </c>
      <c r="C82" s="53">
        <f>SUMIFS(BASE[EXTENSÃO REAL (km)],BASE[RODOVIA],$A82)</f>
        <v/>
      </c>
      <c r="D82" s="48">
        <f>C82/$B$6</f>
        <v/>
      </c>
      <c r="E82" s="55">
        <f>RANK(C82,$C$45:$C$114)</f>
        <v/>
      </c>
    </row>
    <row r="83" hidden="1" outlineLevel="1">
      <c r="A83" s="49" t="inlineStr">
        <is>
          <t>TO-418</t>
        </is>
      </c>
      <c r="B83" s="54">
        <f>COUNTIFS(BASE[RODOVIA],$A83)</f>
        <v/>
      </c>
      <c r="C83" s="53">
        <f>SUMIFS(BASE[EXTENSÃO REAL (km)],BASE[RODOVIA],$A83)</f>
        <v/>
      </c>
      <c r="D83" s="48">
        <f>C83/$B$6</f>
        <v/>
      </c>
      <c r="E83" s="55">
        <f>RANK(C83,$C$45:$C$114)</f>
        <v/>
      </c>
    </row>
    <row r="84" hidden="1" outlineLevel="1">
      <c r="A84" s="49" t="inlineStr">
        <is>
          <t>TO-419</t>
        </is>
      </c>
      <c r="B84" s="54">
        <f>COUNTIFS(BASE[RODOVIA],$A84)</f>
        <v/>
      </c>
      <c r="C84" s="53">
        <f>SUMIFS(BASE[EXTENSÃO REAL (km)],BASE[RODOVIA],$A84)</f>
        <v/>
      </c>
      <c r="D84" s="48">
        <f>C84/$B$6</f>
        <v/>
      </c>
      <c r="E84" s="55">
        <f>RANK(C84,$C$45:$C$114)</f>
        <v/>
      </c>
    </row>
    <row r="85" hidden="1" outlineLevel="1">
      <c r="A85" s="49" t="inlineStr">
        <is>
          <t>TO-420</t>
        </is>
      </c>
      <c r="B85" s="54">
        <f>COUNTIFS(BASE[RODOVIA],$A85)</f>
        <v/>
      </c>
      <c r="C85" s="53">
        <f>SUMIFS(BASE[EXTENSÃO REAL (km)],BASE[RODOVIA],$A85)</f>
        <v/>
      </c>
      <c r="D85" s="48">
        <f>C85/$B$6</f>
        <v/>
      </c>
      <c r="E85" s="55">
        <f>RANK(C85,$C$45:$C$114)</f>
        <v/>
      </c>
    </row>
    <row r="86" hidden="1" outlineLevel="1">
      <c r="A86" s="49" t="inlineStr">
        <is>
          <t>TO-421</t>
        </is>
      </c>
      <c r="B86" s="54">
        <f>COUNTIFS(BASE[RODOVIA],$A86)</f>
        <v/>
      </c>
      <c r="C86" s="53">
        <f>SUMIFS(BASE[EXTENSÃO REAL (km)],BASE[RODOVIA],$A86)</f>
        <v/>
      </c>
      <c r="D86" s="48">
        <f>C86/$B$6</f>
        <v/>
      </c>
      <c r="E86" s="55">
        <f>RANK(C86,$C$45:$C$114)</f>
        <v/>
      </c>
    </row>
    <row r="87" hidden="1" outlineLevel="1">
      <c r="A87" s="49" t="inlineStr">
        <is>
          <t>TO-422</t>
        </is>
      </c>
      <c r="B87" s="54">
        <f>COUNTIFS(BASE[RODOVIA],$A87)</f>
        <v/>
      </c>
      <c r="C87" s="53">
        <f>SUMIFS(BASE[EXTENSÃO REAL (km)],BASE[RODOVIA],$A87)</f>
        <v/>
      </c>
      <c r="D87" s="48">
        <f>C87/$B$6</f>
        <v/>
      </c>
      <c r="E87" s="55">
        <f>RANK(C87,$C$45:$C$114)</f>
        <v/>
      </c>
    </row>
    <row r="88" hidden="1" outlineLevel="1">
      <c r="A88" s="49" t="inlineStr">
        <is>
          <t>TO-423</t>
        </is>
      </c>
      <c r="B88" s="54">
        <f>COUNTIFS(BASE[RODOVIA],$A88)</f>
        <v/>
      </c>
      <c r="C88" s="53">
        <f>SUMIFS(BASE[EXTENSÃO REAL (km)],BASE[RODOVIA],$A88)</f>
        <v/>
      </c>
      <c r="D88" s="48">
        <f>C88/$B$6</f>
        <v/>
      </c>
      <c r="E88" s="55">
        <f>RANK(C88,$C$45:$C$114)</f>
        <v/>
      </c>
    </row>
    <row r="89" hidden="1" outlineLevel="1">
      <c r="A89" s="49" t="inlineStr">
        <is>
          <t>TO-424</t>
        </is>
      </c>
      <c r="B89" s="54">
        <f>COUNTIFS(BASE[RODOVIA],$A89)</f>
        <v/>
      </c>
      <c r="C89" s="53">
        <f>SUMIFS(BASE[EXTENSÃO REAL (km)],BASE[RODOVIA],$A89)</f>
        <v/>
      </c>
      <c r="D89" s="48">
        <f>C89/$B$6</f>
        <v/>
      </c>
      <c r="E89" s="55">
        <f>RANK(C89,$C$45:$C$114)</f>
        <v/>
      </c>
    </row>
    <row r="90" hidden="1" outlineLevel="1">
      <c r="A90" s="49" t="inlineStr">
        <is>
          <t>TO-425</t>
        </is>
      </c>
      <c r="B90" s="54">
        <f>COUNTIFS(BASE[RODOVIA],$A90)</f>
        <v/>
      </c>
      <c r="C90" s="53">
        <f>SUMIFS(BASE[EXTENSÃO REAL (km)],BASE[RODOVIA],$A90)</f>
        <v/>
      </c>
      <c r="D90" s="48">
        <f>C90/$B$6</f>
        <v/>
      </c>
      <c r="E90" s="55">
        <f>RANK(C90,$C$45:$C$114)</f>
        <v/>
      </c>
    </row>
    <row r="91" hidden="1" outlineLevel="1">
      <c r="A91" s="49" t="inlineStr">
        <is>
          <t>TO-426</t>
        </is>
      </c>
      <c r="B91" s="54">
        <f>COUNTIFS(BASE[RODOVIA],$A91)</f>
        <v/>
      </c>
      <c r="C91" s="53">
        <f>SUMIFS(BASE[EXTENSÃO REAL (km)],BASE[RODOVIA],$A91)</f>
        <v/>
      </c>
      <c r="D91" s="48">
        <f>C91/$B$6</f>
        <v/>
      </c>
      <c r="E91" s="55">
        <f>RANK(C91,$C$45:$C$114)</f>
        <v/>
      </c>
    </row>
    <row r="92" hidden="1" outlineLevel="1">
      <c r="A92" s="49" t="inlineStr">
        <is>
          <t>TO-427</t>
        </is>
      </c>
      <c r="B92" s="54">
        <f>COUNTIFS(BASE[RODOVIA],$A92)</f>
        <v/>
      </c>
      <c r="C92" s="53">
        <f>SUMIFS(BASE[EXTENSÃO REAL (km)],BASE[RODOVIA],$A92)</f>
        <v/>
      </c>
      <c r="D92" s="48">
        <f>C92/$B$6</f>
        <v/>
      </c>
      <c r="E92" s="55">
        <f>RANK(C92,$C$45:$C$114)</f>
        <v/>
      </c>
    </row>
    <row r="93" hidden="1" outlineLevel="1">
      <c r="A93" s="49" t="inlineStr">
        <is>
          <t>TO-428</t>
        </is>
      </c>
      <c r="B93" s="54">
        <f>COUNTIFS(BASE[RODOVIA],$A93)</f>
        <v/>
      </c>
      <c r="C93" s="53">
        <f>SUMIFS(BASE[EXTENSÃO REAL (km)],BASE[RODOVIA],$A93)</f>
        <v/>
      </c>
      <c r="D93" s="48">
        <f>C93/$B$6</f>
        <v/>
      </c>
      <c r="E93" s="55">
        <f>RANK(C93,$C$45:$C$114)</f>
        <v/>
      </c>
    </row>
    <row r="94" hidden="1" outlineLevel="1">
      <c r="A94" s="49" t="inlineStr">
        <is>
          <t>TO-429</t>
        </is>
      </c>
      <c r="B94" s="54">
        <f>COUNTIFS(BASE[RODOVIA],$A94)</f>
        <v/>
      </c>
      <c r="C94" s="53">
        <f>SUMIFS(BASE[EXTENSÃO REAL (km)],BASE[RODOVIA],$A94)</f>
        <v/>
      </c>
      <c r="D94" s="48">
        <f>C94/$B$6</f>
        <v/>
      </c>
      <c r="E94" s="55">
        <f>RANK(C94,$C$45:$C$114)</f>
        <v/>
      </c>
    </row>
    <row r="95" hidden="1" outlineLevel="1">
      <c r="A95" s="49" t="inlineStr">
        <is>
          <t>TO-430</t>
        </is>
      </c>
      <c r="B95" s="54">
        <f>COUNTIFS(BASE[RODOVIA],$A95)</f>
        <v/>
      </c>
      <c r="C95" s="53">
        <f>SUMIFS(BASE[EXTENSÃO REAL (km)],BASE[RODOVIA],$A95)</f>
        <v/>
      </c>
      <c r="D95" s="48">
        <f>C95/$B$6</f>
        <v/>
      </c>
      <c r="E95" s="55">
        <f>RANK(C95,$C$45:$C$114)</f>
        <v/>
      </c>
    </row>
    <row r="96" hidden="1" outlineLevel="1">
      <c r="A96" s="49" t="inlineStr">
        <is>
          <t>TO-433</t>
        </is>
      </c>
      <c r="B96" s="54">
        <f>COUNTIFS(BASE[RODOVIA],$A96)</f>
        <v/>
      </c>
      <c r="C96" s="53">
        <f>SUMIFS(BASE[EXTENSÃO REAL (km)],BASE[RODOVIA],$A96)</f>
        <v/>
      </c>
      <c r="D96" s="48">
        <f>C96/$B$6</f>
        <v/>
      </c>
      <c r="E96" s="55">
        <f>RANK(C96,$C$45:$C$114)</f>
        <v/>
      </c>
    </row>
    <row r="97" hidden="1" outlineLevel="1">
      <c r="A97" s="49" t="inlineStr">
        <is>
          <t>TO-458</t>
        </is>
      </c>
      <c r="B97" s="54">
        <f>COUNTIFS(BASE[RODOVIA],$A97)</f>
        <v/>
      </c>
      <c r="C97" s="53">
        <f>SUMIFS(BASE[EXTENSÃO REAL (km)],BASE[RODOVIA],$A97)</f>
        <v/>
      </c>
      <c r="D97" s="48">
        <f>C97/$B$6</f>
        <v/>
      </c>
      <c r="E97" s="55">
        <f>RANK(C97,$C$45:$C$114)</f>
        <v/>
      </c>
    </row>
    <row r="98" hidden="1" outlineLevel="1">
      <c r="A98" s="49" t="inlineStr">
        <is>
          <t>TO-460</t>
        </is>
      </c>
      <c r="B98" s="54">
        <f>COUNTIFS(BASE[RODOVIA],$A98)</f>
        <v/>
      </c>
      <c r="C98" s="53">
        <f>SUMIFS(BASE[EXTENSÃO REAL (km)],BASE[RODOVIA],$A98)</f>
        <v/>
      </c>
      <c r="D98" s="48">
        <f>C98/$B$6</f>
        <v/>
      </c>
      <c r="E98" s="55">
        <f>RANK(C98,$C$45:$C$114)</f>
        <v/>
      </c>
    </row>
    <row r="99" hidden="1" outlineLevel="1">
      <c r="A99" s="49" t="inlineStr">
        <is>
          <t>TO-476</t>
        </is>
      </c>
      <c r="B99" s="54">
        <f>COUNTIFS(BASE[RODOVIA],$A99)</f>
        <v/>
      </c>
      <c r="C99" s="53">
        <f>SUMIFS(BASE[EXTENSÃO REAL (km)],BASE[RODOVIA],$A99)</f>
        <v/>
      </c>
      <c r="D99" s="48">
        <f>C99/$B$6</f>
        <v/>
      </c>
      <c r="E99" s="55">
        <f>RANK(C99,$C$45:$C$114)</f>
        <v/>
      </c>
    </row>
    <row r="100" hidden="1" outlineLevel="1">
      <c r="A100" s="49" t="inlineStr">
        <is>
          <t>TO-477</t>
        </is>
      </c>
      <c r="B100" s="54">
        <f>COUNTIFS(BASE[RODOVIA],$A100)</f>
        <v/>
      </c>
      <c r="C100" s="53">
        <f>SUMIFS(BASE[EXTENSÃO REAL (km)],BASE[RODOVIA],$A100)</f>
        <v/>
      </c>
      <c r="D100" s="48">
        <f>C100/$B$6</f>
        <v/>
      </c>
      <c r="E100" s="55">
        <f>RANK(C100,$C$45:$C$114)</f>
        <v/>
      </c>
    </row>
    <row r="101" hidden="1" outlineLevel="1">
      <c r="A101" s="49" t="inlineStr">
        <is>
          <t>TO-479</t>
        </is>
      </c>
      <c r="B101" s="54">
        <f>COUNTIFS(BASE[RODOVIA],$A101)</f>
        <v/>
      </c>
      <c r="C101" s="53">
        <f>SUMIFS(BASE[EXTENSÃO REAL (km)],BASE[RODOVIA],$A101)</f>
        <v/>
      </c>
      <c r="D101" s="48">
        <f>C101/$B$6</f>
        <v/>
      </c>
      <c r="E101" s="55">
        <f>RANK(C101,$C$45:$C$114)</f>
        <v/>
      </c>
    </row>
    <row r="102" hidden="1" outlineLevel="1">
      <c r="A102" s="49" t="inlineStr">
        <is>
          <t>TO-481</t>
        </is>
      </c>
      <c r="B102" s="54">
        <f>COUNTIFS(BASE[RODOVIA],$A102)</f>
        <v/>
      </c>
      <c r="C102" s="53">
        <f>SUMIFS(BASE[EXTENSÃO REAL (km)],BASE[RODOVIA],$A102)</f>
        <v/>
      </c>
      <c r="D102" s="48">
        <f>C102/$B$6</f>
        <v/>
      </c>
      <c r="E102" s="55">
        <f>RANK(C102,$C$45:$C$114)</f>
        <v/>
      </c>
    </row>
    <row r="103" hidden="1" outlineLevel="1">
      <c r="A103" s="49" t="inlineStr">
        <is>
          <t>TO-482</t>
        </is>
      </c>
      <c r="B103" s="54">
        <f>COUNTIFS(BASE[RODOVIA],$A103)</f>
        <v/>
      </c>
      <c r="C103" s="53">
        <f>SUMIFS(BASE[EXTENSÃO REAL (km)],BASE[RODOVIA],$A103)</f>
        <v/>
      </c>
      <c r="D103" s="48">
        <f>C103/$B$6</f>
        <v/>
      </c>
      <c r="E103" s="55">
        <f>RANK(C103,$C$45:$C$114)</f>
        <v/>
      </c>
    </row>
    <row r="104" hidden="1" outlineLevel="1">
      <c r="A104" s="49" t="inlineStr">
        <is>
          <t>TO-483</t>
        </is>
      </c>
      <c r="B104" s="54">
        <f>COUNTIFS(BASE[RODOVIA],$A104)</f>
        <v/>
      </c>
      <c r="C104" s="53">
        <f>SUMIFS(BASE[EXTENSÃO REAL (km)],BASE[RODOVIA],$A104)</f>
        <v/>
      </c>
      <c r="D104" s="48">
        <f>C104/$B$6</f>
        <v/>
      </c>
      <c r="E104" s="55">
        <f>RANK(C104,$C$45:$C$114)</f>
        <v/>
      </c>
    </row>
    <row r="105" hidden="1" outlineLevel="1">
      <c r="A105" s="49" t="inlineStr">
        <is>
          <t>TO-484</t>
        </is>
      </c>
      <c r="B105" s="54">
        <f>COUNTIFS(BASE[RODOVIA],$A105)</f>
        <v/>
      </c>
      <c r="C105" s="53">
        <f>SUMIFS(BASE[EXTENSÃO REAL (km)],BASE[RODOVIA],$A105)</f>
        <v/>
      </c>
      <c r="D105" s="48">
        <f>C105/$B$6</f>
        <v/>
      </c>
      <c r="E105" s="55">
        <f>RANK(C105,$C$45:$C$114)</f>
        <v/>
      </c>
    </row>
    <row r="106" hidden="1" outlineLevel="1">
      <c r="A106" s="49" t="inlineStr">
        <is>
          <t>TO-485</t>
        </is>
      </c>
      <c r="B106" s="54">
        <f>COUNTIFS(BASE[RODOVIA],$A106)</f>
        <v/>
      </c>
      <c r="C106" s="53">
        <f>SUMIFS(BASE[EXTENSÃO REAL (km)],BASE[RODOVIA],$A106)</f>
        <v/>
      </c>
      <c r="D106" s="48">
        <f>C106/$B$6</f>
        <v/>
      </c>
      <c r="E106" s="55">
        <f>RANK(C106,$C$45:$C$114)</f>
        <v/>
      </c>
    </row>
    <row r="107" hidden="1" outlineLevel="1">
      <c r="A107" s="49" t="inlineStr">
        <is>
          <t>TO-486</t>
        </is>
      </c>
      <c r="B107" s="54">
        <f>COUNTIFS(BASE[RODOVIA],$A107)</f>
        <v/>
      </c>
      <c r="C107" s="53">
        <f>SUMIFS(BASE[EXTENSÃO REAL (km)],BASE[RODOVIA],$A107)</f>
        <v/>
      </c>
      <c r="D107" s="48">
        <f>C107/$B$6</f>
        <v/>
      </c>
      <c r="E107" s="55">
        <f>RANK(C107,$C$45:$C$114)</f>
        <v/>
      </c>
    </row>
    <row r="108" hidden="1" outlineLevel="1">
      <c r="A108" s="49" t="inlineStr">
        <is>
          <t>TO-487</t>
        </is>
      </c>
      <c r="B108" s="54">
        <f>COUNTIFS(BASE[RODOVIA],$A108)</f>
        <v/>
      </c>
      <c r="C108" s="53">
        <f>SUMIFS(BASE[EXTENSÃO REAL (km)],BASE[RODOVIA],$A108)</f>
        <v/>
      </c>
      <c r="D108" s="48">
        <f>C108/$B$6</f>
        <v/>
      </c>
      <c r="E108" s="55">
        <f>RANK(C108,$C$45:$C$114)</f>
        <v/>
      </c>
    </row>
    <row r="109" hidden="1" outlineLevel="1">
      <c r="A109" s="49" t="inlineStr">
        <is>
          <t>TO-490</t>
        </is>
      </c>
      <c r="B109" s="54">
        <f>COUNTIFS(BASE[RODOVIA],$A109)</f>
        <v/>
      </c>
      <c r="C109" s="53">
        <f>SUMIFS(BASE[EXTENSÃO REAL (km)],BASE[RODOVIA],$A109)</f>
        <v/>
      </c>
      <c r="D109" s="48">
        <f>C109/$B$6</f>
        <v/>
      </c>
      <c r="E109" s="55">
        <f>RANK(C109,$C$45:$C$114)</f>
        <v/>
      </c>
    </row>
    <row r="110" hidden="1" outlineLevel="1">
      <c r="A110" s="49" t="inlineStr">
        <is>
          <t>TO-491</t>
        </is>
      </c>
      <c r="B110" s="54">
        <f>COUNTIFS(BASE[RODOVIA],$A110)</f>
        <v/>
      </c>
      <c r="C110" s="53">
        <f>SUMIFS(BASE[EXTENSÃO REAL (km)],BASE[RODOVIA],$A110)</f>
        <v/>
      </c>
      <c r="D110" s="48">
        <f>C110/$B$6</f>
        <v/>
      </c>
      <c r="E110" s="55">
        <f>RANK(C110,$C$45:$C$114)</f>
        <v/>
      </c>
    </row>
    <row r="111" hidden="1" outlineLevel="1">
      <c r="A111" s="49" t="inlineStr">
        <is>
          <t>TO-495</t>
        </is>
      </c>
      <c r="B111" s="54">
        <f>COUNTIFS(BASE[RODOVIA],$A111)</f>
        <v/>
      </c>
      <c r="C111" s="53">
        <f>SUMIFS(BASE[EXTENSÃO REAL (km)],BASE[RODOVIA],$A111)</f>
        <v/>
      </c>
      <c r="D111" s="48">
        <f>C111/$B$6</f>
        <v/>
      </c>
      <c r="E111" s="55">
        <f>RANK(C111,$C$45:$C$114)</f>
        <v/>
      </c>
    </row>
    <row r="112" hidden="1" outlineLevel="1">
      <c r="A112" s="49" t="inlineStr">
        <is>
          <t>TO-497</t>
        </is>
      </c>
      <c r="B112" s="54">
        <f>COUNTIFS(BASE[RODOVIA],$A112)</f>
        <v/>
      </c>
      <c r="C112" s="53">
        <f>SUMIFS(BASE[EXTENSÃO REAL (km)],BASE[RODOVIA],$A112)</f>
        <v/>
      </c>
      <c r="D112" s="48">
        <f>C112/$B$6</f>
        <v/>
      </c>
      <c r="E112" s="55">
        <f>RANK(C112,$C$45:$C$114)</f>
        <v/>
      </c>
    </row>
    <row r="113" hidden="1" outlineLevel="1">
      <c r="A113" s="49" t="inlineStr">
        <is>
          <t>TO-498</t>
        </is>
      </c>
      <c r="B113" s="54">
        <f>COUNTIFS(BASE[RODOVIA],$A113)</f>
        <v/>
      </c>
      <c r="C113" s="53">
        <f>SUMIFS(BASE[EXTENSÃO REAL (km)],BASE[RODOVIA],$A113)</f>
        <v/>
      </c>
      <c r="D113" s="48">
        <f>C113/$B$6</f>
        <v/>
      </c>
      <c r="E113" s="55">
        <f>RANK(C113,$C$45:$C$114)</f>
        <v/>
      </c>
    </row>
    <row r="114" hidden="1" outlineLevel="1">
      <c r="A114" s="49" t="inlineStr">
        <is>
          <t>TO-499</t>
        </is>
      </c>
      <c r="B114" s="54">
        <f>COUNTIFS(BASE[RODOVIA],$A114)</f>
        <v/>
      </c>
      <c r="C114" s="53">
        <f>SUMIFS(BASE[EXTENSÃO REAL (km)],BASE[RODOVIA],$A114)</f>
        <v/>
      </c>
      <c r="D114" s="48">
        <f>C114/$B$6</f>
        <v/>
      </c>
      <c r="E114" s="55">
        <f>RANK(C114,$C$45:$C$114)</f>
        <v/>
      </c>
    </row>
    <row r="115" hidden="1" outlineLevel="1">
      <c r="A115" s="69" t="inlineStr">
        <is>
          <t>(SEM RODOVIA INFORMADA)</t>
        </is>
      </c>
      <c r="B115" s="70">
        <f>COUNTIFS(BASE[RODOVIA],0)</f>
        <v/>
      </c>
      <c r="C115" s="71">
        <f>SUMIFS(BASE[EXTENSÃO REAL (km)],BASE[RODOVIA],0)</f>
        <v/>
      </c>
      <c r="D115" s="72">
        <f>C115/$B$6</f>
        <v/>
      </c>
      <c r="E115" s="73" t="n"/>
    </row>
    <row r="116" hidden="1" outlineLevel="1">
      <c r="A116" s="74" t="inlineStr">
        <is>
          <t>TOTAL</t>
        </is>
      </c>
      <c r="B116" s="75">
        <f>SUM(B45:B115)</f>
        <v/>
      </c>
      <c r="C116" s="76">
        <f>SUM(C45:C115)</f>
        <v/>
      </c>
      <c r="D116" s="77">
        <f>SUM(D45:D115)</f>
        <v/>
      </c>
      <c r="E116" s="74" t="n"/>
    </row>
  </sheetData>
  <mergeCells count="1">
    <mergeCell ref="A1:H1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2026-08-21T17:51:06Z</dcterms:created>
  <dcterms:modified xmlns:dcterms="http://purl.org/dc/terms/" xmlns:xsi="http://www.w3.org/2001/XMLSchema-instance" xsi:type="dcterms:W3CDTF">2026-09-09T12:12:31Z</dcterms:modified>
  <cp:lastModifiedBy>FERNANDA</cp:lastModifiedBy>
</cp:coreProperties>
</file>